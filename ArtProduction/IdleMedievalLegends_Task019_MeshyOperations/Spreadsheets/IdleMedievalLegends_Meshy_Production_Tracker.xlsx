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\IdleMedievalLegends\ArtProduction\IdleMedievalLegends_Task019_MeshyOperations\Spreadsheets\"/>
    </mc:Choice>
  </mc:AlternateContent>
  <xr:revisionPtr revIDLastSave="0" documentId="13_ncr:1_{4420F9F7-218D-412A-A6C4-A42369B2F965}" xr6:coauthVersionLast="47" xr6:coauthVersionMax="47" xr10:uidLastSave="{00000000-0000-0000-0000-000000000000}"/>
  <bookViews>
    <workbookView xWindow="5625" yWindow="3840" windowWidth="21600" windowHeight="11295" activeTab="3" xr2:uid="{00000000-000D-0000-FFFF-FFFF00000000}"/>
  </bookViews>
  <sheets>
    <sheet name="Lists" sheetId="1" r:id="rId1"/>
    <sheet name="README" sheetId="2" r:id="rId2"/>
    <sheet name="Settings &amp; Rates" sheetId="3" r:id="rId3"/>
    <sheet name="Asset Queue" sheetId="4" r:id="rId4"/>
    <sheet name="Attempt Log" sheetId="5" r:id="rId5"/>
    <sheet name="Batch Plan" sheetId="6" r:id="rId6"/>
    <sheet name="Prompt Manifest" sheetId="7" r:id="rId7"/>
    <sheet name="QA Checklist" sheetId="8" r:id="rId8"/>
    <sheet name="Rejection Reasons" sheetId="9" r:id="rId9"/>
    <sheet name="Dashboar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  <c r="B11" i="10"/>
  <c r="E10" i="10"/>
  <c r="E9" i="10"/>
  <c r="B9" i="10"/>
  <c r="B10" i="10" s="1"/>
  <c r="E8" i="10"/>
  <c r="E7" i="10"/>
  <c r="E6" i="10"/>
  <c r="B6" i="10"/>
  <c r="E5" i="10"/>
  <c r="B5" i="10"/>
  <c r="M26" i="6"/>
  <c r="N26" i="6" s="1"/>
  <c r="M25" i="6"/>
  <c r="N25" i="6" s="1"/>
  <c r="M24" i="6"/>
  <c r="N24" i="6" s="1"/>
  <c r="M23" i="6"/>
  <c r="N23" i="6" s="1"/>
  <c r="M22" i="6"/>
  <c r="N22" i="6" s="1"/>
  <c r="M21" i="6"/>
  <c r="N21" i="6" s="1"/>
  <c r="L21" i="6"/>
  <c r="O21" i="6" s="1"/>
  <c r="M20" i="6"/>
  <c r="N20" i="6" s="1"/>
  <c r="L20" i="6"/>
  <c r="O20" i="6" s="1"/>
  <c r="M19" i="6"/>
  <c r="N19" i="6" s="1"/>
  <c r="L19" i="6"/>
  <c r="O19" i="6" s="1"/>
  <c r="M18" i="6"/>
  <c r="N18" i="6" s="1"/>
  <c r="L18" i="6"/>
  <c r="O18" i="6" s="1"/>
  <c r="M17" i="6"/>
  <c r="N17" i="6" s="1"/>
  <c r="L17" i="6"/>
  <c r="O17" i="6" s="1"/>
  <c r="M16" i="6"/>
  <c r="N16" i="6" s="1"/>
  <c r="L16" i="6"/>
  <c r="O16" i="6" s="1"/>
  <c r="M15" i="6"/>
  <c r="N15" i="6" s="1"/>
  <c r="L15" i="6"/>
  <c r="O15" i="6" s="1"/>
  <c r="M14" i="6"/>
  <c r="N14" i="6" s="1"/>
  <c r="L14" i="6"/>
  <c r="O14" i="6" s="1"/>
  <c r="M13" i="6"/>
  <c r="N13" i="6" s="1"/>
  <c r="L13" i="6"/>
  <c r="O13" i="6" s="1"/>
  <c r="M12" i="6"/>
  <c r="N12" i="6" s="1"/>
  <c r="L12" i="6"/>
  <c r="O12" i="6" s="1"/>
  <c r="M11" i="6"/>
  <c r="N11" i="6" s="1"/>
  <c r="L11" i="6"/>
  <c r="O11" i="6" s="1"/>
  <c r="M10" i="6"/>
  <c r="N10" i="6" s="1"/>
  <c r="L10" i="6"/>
  <c r="O10" i="6" s="1"/>
  <c r="M9" i="6"/>
  <c r="N9" i="6" s="1"/>
  <c r="L9" i="6"/>
  <c r="O9" i="6" s="1"/>
  <c r="M8" i="6"/>
  <c r="N8" i="6" s="1"/>
  <c r="L8" i="6"/>
  <c r="O8" i="6" s="1"/>
  <c r="M7" i="6"/>
  <c r="N7" i="6" s="1"/>
  <c r="M6" i="6"/>
  <c r="N6" i="6" s="1"/>
  <c r="M5" i="6"/>
  <c r="N5" i="6" s="1"/>
  <c r="M4" i="6"/>
  <c r="N4" i="6" s="1"/>
  <c r="M3" i="6"/>
  <c r="N3" i="6" s="1"/>
  <c r="M2" i="6"/>
  <c r="N2" i="6" s="1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AG260" i="4"/>
  <c r="AF260" i="4"/>
  <c r="AD260" i="4"/>
  <c r="AE260" i="4" s="1"/>
  <c r="AC260" i="4"/>
  <c r="AG259" i="4"/>
  <c r="AF259" i="4"/>
  <c r="AD259" i="4"/>
  <c r="AE259" i="4" s="1"/>
  <c r="AC259" i="4"/>
  <c r="AG258" i="4"/>
  <c r="AF258" i="4"/>
  <c r="AD258" i="4"/>
  <c r="AE258" i="4" s="1"/>
  <c r="AC258" i="4"/>
  <c r="AG257" i="4"/>
  <c r="AF257" i="4"/>
  <c r="AD257" i="4"/>
  <c r="AE257" i="4" s="1"/>
  <c r="AC257" i="4"/>
  <c r="AG256" i="4"/>
  <c r="AF256" i="4"/>
  <c r="AD256" i="4"/>
  <c r="AE256" i="4" s="1"/>
  <c r="AC256" i="4"/>
  <c r="AG255" i="4"/>
  <c r="AF255" i="4"/>
  <c r="AD255" i="4"/>
  <c r="AE255" i="4" s="1"/>
  <c r="AC255" i="4"/>
  <c r="AG254" i="4"/>
  <c r="AF254" i="4"/>
  <c r="AD254" i="4"/>
  <c r="AE254" i="4" s="1"/>
  <c r="AC254" i="4"/>
  <c r="AG253" i="4"/>
  <c r="AF253" i="4"/>
  <c r="AD253" i="4"/>
  <c r="AE253" i="4" s="1"/>
  <c r="AC253" i="4"/>
  <c r="AG252" i="4"/>
  <c r="AF252" i="4"/>
  <c r="AD252" i="4"/>
  <c r="AE252" i="4" s="1"/>
  <c r="AC252" i="4"/>
  <c r="AG251" i="4"/>
  <c r="AF251" i="4"/>
  <c r="AD251" i="4"/>
  <c r="AE251" i="4" s="1"/>
  <c r="AC251" i="4"/>
  <c r="AG250" i="4"/>
  <c r="AF250" i="4"/>
  <c r="AD250" i="4"/>
  <c r="AE250" i="4" s="1"/>
  <c r="AC250" i="4"/>
  <c r="AG249" i="4"/>
  <c r="AF249" i="4"/>
  <c r="AD249" i="4"/>
  <c r="AC249" i="4"/>
  <c r="AG248" i="4"/>
  <c r="AF248" i="4"/>
  <c r="AD248" i="4"/>
  <c r="AE248" i="4" s="1"/>
  <c r="AC248" i="4"/>
  <c r="AG247" i="4"/>
  <c r="AF247" i="4"/>
  <c r="AE247" i="4"/>
  <c r="AD247" i="4"/>
  <c r="AC247" i="4"/>
  <c r="AG246" i="4"/>
  <c r="AF246" i="4"/>
  <c r="AD246" i="4"/>
  <c r="AE246" i="4" s="1"/>
  <c r="AC246" i="4"/>
  <c r="AG245" i="4"/>
  <c r="AF245" i="4"/>
  <c r="AD245" i="4"/>
  <c r="AE245" i="4" s="1"/>
  <c r="AC245" i="4"/>
  <c r="AG244" i="4"/>
  <c r="AF244" i="4"/>
  <c r="AD244" i="4"/>
  <c r="AE244" i="4" s="1"/>
  <c r="AC244" i="4"/>
  <c r="AG243" i="4"/>
  <c r="AF243" i="4"/>
  <c r="AD243" i="4"/>
  <c r="AE243" i="4" s="1"/>
  <c r="AC243" i="4"/>
  <c r="AG242" i="4"/>
  <c r="AF242" i="4"/>
  <c r="AD242" i="4"/>
  <c r="AE242" i="4" s="1"/>
  <c r="AC242" i="4"/>
  <c r="AG241" i="4"/>
  <c r="AF241" i="4"/>
  <c r="AD241" i="4"/>
  <c r="AC241" i="4"/>
  <c r="AG240" i="4"/>
  <c r="AF240" i="4"/>
  <c r="AD240" i="4"/>
  <c r="AE240" i="4" s="1"/>
  <c r="AC240" i="4"/>
  <c r="AG239" i="4"/>
  <c r="AF239" i="4"/>
  <c r="AD239" i="4"/>
  <c r="AE239" i="4" s="1"/>
  <c r="AC239" i="4"/>
  <c r="AG238" i="4"/>
  <c r="AF238" i="4"/>
  <c r="AD238" i="4"/>
  <c r="AE238" i="4" s="1"/>
  <c r="AC238" i="4"/>
  <c r="AG237" i="4"/>
  <c r="AF237" i="4"/>
  <c r="AD237" i="4"/>
  <c r="AE237" i="4" s="1"/>
  <c r="AC237" i="4"/>
  <c r="AG236" i="4"/>
  <c r="AF236" i="4"/>
  <c r="AD236" i="4"/>
  <c r="AE236" i="4" s="1"/>
  <c r="AC236" i="4"/>
  <c r="AG235" i="4"/>
  <c r="AF235" i="4"/>
  <c r="AD235" i="4"/>
  <c r="AE235" i="4" s="1"/>
  <c r="AC235" i="4"/>
  <c r="AG234" i="4"/>
  <c r="AF234" i="4"/>
  <c r="AD234" i="4"/>
  <c r="AE234" i="4" s="1"/>
  <c r="AC234" i="4"/>
  <c r="AG233" i="4"/>
  <c r="AF233" i="4"/>
  <c r="AD233" i="4"/>
  <c r="AE233" i="4" s="1"/>
  <c r="AC233" i="4"/>
  <c r="AG232" i="4"/>
  <c r="AF232" i="4"/>
  <c r="AD232" i="4"/>
  <c r="AE232" i="4" s="1"/>
  <c r="AC232" i="4"/>
  <c r="AG231" i="4"/>
  <c r="AF231" i="4"/>
  <c r="AD231" i="4"/>
  <c r="AE231" i="4" s="1"/>
  <c r="AC231" i="4"/>
  <c r="AG230" i="4"/>
  <c r="AF230" i="4"/>
  <c r="AD230" i="4"/>
  <c r="AE230" i="4" s="1"/>
  <c r="AC230" i="4"/>
  <c r="AG229" i="4"/>
  <c r="AF229" i="4"/>
  <c r="AD229" i="4"/>
  <c r="AC229" i="4"/>
  <c r="AG228" i="4"/>
  <c r="AF228" i="4"/>
  <c r="AD228" i="4"/>
  <c r="AE228" i="4" s="1"/>
  <c r="AC228" i="4"/>
  <c r="AG227" i="4"/>
  <c r="AF227" i="4"/>
  <c r="AD227" i="4"/>
  <c r="AE227" i="4" s="1"/>
  <c r="AC227" i="4"/>
  <c r="AG226" i="4"/>
  <c r="AF226" i="4"/>
  <c r="AD226" i="4"/>
  <c r="AE226" i="4" s="1"/>
  <c r="AC226" i="4"/>
  <c r="AG225" i="4"/>
  <c r="AF225" i="4"/>
  <c r="AD225" i="4"/>
  <c r="AE225" i="4" s="1"/>
  <c r="AC225" i="4"/>
  <c r="AG224" i="4"/>
  <c r="AF224" i="4"/>
  <c r="AD224" i="4"/>
  <c r="AE224" i="4" s="1"/>
  <c r="AC224" i="4"/>
  <c r="AG223" i="4"/>
  <c r="AF223" i="4"/>
  <c r="AD223" i="4"/>
  <c r="AE223" i="4" s="1"/>
  <c r="AC223" i="4"/>
  <c r="AG222" i="4"/>
  <c r="AF222" i="4"/>
  <c r="AD222" i="4"/>
  <c r="AE222" i="4" s="1"/>
  <c r="AC222" i="4"/>
  <c r="AG221" i="4"/>
  <c r="AF221" i="4"/>
  <c r="AD221" i="4"/>
  <c r="AC221" i="4"/>
  <c r="AG220" i="4"/>
  <c r="AF220" i="4"/>
  <c r="AD220" i="4"/>
  <c r="AE220" i="4" s="1"/>
  <c r="AC220" i="4"/>
  <c r="AG219" i="4"/>
  <c r="AF219" i="4"/>
  <c r="AD219" i="4"/>
  <c r="AE219" i="4" s="1"/>
  <c r="AC219" i="4"/>
  <c r="AG218" i="4"/>
  <c r="AF218" i="4"/>
  <c r="AD218" i="4"/>
  <c r="AE218" i="4" s="1"/>
  <c r="AC218" i="4"/>
  <c r="AG217" i="4"/>
  <c r="AF217" i="4"/>
  <c r="AD217" i="4"/>
  <c r="AE217" i="4" s="1"/>
  <c r="AC217" i="4"/>
  <c r="AG216" i="4"/>
  <c r="AF216" i="4"/>
  <c r="AD216" i="4"/>
  <c r="AE216" i="4" s="1"/>
  <c r="AC216" i="4"/>
  <c r="AG215" i="4"/>
  <c r="AF215" i="4"/>
  <c r="AD215" i="4"/>
  <c r="AE215" i="4" s="1"/>
  <c r="AC215" i="4"/>
  <c r="AG214" i="4"/>
  <c r="AF214" i="4"/>
  <c r="AD214" i="4"/>
  <c r="AE214" i="4" s="1"/>
  <c r="AC214" i="4"/>
  <c r="AG213" i="4"/>
  <c r="AF213" i="4"/>
  <c r="AD213" i="4"/>
  <c r="AE213" i="4" s="1"/>
  <c r="AC213" i="4"/>
  <c r="AG212" i="4"/>
  <c r="AF212" i="4"/>
  <c r="AD212" i="4"/>
  <c r="AE212" i="4" s="1"/>
  <c r="AC212" i="4"/>
  <c r="AG211" i="4"/>
  <c r="AF211" i="4"/>
  <c r="AD211" i="4"/>
  <c r="AE211" i="4" s="1"/>
  <c r="AC211" i="4"/>
  <c r="AG210" i="4"/>
  <c r="AF210" i="4"/>
  <c r="AD210" i="4"/>
  <c r="AC210" i="4"/>
  <c r="AG209" i="4"/>
  <c r="AF209" i="4"/>
  <c r="AD209" i="4"/>
  <c r="AE209" i="4" s="1"/>
  <c r="AC209" i="4"/>
  <c r="AG208" i="4"/>
  <c r="AF208" i="4"/>
  <c r="AD208" i="4"/>
  <c r="AE208" i="4" s="1"/>
  <c r="AC208" i="4"/>
  <c r="AG207" i="4"/>
  <c r="AF207" i="4"/>
  <c r="AD207" i="4"/>
  <c r="AE207" i="4" s="1"/>
  <c r="AC207" i="4"/>
  <c r="AG206" i="4"/>
  <c r="AF206" i="4"/>
  <c r="AD206" i="4"/>
  <c r="AE206" i="4" s="1"/>
  <c r="AC206" i="4"/>
  <c r="AG205" i="4"/>
  <c r="AF205" i="4"/>
  <c r="AD205" i="4"/>
  <c r="AE205" i="4" s="1"/>
  <c r="AC205" i="4"/>
  <c r="AG204" i="4"/>
  <c r="AF204" i="4"/>
  <c r="AD204" i="4"/>
  <c r="AE204" i="4" s="1"/>
  <c r="AC204" i="4"/>
  <c r="AG203" i="4"/>
  <c r="AF203" i="4"/>
  <c r="AD203" i="4"/>
  <c r="AE203" i="4" s="1"/>
  <c r="AC203" i="4"/>
  <c r="AG202" i="4"/>
  <c r="AF202" i="4"/>
  <c r="AD202" i="4"/>
  <c r="AE202" i="4" s="1"/>
  <c r="AC202" i="4"/>
  <c r="AG201" i="4"/>
  <c r="AF201" i="4"/>
  <c r="AD201" i="4"/>
  <c r="AE201" i="4" s="1"/>
  <c r="AC201" i="4"/>
  <c r="AG200" i="4"/>
  <c r="AF200" i="4"/>
  <c r="AD200" i="4"/>
  <c r="AE200" i="4" s="1"/>
  <c r="AC200" i="4"/>
  <c r="AG199" i="4"/>
  <c r="AF199" i="4"/>
  <c r="AD199" i="4"/>
  <c r="AE199" i="4" s="1"/>
  <c r="AC199" i="4"/>
  <c r="AG198" i="4"/>
  <c r="AF198" i="4"/>
  <c r="AD198" i="4"/>
  <c r="AE198" i="4" s="1"/>
  <c r="AC198" i="4"/>
  <c r="AG197" i="4"/>
  <c r="AF197" i="4"/>
  <c r="AD197" i="4"/>
  <c r="AE197" i="4" s="1"/>
  <c r="AC197" i="4"/>
  <c r="AG196" i="4"/>
  <c r="AF196" i="4"/>
  <c r="AD196" i="4"/>
  <c r="AE196" i="4" s="1"/>
  <c r="AC196" i="4"/>
  <c r="AG195" i="4"/>
  <c r="AF195" i="4"/>
  <c r="AD195" i="4"/>
  <c r="AE195" i="4" s="1"/>
  <c r="AC195" i="4"/>
  <c r="AG194" i="4"/>
  <c r="AF194" i="4"/>
  <c r="AD194" i="4"/>
  <c r="AE194" i="4" s="1"/>
  <c r="AC194" i="4"/>
  <c r="AG193" i="4"/>
  <c r="AF193" i="4"/>
  <c r="AD193" i="4"/>
  <c r="AE193" i="4" s="1"/>
  <c r="AC193" i="4"/>
  <c r="AG192" i="4"/>
  <c r="AF192" i="4"/>
  <c r="AD192" i="4"/>
  <c r="AE192" i="4" s="1"/>
  <c r="AC192" i="4"/>
  <c r="AG191" i="4"/>
  <c r="AF191" i="4"/>
  <c r="AD191" i="4"/>
  <c r="AE191" i="4" s="1"/>
  <c r="AC191" i="4"/>
  <c r="AG190" i="4"/>
  <c r="AF190" i="4"/>
  <c r="AD190" i="4"/>
  <c r="AE190" i="4" s="1"/>
  <c r="AC190" i="4"/>
  <c r="AG189" i="4"/>
  <c r="AF189" i="4"/>
  <c r="AD189" i="4"/>
  <c r="AE189" i="4" s="1"/>
  <c r="AC189" i="4"/>
  <c r="AG188" i="4"/>
  <c r="AF188" i="4"/>
  <c r="AD188" i="4"/>
  <c r="AE188" i="4" s="1"/>
  <c r="AC188" i="4"/>
  <c r="AG187" i="4"/>
  <c r="AF187" i="4"/>
  <c r="AD187" i="4"/>
  <c r="AE187" i="4" s="1"/>
  <c r="AC187" i="4"/>
  <c r="AG186" i="4"/>
  <c r="AF186" i="4"/>
  <c r="AD186" i="4"/>
  <c r="AE186" i="4" s="1"/>
  <c r="AC186" i="4"/>
  <c r="AG185" i="4"/>
  <c r="AF185" i="4"/>
  <c r="AD185" i="4"/>
  <c r="AE185" i="4" s="1"/>
  <c r="AC185" i="4"/>
  <c r="AG184" i="4"/>
  <c r="AF184" i="4"/>
  <c r="AD184" i="4"/>
  <c r="AE184" i="4" s="1"/>
  <c r="AC184" i="4"/>
  <c r="AG183" i="4"/>
  <c r="AF183" i="4"/>
  <c r="AD183" i="4"/>
  <c r="AE183" i="4" s="1"/>
  <c r="AC183" i="4"/>
  <c r="AG182" i="4"/>
  <c r="AF182" i="4"/>
  <c r="AD182" i="4"/>
  <c r="AE182" i="4" s="1"/>
  <c r="AC182" i="4"/>
  <c r="AG181" i="4"/>
  <c r="AF181" i="4"/>
  <c r="AD181" i="4"/>
  <c r="AE181" i="4" s="1"/>
  <c r="AC181" i="4"/>
  <c r="AG180" i="4"/>
  <c r="AF180" i="4"/>
  <c r="AD180" i="4"/>
  <c r="AE180" i="4" s="1"/>
  <c r="AC180" i="4"/>
  <c r="AG179" i="4"/>
  <c r="AF179" i="4"/>
  <c r="AD179" i="4"/>
  <c r="AE179" i="4" s="1"/>
  <c r="AC179" i="4"/>
  <c r="AG178" i="4"/>
  <c r="AF178" i="4"/>
  <c r="AD178" i="4"/>
  <c r="AE178" i="4" s="1"/>
  <c r="AC178" i="4"/>
  <c r="AG177" i="4"/>
  <c r="AF177" i="4"/>
  <c r="AD177" i="4"/>
  <c r="AE177" i="4" s="1"/>
  <c r="AC177" i="4"/>
  <c r="AG176" i="4"/>
  <c r="AF176" i="4"/>
  <c r="AD176" i="4"/>
  <c r="AE176" i="4" s="1"/>
  <c r="AC176" i="4"/>
  <c r="AG175" i="4"/>
  <c r="AF175" i="4"/>
  <c r="AD175" i="4"/>
  <c r="AE175" i="4" s="1"/>
  <c r="AC175" i="4"/>
  <c r="AG174" i="4"/>
  <c r="AF174" i="4"/>
  <c r="AD174" i="4"/>
  <c r="AE174" i="4" s="1"/>
  <c r="AC174" i="4"/>
  <c r="AG173" i="4"/>
  <c r="AF173" i="4"/>
  <c r="AD173" i="4"/>
  <c r="AE173" i="4" s="1"/>
  <c r="AC173" i="4"/>
  <c r="AG172" i="4"/>
  <c r="AF172" i="4"/>
  <c r="AD172" i="4"/>
  <c r="AE172" i="4" s="1"/>
  <c r="AC172" i="4"/>
  <c r="AG171" i="4"/>
  <c r="AF171" i="4"/>
  <c r="AD171" i="4"/>
  <c r="AE171" i="4" s="1"/>
  <c r="AC171" i="4"/>
  <c r="AG170" i="4"/>
  <c r="AF170" i="4"/>
  <c r="AD170" i="4"/>
  <c r="AE170" i="4" s="1"/>
  <c r="AC170" i="4"/>
  <c r="AG169" i="4"/>
  <c r="AF169" i="4"/>
  <c r="AD169" i="4"/>
  <c r="AE169" i="4" s="1"/>
  <c r="AC169" i="4"/>
  <c r="AG168" i="4"/>
  <c r="AF168" i="4"/>
  <c r="AD168" i="4"/>
  <c r="AE168" i="4" s="1"/>
  <c r="AC168" i="4"/>
  <c r="AG167" i="4"/>
  <c r="AF167" i="4"/>
  <c r="AD167" i="4"/>
  <c r="AE167" i="4" s="1"/>
  <c r="AC167" i="4"/>
  <c r="AG166" i="4"/>
  <c r="AF166" i="4"/>
  <c r="AD166" i="4"/>
  <c r="AE166" i="4" s="1"/>
  <c r="AC166" i="4"/>
  <c r="AG165" i="4"/>
  <c r="AF165" i="4"/>
  <c r="AD165" i="4"/>
  <c r="AE165" i="4" s="1"/>
  <c r="AC165" i="4"/>
  <c r="AG164" i="4"/>
  <c r="AF164" i="4"/>
  <c r="AD164" i="4"/>
  <c r="AE164" i="4" s="1"/>
  <c r="AC164" i="4"/>
  <c r="AG163" i="4"/>
  <c r="AF163" i="4"/>
  <c r="AD163" i="4"/>
  <c r="AE163" i="4" s="1"/>
  <c r="AC163" i="4"/>
  <c r="AG162" i="4"/>
  <c r="AF162" i="4"/>
  <c r="AD162" i="4"/>
  <c r="AE162" i="4" s="1"/>
  <c r="AC162" i="4"/>
  <c r="AG161" i="4"/>
  <c r="AF161" i="4"/>
  <c r="AD161" i="4"/>
  <c r="AE161" i="4" s="1"/>
  <c r="AC161" i="4"/>
  <c r="AG160" i="4"/>
  <c r="AF160" i="4"/>
  <c r="AD160" i="4"/>
  <c r="AE160" i="4" s="1"/>
  <c r="AC160" i="4"/>
  <c r="AG159" i="4"/>
  <c r="AF159" i="4"/>
  <c r="AD159" i="4"/>
  <c r="AE159" i="4" s="1"/>
  <c r="AC159" i="4"/>
  <c r="AG158" i="4"/>
  <c r="AF158" i="4"/>
  <c r="AD158" i="4"/>
  <c r="AE158" i="4" s="1"/>
  <c r="AC158" i="4"/>
  <c r="AG157" i="4"/>
  <c r="AF157" i="4"/>
  <c r="AD157" i="4"/>
  <c r="AE157" i="4" s="1"/>
  <c r="AC157" i="4"/>
  <c r="AG156" i="4"/>
  <c r="AF156" i="4"/>
  <c r="AD156" i="4"/>
  <c r="AE156" i="4" s="1"/>
  <c r="AC156" i="4"/>
  <c r="AG155" i="4"/>
  <c r="AF155" i="4"/>
  <c r="AD155" i="4"/>
  <c r="AE155" i="4" s="1"/>
  <c r="AC155" i="4"/>
  <c r="AG154" i="4"/>
  <c r="AF154" i="4"/>
  <c r="AD154" i="4"/>
  <c r="AE154" i="4" s="1"/>
  <c r="AC154" i="4"/>
  <c r="AG153" i="4"/>
  <c r="AF153" i="4"/>
  <c r="AD153" i="4"/>
  <c r="AE153" i="4" s="1"/>
  <c r="AC153" i="4"/>
  <c r="AG152" i="4"/>
  <c r="AF152" i="4"/>
  <c r="AD152" i="4"/>
  <c r="AE152" i="4" s="1"/>
  <c r="AC152" i="4"/>
  <c r="AG151" i="4"/>
  <c r="AF151" i="4"/>
  <c r="AD151" i="4"/>
  <c r="AE151" i="4" s="1"/>
  <c r="AC151" i="4"/>
  <c r="AG150" i="4"/>
  <c r="AF150" i="4"/>
  <c r="AD150" i="4"/>
  <c r="AE150" i="4" s="1"/>
  <c r="AC150" i="4"/>
  <c r="AG149" i="4"/>
  <c r="AF149" i="4"/>
  <c r="AD149" i="4"/>
  <c r="AE149" i="4" s="1"/>
  <c r="AC149" i="4"/>
  <c r="AG148" i="4"/>
  <c r="AF148" i="4"/>
  <c r="AD148" i="4"/>
  <c r="AE148" i="4" s="1"/>
  <c r="AC148" i="4"/>
  <c r="AG147" i="4"/>
  <c r="AF147" i="4"/>
  <c r="AD147" i="4"/>
  <c r="AE147" i="4" s="1"/>
  <c r="AC147" i="4"/>
  <c r="AG146" i="4"/>
  <c r="AF146" i="4"/>
  <c r="AD146" i="4"/>
  <c r="AE146" i="4" s="1"/>
  <c r="AC146" i="4"/>
  <c r="AG145" i="4"/>
  <c r="AF145" i="4"/>
  <c r="AD145" i="4"/>
  <c r="AE145" i="4" s="1"/>
  <c r="AC145" i="4"/>
  <c r="AG144" i="4"/>
  <c r="AF144" i="4"/>
  <c r="AD144" i="4"/>
  <c r="AE144" i="4" s="1"/>
  <c r="AC144" i="4"/>
  <c r="AG143" i="4"/>
  <c r="AF143" i="4"/>
  <c r="AD143" i="4"/>
  <c r="AE143" i="4" s="1"/>
  <c r="AC143" i="4"/>
  <c r="AG142" i="4"/>
  <c r="AF142" i="4"/>
  <c r="AD142" i="4"/>
  <c r="AE142" i="4" s="1"/>
  <c r="AC142" i="4"/>
  <c r="AG141" i="4"/>
  <c r="AF141" i="4"/>
  <c r="AD141" i="4"/>
  <c r="AE141" i="4" s="1"/>
  <c r="AC141" i="4"/>
  <c r="AG140" i="4"/>
  <c r="AF140" i="4"/>
  <c r="AD140" i="4"/>
  <c r="AE140" i="4" s="1"/>
  <c r="AC140" i="4"/>
  <c r="AG139" i="4"/>
  <c r="AF139" i="4"/>
  <c r="AD139" i="4"/>
  <c r="AE139" i="4" s="1"/>
  <c r="AC139" i="4"/>
  <c r="AG138" i="4"/>
  <c r="AF138" i="4"/>
  <c r="AD138" i="4"/>
  <c r="AE138" i="4" s="1"/>
  <c r="AC138" i="4"/>
  <c r="AG137" i="4"/>
  <c r="AF137" i="4"/>
  <c r="AD137" i="4"/>
  <c r="AE137" i="4" s="1"/>
  <c r="AC137" i="4"/>
  <c r="AG136" i="4"/>
  <c r="AF136" i="4"/>
  <c r="AD136" i="4"/>
  <c r="AE136" i="4" s="1"/>
  <c r="AC136" i="4"/>
  <c r="AG135" i="4"/>
  <c r="AF135" i="4"/>
  <c r="AD135" i="4"/>
  <c r="AE135" i="4" s="1"/>
  <c r="AC135" i="4"/>
  <c r="AG134" i="4"/>
  <c r="AF134" i="4"/>
  <c r="AD134" i="4"/>
  <c r="AE134" i="4" s="1"/>
  <c r="AC134" i="4"/>
  <c r="AG133" i="4"/>
  <c r="AF133" i="4"/>
  <c r="AD133" i="4"/>
  <c r="AE133" i="4" s="1"/>
  <c r="AC133" i="4"/>
  <c r="AG132" i="4"/>
  <c r="AF132" i="4"/>
  <c r="AD132" i="4"/>
  <c r="AE132" i="4" s="1"/>
  <c r="AC132" i="4"/>
  <c r="AG131" i="4"/>
  <c r="AF131" i="4"/>
  <c r="AD131" i="4"/>
  <c r="AE131" i="4" s="1"/>
  <c r="AC131" i="4"/>
  <c r="AG130" i="4"/>
  <c r="AF130" i="4"/>
  <c r="AD130" i="4"/>
  <c r="AE130" i="4" s="1"/>
  <c r="AC130" i="4"/>
  <c r="AG129" i="4"/>
  <c r="AF129" i="4"/>
  <c r="AD129" i="4"/>
  <c r="AE129" i="4" s="1"/>
  <c r="AC129" i="4"/>
  <c r="AG128" i="4"/>
  <c r="AF128" i="4"/>
  <c r="AD128" i="4"/>
  <c r="AE128" i="4" s="1"/>
  <c r="AC128" i="4"/>
  <c r="AG127" i="4"/>
  <c r="AF127" i="4"/>
  <c r="AD127" i="4"/>
  <c r="AE127" i="4" s="1"/>
  <c r="AC127" i="4"/>
  <c r="AG126" i="4"/>
  <c r="AF126" i="4"/>
  <c r="AD126" i="4"/>
  <c r="AE126" i="4" s="1"/>
  <c r="AC126" i="4"/>
  <c r="AG125" i="4"/>
  <c r="AF125" i="4"/>
  <c r="AD125" i="4"/>
  <c r="AE125" i="4" s="1"/>
  <c r="AC125" i="4"/>
  <c r="AG124" i="4"/>
  <c r="AF124" i="4"/>
  <c r="AD124" i="4"/>
  <c r="AE124" i="4" s="1"/>
  <c r="AC124" i="4"/>
  <c r="AG123" i="4"/>
  <c r="AF123" i="4"/>
  <c r="AD123" i="4"/>
  <c r="AE123" i="4" s="1"/>
  <c r="AC123" i="4"/>
  <c r="AG122" i="4"/>
  <c r="AF122" i="4"/>
  <c r="AD122" i="4"/>
  <c r="AE122" i="4" s="1"/>
  <c r="AC122" i="4"/>
  <c r="AG121" i="4"/>
  <c r="AF121" i="4"/>
  <c r="AD121" i="4"/>
  <c r="AE121" i="4" s="1"/>
  <c r="AC121" i="4"/>
  <c r="AG120" i="4"/>
  <c r="AF120" i="4"/>
  <c r="AD120" i="4"/>
  <c r="AE120" i="4" s="1"/>
  <c r="AC120" i="4"/>
  <c r="AG119" i="4"/>
  <c r="AF119" i="4"/>
  <c r="AD119" i="4"/>
  <c r="AE119" i="4" s="1"/>
  <c r="AC119" i="4"/>
  <c r="AG118" i="4"/>
  <c r="AF118" i="4"/>
  <c r="AD118" i="4"/>
  <c r="AE118" i="4" s="1"/>
  <c r="AC118" i="4"/>
  <c r="AG117" i="4"/>
  <c r="AF117" i="4"/>
  <c r="AD117" i="4"/>
  <c r="AE117" i="4" s="1"/>
  <c r="AC117" i="4"/>
  <c r="AG116" i="4"/>
  <c r="AF116" i="4"/>
  <c r="AD116" i="4"/>
  <c r="AE116" i="4" s="1"/>
  <c r="AC116" i="4"/>
  <c r="AG115" i="4"/>
  <c r="AF115" i="4"/>
  <c r="AE115" i="4"/>
  <c r="AD115" i="4"/>
  <c r="AC115" i="4"/>
  <c r="AG114" i="4"/>
  <c r="AF114" i="4"/>
  <c r="AD114" i="4"/>
  <c r="AE114" i="4" s="1"/>
  <c r="AC114" i="4"/>
  <c r="AG113" i="4"/>
  <c r="AF113" i="4"/>
  <c r="AD113" i="4"/>
  <c r="AE113" i="4" s="1"/>
  <c r="AC113" i="4"/>
  <c r="AG112" i="4"/>
  <c r="AF112" i="4"/>
  <c r="AD112" i="4"/>
  <c r="AE112" i="4" s="1"/>
  <c r="AC112" i="4"/>
  <c r="AG111" i="4"/>
  <c r="AF111" i="4"/>
  <c r="AD111" i="4"/>
  <c r="AE111" i="4" s="1"/>
  <c r="AC111" i="4"/>
  <c r="AG110" i="4"/>
  <c r="AF110" i="4"/>
  <c r="AD110" i="4"/>
  <c r="AE110" i="4" s="1"/>
  <c r="AC110" i="4"/>
  <c r="AG109" i="4"/>
  <c r="AF109" i="4"/>
  <c r="AD109" i="4"/>
  <c r="AE109" i="4" s="1"/>
  <c r="AC109" i="4"/>
  <c r="AG108" i="4"/>
  <c r="AF108" i="4"/>
  <c r="AD108" i="4"/>
  <c r="AE108" i="4" s="1"/>
  <c r="AC108" i="4"/>
  <c r="AG107" i="4"/>
  <c r="AF107" i="4"/>
  <c r="AD107" i="4"/>
  <c r="AE107" i="4" s="1"/>
  <c r="AC107" i="4"/>
  <c r="AG106" i="4"/>
  <c r="AF106" i="4"/>
  <c r="AD106" i="4"/>
  <c r="AE106" i="4" s="1"/>
  <c r="AC106" i="4"/>
  <c r="AG105" i="4"/>
  <c r="AF105" i="4"/>
  <c r="AD105" i="4"/>
  <c r="AE105" i="4" s="1"/>
  <c r="AC105" i="4"/>
  <c r="AG104" i="4"/>
  <c r="AF104" i="4"/>
  <c r="AD104" i="4"/>
  <c r="AE104" i="4" s="1"/>
  <c r="AC104" i="4"/>
  <c r="AG103" i="4"/>
  <c r="AF103" i="4"/>
  <c r="AD103" i="4"/>
  <c r="AE103" i="4" s="1"/>
  <c r="AC103" i="4"/>
  <c r="AG102" i="4"/>
  <c r="AF102" i="4"/>
  <c r="AD102" i="4"/>
  <c r="AE102" i="4" s="1"/>
  <c r="AC102" i="4"/>
  <c r="AG101" i="4"/>
  <c r="AF101" i="4"/>
  <c r="AD101" i="4"/>
  <c r="AE101" i="4" s="1"/>
  <c r="AC101" i="4"/>
  <c r="AG100" i="4"/>
  <c r="AF100" i="4"/>
  <c r="AD100" i="4"/>
  <c r="AE100" i="4" s="1"/>
  <c r="AC100" i="4"/>
  <c r="AG99" i="4"/>
  <c r="AF99" i="4"/>
  <c r="AD99" i="4"/>
  <c r="AE99" i="4" s="1"/>
  <c r="AC99" i="4"/>
  <c r="AG98" i="4"/>
  <c r="AF98" i="4"/>
  <c r="AD98" i="4"/>
  <c r="AE98" i="4" s="1"/>
  <c r="AC98" i="4"/>
  <c r="AG97" i="4"/>
  <c r="AF97" i="4"/>
  <c r="AD97" i="4"/>
  <c r="AE97" i="4" s="1"/>
  <c r="AC97" i="4"/>
  <c r="AG96" i="4"/>
  <c r="AF96" i="4"/>
  <c r="AE96" i="4"/>
  <c r="AD96" i="4"/>
  <c r="AC96" i="4"/>
  <c r="AG95" i="4"/>
  <c r="AF95" i="4"/>
  <c r="AD95" i="4"/>
  <c r="AE95" i="4" s="1"/>
  <c r="AC95" i="4"/>
  <c r="AG94" i="4"/>
  <c r="AF94" i="4"/>
  <c r="AD94" i="4"/>
  <c r="AE94" i="4" s="1"/>
  <c r="AC94" i="4"/>
  <c r="AG93" i="4"/>
  <c r="AF93" i="4"/>
  <c r="AD93" i="4"/>
  <c r="AE93" i="4" s="1"/>
  <c r="AC93" i="4"/>
  <c r="AG92" i="4"/>
  <c r="AF92" i="4"/>
  <c r="AD92" i="4"/>
  <c r="AE92" i="4" s="1"/>
  <c r="AC92" i="4"/>
  <c r="AG91" i="4"/>
  <c r="AF91" i="4"/>
  <c r="AD91" i="4"/>
  <c r="AE91" i="4" s="1"/>
  <c r="AC91" i="4"/>
  <c r="AG90" i="4"/>
  <c r="AF90" i="4"/>
  <c r="AD90" i="4"/>
  <c r="AE90" i="4" s="1"/>
  <c r="AC90" i="4"/>
  <c r="AG89" i="4"/>
  <c r="AF89" i="4"/>
  <c r="AD89" i="4"/>
  <c r="AE89" i="4" s="1"/>
  <c r="AC89" i="4"/>
  <c r="AG88" i="4"/>
  <c r="AF88" i="4"/>
  <c r="AD88" i="4"/>
  <c r="AE88" i="4" s="1"/>
  <c r="AC88" i="4"/>
  <c r="AG87" i="4"/>
  <c r="AF87" i="4"/>
  <c r="AD87" i="4"/>
  <c r="AE87" i="4" s="1"/>
  <c r="AC87" i="4"/>
  <c r="AG86" i="4"/>
  <c r="AF86" i="4"/>
  <c r="AD86" i="4"/>
  <c r="AE86" i="4" s="1"/>
  <c r="AC86" i="4"/>
  <c r="AG85" i="4"/>
  <c r="AF85" i="4"/>
  <c r="AD85" i="4"/>
  <c r="AE85" i="4" s="1"/>
  <c r="AC85" i="4"/>
  <c r="AG84" i="4"/>
  <c r="AF84" i="4"/>
  <c r="AD84" i="4"/>
  <c r="AE84" i="4" s="1"/>
  <c r="AC84" i="4"/>
  <c r="AG83" i="4"/>
  <c r="AF83" i="4"/>
  <c r="AD83" i="4"/>
  <c r="AE83" i="4" s="1"/>
  <c r="AC83" i="4"/>
  <c r="AG82" i="4"/>
  <c r="AF82" i="4"/>
  <c r="AD82" i="4"/>
  <c r="AE82" i="4" s="1"/>
  <c r="AC82" i="4"/>
  <c r="AG81" i="4"/>
  <c r="AF81" i="4"/>
  <c r="AD81" i="4"/>
  <c r="AE81" i="4" s="1"/>
  <c r="AC81" i="4"/>
  <c r="AG80" i="4"/>
  <c r="AF80" i="4"/>
  <c r="AD80" i="4"/>
  <c r="AE80" i="4" s="1"/>
  <c r="AC80" i="4"/>
  <c r="AG79" i="4"/>
  <c r="AF79" i="4"/>
  <c r="AD79" i="4"/>
  <c r="AE79" i="4" s="1"/>
  <c r="AC79" i="4"/>
  <c r="AG78" i="4"/>
  <c r="AF78" i="4"/>
  <c r="AD78" i="4"/>
  <c r="AE78" i="4" s="1"/>
  <c r="AC78" i="4"/>
  <c r="AG77" i="4"/>
  <c r="AF77" i="4"/>
  <c r="AD77" i="4"/>
  <c r="AE77" i="4" s="1"/>
  <c r="AC77" i="4"/>
  <c r="AG76" i="4"/>
  <c r="AF76" i="4"/>
  <c r="AD76" i="4"/>
  <c r="AE76" i="4" s="1"/>
  <c r="AC76" i="4"/>
  <c r="AG75" i="4"/>
  <c r="AF75" i="4"/>
  <c r="AD75" i="4"/>
  <c r="AE75" i="4" s="1"/>
  <c r="AC75" i="4"/>
  <c r="AG74" i="4"/>
  <c r="AF74" i="4"/>
  <c r="AD74" i="4"/>
  <c r="AE74" i="4" s="1"/>
  <c r="AC74" i="4"/>
  <c r="AG73" i="4"/>
  <c r="AF73" i="4"/>
  <c r="AD73" i="4"/>
  <c r="AE73" i="4" s="1"/>
  <c r="AC73" i="4"/>
  <c r="AG72" i="4"/>
  <c r="AF72" i="4"/>
  <c r="AD72" i="4"/>
  <c r="AE72" i="4" s="1"/>
  <c r="AC72" i="4"/>
  <c r="AG71" i="4"/>
  <c r="AF71" i="4"/>
  <c r="AD71" i="4"/>
  <c r="AE71" i="4" s="1"/>
  <c r="AC71" i="4"/>
  <c r="AG70" i="4"/>
  <c r="AF70" i="4"/>
  <c r="AD70" i="4"/>
  <c r="AE70" i="4" s="1"/>
  <c r="AC70" i="4"/>
  <c r="AG69" i="4"/>
  <c r="AF69" i="4"/>
  <c r="AD69" i="4"/>
  <c r="AE69" i="4" s="1"/>
  <c r="AC69" i="4"/>
  <c r="AG68" i="4"/>
  <c r="AF68" i="4"/>
  <c r="AD68" i="4"/>
  <c r="AE68" i="4" s="1"/>
  <c r="AC68" i="4"/>
  <c r="AG67" i="4"/>
  <c r="AF67" i="4"/>
  <c r="AD67" i="4"/>
  <c r="AE67" i="4" s="1"/>
  <c r="AC67" i="4"/>
  <c r="AG66" i="4"/>
  <c r="AF66" i="4"/>
  <c r="AD66" i="4"/>
  <c r="AE66" i="4" s="1"/>
  <c r="AC66" i="4"/>
  <c r="AG65" i="4"/>
  <c r="AF65" i="4"/>
  <c r="AD65" i="4"/>
  <c r="AE65" i="4" s="1"/>
  <c r="AC65" i="4"/>
  <c r="AG64" i="4"/>
  <c r="AF64" i="4"/>
  <c r="AD64" i="4"/>
  <c r="AE64" i="4" s="1"/>
  <c r="AC64" i="4"/>
  <c r="AG63" i="4"/>
  <c r="AF63" i="4"/>
  <c r="AD63" i="4"/>
  <c r="AE63" i="4" s="1"/>
  <c r="AC63" i="4"/>
  <c r="AG62" i="4"/>
  <c r="AF62" i="4"/>
  <c r="AD62" i="4"/>
  <c r="AE62" i="4" s="1"/>
  <c r="AC62" i="4"/>
  <c r="AG61" i="4"/>
  <c r="AF61" i="4"/>
  <c r="AD61" i="4"/>
  <c r="AE61" i="4" s="1"/>
  <c r="AC61" i="4"/>
  <c r="AG60" i="4"/>
  <c r="AF60" i="4"/>
  <c r="AD60" i="4"/>
  <c r="AE60" i="4" s="1"/>
  <c r="AC60" i="4"/>
  <c r="AG59" i="4"/>
  <c r="AF59" i="4"/>
  <c r="AD59" i="4"/>
  <c r="AE59" i="4" s="1"/>
  <c r="AC59" i="4"/>
  <c r="AG58" i="4"/>
  <c r="AF58" i="4"/>
  <c r="AD58" i="4"/>
  <c r="AE58" i="4" s="1"/>
  <c r="AC58" i="4"/>
  <c r="AG57" i="4"/>
  <c r="AF57" i="4"/>
  <c r="AD57" i="4"/>
  <c r="AE57" i="4" s="1"/>
  <c r="AC57" i="4"/>
  <c r="AG56" i="4"/>
  <c r="AF56" i="4"/>
  <c r="AD56" i="4"/>
  <c r="AE56" i="4" s="1"/>
  <c r="AC56" i="4"/>
  <c r="AG55" i="4"/>
  <c r="AF55" i="4"/>
  <c r="AD55" i="4"/>
  <c r="AE55" i="4" s="1"/>
  <c r="AC55" i="4"/>
  <c r="AG54" i="4"/>
  <c r="AF54" i="4"/>
  <c r="AD54" i="4"/>
  <c r="AE54" i="4" s="1"/>
  <c r="AC54" i="4"/>
  <c r="AG53" i="4"/>
  <c r="AF53" i="4"/>
  <c r="AD53" i="4"/>
  <c r="AE53" i="4" s="1"/>
  <c r="AC53" i="4"/>
  <c r="AG52" i="4"/>
  <c r="AF52" i="4"/>
  <c r="AD52" i="4"/>
  <c r="AE52" i="4" s="1"/>
  <c r="AC52" i="4"/>
  <c r="AG51" i="4"/>
  <c r="AF51" i="4"/>
  <c r="AD51" i="4"/>
  <c r="AE51" i="4" s="1"/>
  <c r="AC51" i="4"/>
  <c r="AG50" i="4"/>
  <c r="AF50" i="4"/>
  <c r="AD50" i="4"/>
  <c r="AE50" i="4" s="1"/>
  <c r="AC50" i="4"/>
  <c r="AG49" i="4"/>
  <c r="AF49" i="4"/>
  <c r="AD49" i="4"/>
  <c r="AE49" i="4" s="1"/>
  <c r="AC49" i="4"/>
  <c r="AG48" i="4"/>
  <c r="AF48" i="4"/>
  <c r="AD48" i="4"/>
  <c r="AE48" i="4" s="1"/>
  <c r="AC48" i="4"/>
  <c r="AG47" i="4"/>
  <c r="AF47" i="4"/>
  <c r="AD47" i="4"/>
  <c r="AE47" i="4" s="1"/>
  <c r="AC47" i="4"/>
  <c r="AG46" i="4"/>
  <c r="AF46" i="4"/>
  <c r="AD46" i="4"/>
  <c r="AE46" i="4" s="1"/>
  <c r="AC46" i="4"/>
  <c r="AG45" i="4"/>
  <c r="AF45" i="4"/>
  <c r="AD45" i="4"/>
  <c r="AE45" i="4" s="1"/>
  <c r="AC45" i="4"/>
  <c r="AG44" i="4"/>
  <c r="AF44" i="4"/>
  <c r="AD44" i="4"/>
  <c r="AE44" i="4" s="1"/>
  <c r="AC44" i="4"/>
  <c r="AG43" i="4"/>
  <c r="AF43" i="4"/>
  <c r="AD43" i="4"/>
  <c r="AE43" i="4" s="1"/>
  <c r="AC43" i="4"/>
  <c r="AG42" i="4"/>
  <c r="AF42" i="4"/>
  <c r="AD42" i="4"/>
  <c r="AE42" i="4" s="1"/>
  <c r="AC42" i="4"/>
  <c r="AG41" i="4"/>
  <c r="AF41" i="4"/>
  <c r="AD41" i="4"/>
  <c r="AE41" i="4" s="1"/>
  <c r="AC41" i="4"/>
  <c r="AG40" i="4"/>
  <c r="AF40" i="4"/>
  <c r="AD40" i="4"/>
  <c r="AE40" i="4" s="1"/>
  <c r="AC40" i="4"/>
  <c r="AG39" i="4"/>
  <c r="AF39" i="4"/>
  <c r="AD39" i="4"/>
  <c r="AE39" i="4" s="1"/>
  <c r="AC39" i="4"/>
  <c r="AG38" i="4"/>
  <c r="AF38" i="4"/>
  <c r="AD38" i="4"/>
  <c r="AE38" i="4" s="1"/>
  <c r="AC38" i="4"/>
  <c r="AG37" i="4"/>
  <c r="AF37" i="4"/>
  <c r="AD37" i="4"/>
  <c r="AE37" i="4" s="1"/>
  <c r="AC37" i="4"/>
  <c r="AG36" i="4"/>
  <c r="AF36" i="4"/>
  <c r="AD36" i="4"/>
  <c r="AE36" i="4" s="1"/>
  <c r="AC36" i="4"/>
  <c r="AG35" i="4"/>
  <c r="AF35" i="4"/>
  <c r="AD35" i="4"/>
  <c r="AE35" i="4" s="1"/>
  <c r="AC35" i="4"/>
  <c r="AG34" i="4"/>
  <c r="AF34" i="4"/>
  <c r="AD34" i="4"/>
  <c r="AE34" i="4" s="1"/>
  <c r="AC34" i="4"/>
  <c r="AG33" i="4"/>
  <c r="AF33" i="4"/>
  <c r="AD33" i="4"/>
  <c r="AE33" i="4" s="1"/>
  <c r="AC33" i="4"/>
  <c r="AG32" i="4"/>
  <c r="AF32" i="4"/>
  <c r="AD32" i="4"/>
  <c r="AE32" i="4" s="1"/>
  <c r="AC32" i="4"/>
  <c r="AG31" i="4"/>
  <c r="AF31" i="4"/>
  <c r="AD31" i="4"/>
  <c r="AE31" i="4" s="1"/>
  <c r="AC31" i="4"/>
  <c r="AG30" i="4"/>
  <c r="AF30" i="4"/>
  <c r="AD30" i="4"/>
  <c r="AE30" i="4" s="1"/>
  <c r="AC30" i="4"/>
  <c r="AG29" i="4"/>
  <c r="AF29" i="4"/>
  <c r="AD29" i="4"/>
  <c r="AE29" i="4" s="1"/>
  <c r="AC29" i="4"/>
  <c r="AG28" i="4"/>
  <c r="AF28" i="4"/>
  <c r="AD28" i="4"/>
  <c r="AE28" i="4" s="1"/>
  <c r="AC28" i="4"/>
  <c r="AG27" i="4"/>
  <c r="AF27" i="4"/>
  <c r="AD27" i="4"/>
  <c r="AE27" i="4" s="1"/>
  <c r="AC27" i="4"/>
  <c r="AG26" i="4"/>
  <c r="AF26" i="4"/>
  <c r="AD26" i="4"/>
  <c r="AE26" i="4" s="1"/>
  <c r="AC26" i="4"/>
  <c r="AG25" i="4"/>
  <c r="AF25" i="4"/>
  <c r="AD25" i="4"/>
  <c r="AE25" i="4" s="1"/>
  <c r="AC25" i="4"/>
  <c r="AG24" i="4"/>
  <c r="AF24" i="4"/>
  <c r="AD24" i="4"/>
  <c r="AE24" i="4" s="1"/>
  <c r="AC24" i="4"/>
  <c r="AG23" i="4"/>
  <c r="AF23" i="4"/>
  <c r="AD23" i="4"/>
  <c r="AE23" i="4" s="1"/>
  <c r="AC23" i="4"/>
  <c r="AG22" i="4"/>
  <c r="AF22" i="4"/>
  <c r="AD22" i="4"/>
  <c r="AC22" i="4"/>
  <c r="AG21" i="4"/>
  <c r="AF21" i="4"/>
  <c r="AD21" i="4"/>
  <c r="AE21" i="4" s="1"/>
  <c r="AC21" i="4"/>
  <c r="AG20" i="4"/>
  <c r="AF20" i="4"/>
  <c r="AD20" i="4"/>
  <c r="AE20" i="4" s="1"/>
  <c r="AC20" i="4"/>
  <c r="AG19" i="4"/>
  <c r="AF19" i="4"/>
  <c r="AD19" i="4"/>
  <c r="AE19" i="4" s="1"/>
  <c r="AC19" i="4"/>
  <c r="AG18" i="4"/>
  <c r="AF18" i="4"/>
  <c r="AD18" i="4"/>
  <c r="AE18" i="4" s="1"/>
  <c r="AC18" i="4"/>
  <c r="AG17" i="4"/>
  <c r="AF17" i="4"/>
  <c r="AD17" i="4"/>
  <c r="AC17" i="4"/>
  <c r="AG16" i="4"/>
  <c r="AF16" i="4"/>
  <c r="AD16" i="4"/>
  <c r="AE16" i="4" s="1"/>
  <c r="AC16" i="4"/>
  <c r="AG15" i="4"/>
  <c r="AF15" i="4"/>
  <c r="AD15" i="4"/>
  <c r="AE15" i="4" s="1"/>
  <c r="AC15" i="4"/>
  <c r="AG14" i="4"/>
  <c r="AF14" i="4"/>
  <c r="AD14" i="4"/>
  <c r="AE14" i="4" s="1"/>
  <c r="AC14" i="4"/>
  <c r="AG13" i="4"/>
  <c r="AF13" i="4"/>
  <c r="AD13" i="4"/>
  <c r="AE13" i="4" s="1"/>
  <c r="AC13" i="4"/>
  <c r="AG12" i="4"/>
  <c r="AF12" i="4"/>
  <c r="AD12" i="4"/>
  <c r="AC12" i="4"/>
  <c r="AG11" i="4"/>
  <c r="AF11" i="4"/>
  <c r="AD11" i="4"/>
  <c r="AE11" i="4" s="1"/>
  <c r="AC11" i="4"/>
  <c r="AG10" i="4"/>
  <c r="AF10" i="4"/>
  <c r="AD10" i="4"/>
  <c r="AE10" i="4" s="1"/>
  <c r="AC10" i="4"/>
  <c r="AG9" i="4"/>
  <c r="AF9" i="4"/>
  <c r="AD9" i="4"/>
  <c r="AC9" i="4"/>
  <c r="AG8" i="4"/>
  <c r="AF8" i="4"/>
  <c r="AD8" i="4"/>
  <c r="AE8" i="4" s="1"/>
  <c r="AC8" i="4"/>
  <c r="AG7" i="4"/>
  <c r="AF7" i="4"/>
  <c r="AD7" i="4"/>
  <c r="AC7" i="4"/>
  <c r="AG6" i="4"/>
  <c r="AF6" i="4"/>
  <c r="AD6" i="4"/>
  <c r="AE6" i="4" s="1"/>
  <c r="AC6" i="4"/>
  <c r="AG5" i="4"/>
  <c r="AF5" i="4"/>
  <c r="AD5" i="4"/>
  <c r="AE5" i="4" s="1"/>
  <c r="AC5" i="4"/>
  <c r="AG4" i="4"/>
  <c r="AF4" i="4"/>
  <c r="AD4" i="4"/>
  <c r="AE4" i="4" s="1"/>
  <c r="AC4" i="4"/>
  <c r="AG3" i="4"/>
  <c r="AF3" i="4"/>
  <c r="AD3" i="4"/>
  <c r="AE3" i="4" s="1"/>
  <c r="AC3" i="4"/>
  <c r="AG2" i="4"/>
  <c r="AF2" i="4"/>
  <c r="AD2" i="4"/>
  <c r="AC2" i="4"/>
  <c r="B7" i="10" s="1"/>
  <c r="L26" i="6" l="1"/>
  <c r="O26" i="6" s="1"/>
  <c r="AE249" i="4"/>
  <c r="L25" i="6"/>
  <c r="O25" i="6" s="1"/>
  <c r="AE241" i="4"/>
  <c r="L24" i="6"/>
  <c r="O24" i="6" s="1"/>
  <c r="AE229" i="4"/>
  <c r="L23" i="6"/>
  <c r="O23" i="6" s="1"/>
  <c r="AE221" i="4"/>
  <c r="AE210" i="4"/>
  <c r="L22" i="6"/>
  <c r="O22" i="6" s="1"/>
  <c r="AE22" i="4"/>
  <c r="L7" i="6"/>
  <c r="O7" i="6" s="1"/>
  <c r="L6" i="6"/>
  <c r="O6" i="6" s="1"/>
  <c r="AE17" i="4"/>
  <c r="L5" i="6"/>
  <c r="O5" i="6" s="1"/>
  <c r="AE12" i="4"/>
  <c r="AE9" i="4"/>
  <c r="L4" i="6"/>
  <c r="O4" i="6" s="1"/>
  <c r="L3" i="6"/>
  <c r="O3" i="6" s="1"/>
  <c r="AE7" i="4"/>
  <c r="B8" i="10"/>
  <c r="B12" i="10" s="1"/>
  <c r="L2" i="6"/>
  <c r="O2" i="6" s="1"/>
  <c r="AE2" i="4"/>
</calcChain>
</file>

<file path=xl/sharedStrings.xml><?xml version="1.0" encoding="utf-8"?>
<sst xmlns="http://schemas.openxmlformats.org/spreadsheetml/2006/main" count="10084" uniqueCount="3710">
  <si>
    <t>Status</t>
  </si>
  <si>
    <t>Approval</t>
  </si>
  <si>
    <t>Operation</t>
  </si>
  <si>
    <t>Attempt Status</t>
  </si>
  <si>
    <t>Selected</t>
  </si>
  <si>
    <t>Provider</t>
  </si>
  <si>
    <t>Severity</t>
  </si>
  <si>
    <t>Not Started</t>
  </si>
  <si>
    <t>Pending</t>
  </si>
  <si>
    <t>Concept</t>
  </si>
  <si>
    <t>Queued</t>
  </si>
  <si>
    <t>No</t>
  </si>
  <si>
    <t>Manual Web App</t>
  </si>
  <si>
    <t>Critical</t>
  </si>
  <si>
    <t>Rejected</t>
  </si>
  <si>
    <t>3D Generation</t>
  </si>
  <si>
    <t>Running</t>
  </si>
  <si>
    <t>Yes</t>
  </si>
  <si>
    <t>API Meshy 6</t>
  </si>
  <si>
    <t>Major</t>
  </si>
  <si>
    <t>Generating</t>
  </si>
  <si>
    <t>Rework</t>
  </si>
  <si>
    <t>Remesh</t>
  </si>
  <si>
    <t>Completed</t>
  </si>
  <si>
    <t>API Smart Topology</t>
  </si>
  <si>
    <t>Minor</t>
  </si>
  <si>
    <t>Post-processing</t>
  </si>
  <si>
    <t>Approved</t>
  </si>
  <si>
    <t>Retexture</t>
  </si>
  <si>
    <t>Failed</t>
  </si>
  <si>
    <t>External Concept</t>
  </si>
  <si>
    <t>Unity QA</t>
  </si>
  <si>
    <t>Rig</t>
  </si>
  <si>
    <t>Cancelled</t>
  </si>
  <si>
    <t>Animation</t>
  </si>
  <si>
    <t>Blocked</t>
  </si>
  <si>
    <t>Convert</t>
  </si>
  <si>
    <t>IDLE MEDIEVAL LEGENDS — MESHY PRODUCTION TRACKER</t>
  </si>
  <si>
    <t>Passo</t>
  </si>
  <si>
    <t>Ação</t>
  </si>
  <si>
    <t>Comece por B00_CALIBRATION.</t>
  </si>
  <si>
    <t>Registre cada operação no Attempt Log.</t>
  </si>
  <si>
    <t>Marque Selected = Yes apenas no candidato escolhido.</t>
  </si>
  <si>
    <t>Ajuste as tarifas antes de iniciar um lote.</t>
  </si>
  <si>
    <t>Não aplique pós-processamento em candidatos rejeitados.</t>
  </si>
  <si>
    <t>Use o arquivo combinado do asset como roteiro.</t>
  </si>
  <si>
    <t>Aprovação no Meshy não substitui QA no Unity.</t>
  </si>
  <si>
    <t>Amplie o Attempt Log quando as 100 linhas iniciais forem usadas.</t>
  </si>
  <si>
    <t>CONFIGURAÇÃO DE CRÉDITOS</t>
  </si>
  <si>
    <t>Operação</t>
  </si>
  <si>
    <t>Créditos</t>
  </si>
  <si>
    <t>Uso</t>
  </si>
  <si>
    <t>0 quando produzido fora do Meshy.</t>
  </si>
  <si>
    <t>Manual; use 30 para API Meshy 6 texturizada.</t>
  </si>
  <si>
    <t>Somente candidato selecionado.</t>
  </si>
  <si>
    <t>Correção opcional.</t>
  </si>
  <si>
    <t>Somente personagem aprovado.</t>
  </si>
  <si>
    <t>Por animação; priorizar retargeting.</t>
  </si>
  <si>
    <t>rate_key</t>
  </si>
  <si>
    <t>operation</t>
  </si>
  <si>
    <t>profile</t>
  </si>
  <si>
    <t>credits</t>
  </si>
  <si>
    <t>unit</t>
  </si>
  <si>
    <t>verified_at</t>
  </si>
  <si>
    <t>source_url</t>
  </si>
  <si>
    <t>WEBAPP_FULL_3D</t>
  </si>
  <si>
    <t>Full Text/Image to 3D</t>
  </si>
  <si>
    <t>per generation</t>
  </si>
  <si>
    <t>2026-07-24</t>
  </si>
  <si>
    <t>https://docs.meshy.ai/en/webapp/pricing</t>
  </si>
  <si>
    <t>API_IMAGE3D_MESHY6_TEXTURED</t>
  </si>
  <si>
    <t>Image/Multi-Image to 3D with texture</t>
  </si>
  <si>
    <t>per call</t>
  </si>
  <si>
    <t>https://docs.meshy.ai/en/api/pricing</t>
  </si>
  <si>
    <t>REMESH</t>
  </si>
  <si>
    <t>per task</t>
  </si>
  <si>
    <t>RETEXTURE</t>
  </si>
  <si>
    <t>AUTO_RIG</t>
  </si>
  <si>
    <t>Auto-Rigging</t>
  </si>
  <si>
    <t>per character</t>
  </si>
  <si>
    <t>ANIMATION</t>
  </si>
  <si>
    <t>per animation</t>
  </si>
  <si>
    <t>TEXT_IMAGE_HIGH</t>
  </si>
  <si>
    <t>Text to Image high fidelity</t>
  </si>
  <si>
    <t>Concept art</t>
  </si>
  <si>
    <t>per image</t>
  </si>
  <si>
    <t>asset_id</t>
  </si>
  <si>
    <t>display_name_pt</t>
  </si>
  <si>
    <t>display_name_en</t>
  </si>
  <si>
    <t>source_task</t>
  </si>
  <si>
    <t>asset_group</t>
  </si>
  <si>
    <t>category</t>
  </si>
  <si>
    <t>subcategory</t>
  </si>
  <si>
    <t>phase</t>
  </si>
  <si>
    <t>priority</t>
  </si>
  <si>
    <t>batch_id</t>
  </si>
  <si>
    <t>generation_method</t>
  </si>
  <si>
    <t>source_art_required</t>
  </si>
  <si>
    <t>target_polycount</t>
  </si>
  <si>
    <t>texture_resolution</t>
  </si>
  <si>
    <t>rig_required</t>
  </si>
  <si>
    <t>animation_set</t>
  </si>
  <si>
    <t>concept_prompt</t>
  </si>
  <si>
    <t>geometry_prompt</t>
  </si>
  <si>
    <t>texture_prompt</t>
  </si>
  <si>
    <t>concept_attempts_planned</t>
  </si>
  <si>
    <t>geometry_attempts_planned</t>
  </si>
  <si>
    <t>remesh_attempts_planned</t>
  </si>
  <si>
    <t>retexture_attempts_planned</t>
  </si>
  <si>
    <t>rig_attempts_planned</t>
  </si>
  <si>
    <t>approval_criteria</t>
  </si>
  <si>
    <t>unity_path</t>
  </si>
  <si>
    <t>status</t>
  </si>
  <si>
    <t>approval_status</t>
  </si>
  <si>
    <t>planned_credits</t>
  </si>
  <si>
    <t>actual_credits</t>
  </si>
  <si>
    <t>variance</t>
  </si>
  <si>
    <t>attempt_count</t>
  </si>
  <si>
    <t>selected_score</t>
  </si>
  <si>
    <t>enemy_goblin_scavenger_001</t>
  </si>
  <si>
    <t>Goblin Saqueador</t>
  </si>
  <si>
    <t>Goblin Scavenger</t>
  </si>
  <si>
    <t>Task016</t>
  </si>
  <si>
    <t>Character</t>
  </si>
  <si>
    <t>Common Enemy</t>
  </si>
  <si>
    <t>Common</t>
  </si>
  <si>
    <t>Vertical Slice</t>
  </si>
  <si>
    <t>P0</t>
  </si>
  <si>
    <t>B00_CALIBRATION</t>
  </si>
  <si>
    <t>Image to 3D</t>
  </si>
  <si>
    <t>1024×1024</t>
  </si>
  <si>
    <t>anim_enemy_goblin_melee</t>
  </si>
  <si>
    <t>Reads as lowest-tier scavenger; remains threatening rather than adorable; backpack and ears create silhouette; feet and hands are riggable; no prop intersects elbow range.</t>
  </si>
  <si>
    <t>Assets/_Game/Art/Characters/enemy_goblin_scavenger_001</t>
  </si>
  <si>
    <t>env_goblin_mine_goblin_crate_001</t>
  </si>
  <si>
    <t>Caixote Goblin</t>
  </si>
  <si>
    <t>Goblin Crate</t>
  </si>
  <si>
    <t>Task018</t>
  </si>
  <si>
    <t>Environment</t>
  </si>
  <si>
    <t>prop</t>
  </si>
  <si>
    <t>Text to 3D</t>
  </si>
  <si>
    <t>Optional</t>
  </si>
  <si>
    <t>1024x1024</t>
  </si>
  <si>
    <t>None</t>
  </si>
  <si>
    <t>Silhouette readable; correct scale; grid/pivot compliance; material separation; no baked VFX; LOD budget met; mobile camera test passed</t>
  </si>
  <si>
    <t>Assets/_Game/Art/Environments/goblin_mine/Models</t>
  </si>
  <si>
    <t>equipment_sword_1h_t01_base</t>
  </si>
  <si>
    <t>Espada de Uma Mão T1</t>
  </si>
  <si>
    <t>One-Handed Sword T1</t>
  </si>
  <si>
    <t>Task017</t>
  </si>
  <si>
    <t>Equipment</t>
  </si>
  <si>
    <t>Weapon</t>
  </si>
  <si>
    <t>sword_1h</t>
  </si>
  <si>
    <t>1024</t>
  </si>
  <si>
    <t>readable at inventory scale; tier identity clear without UI; all six rarity variants preserve family; pivot and scale correct; no fragile geometry; URP PBR maps valid</t>
  </si>
  <si>
    <t>Assets/_Game/Art/Equipment/Weapon/sword_1h/T1/Models</t>
  </si>
  <si>
    <t>hero_paladin_001</t>
  </si>
  <si>
    <t>Paladino</t>
  </si>
  <si>
    <t>Paladin</t>
  </si>
  <si>
    <t>Playable Hero</t>
  </si>
  <si>
    <t>Hero</t>
  </si>
  <si>
    <t>Multi-view Image to 3D</t>
  </si>
  <si>
    <t>2048×2048</t>
  </si>
  <si>
    <t>anim_hero_tank_humanoid</t>
  </si>
  <si>
    <t>Recognizable as tank at 128 px; head unobstructed; shield does not hide the entire torso; sword and shield detachable; limbs deform cleanly; no thin floating filigree; palette matches approved swatches.</t>
  </si>
  <si>
    <t>Assets/_Game/Art/Characters/hero_paladin_001</t>
  </si>
  <si>
    <t>station_blacksmith_t01_001</t>
  </si>
  <si>
    <t>Forja T1</t>
  </si>
  <si>
    <t>Forge T1</t>
  </si>
  <si>
    <t>Station</t>
  </si>
  <si>
    <t>Crafting Station</t>
  </si>
  <si>
    <t>Blacksmith</t>
  </si>
  <si>
    <t>anim_station_blacksmith</t>
  </si>
  <si>
    <t>Profession readable without UI; Tier milestone visible; work zone clear; sockets valid; no baked animation/VFX; LOD budget met; 3/4 camera test passed</t>
  </si>
  <si>
    <t>Assets/_Game/Art/Crafting/Stations/Blacksmith/T1</t>
  </si>
  <si>
    <t>hero_archer_001</t>
  </si>
  <si>
    <t>Arqueira</t>
  </si>
  <si>
    <t>Archer</t>
  </si>
  <si>
    <t>B01_HEROES</t>
  </si>
  <si>
    <t>anim_hero_ranged_humanoid</t>
  </si>
  <si>
    <t>Recognizable as ranged hero at 128 px; bow is thick enough for mobile silhouette; shoulders and elbows have clear deformation space; quiver does not intersect cape; outfit remains practical and non-sexualized.</t>
  </si>
  <si>
    <t>Assets/_Game/Art/Characters/hero_archer_001</t>
  </si>
  <si>
    <t>hero_mage_001</t>
  </si>
  <si>
    <t>Mago</t>
  </si>
  <si>
    <t>Mage</t>
  </si>
  <si>
    <t>anim_hero_caster_humanoid</t>
  </si>
  <si>
    <t>Readable caster silhouette at 128 px; staff crystal is clear focal point; cloth has rig-safe splits; emission remains under 10% of visible surface; no floating pieces required to understand the model.</t>
  </si>
  <si>
    <t>Assets/_Game/Art/Characters/hero_mage_001</t>
  </si>
  <si>
    <t>enemy_goblin_archer_001</t>
  </si>
  <si>
    <t>Arqueiro Goblin</t>
  </si>
  <si>
    <t>Goblin Archer</t>
  </si>
  <si>
    <t>B02_GOBLIN_COMMONS</t>
  </si>
  <si>
    <t>anim_enemy_goblin_ranged</t>
  </si>
  <si>
    <t>Distinct from Ranger through lower complexity and shortbow scale; clear draw-arm space; quiver avoids shoulder clipping; remains readable at battle camera distance.</t>
  </si>
  <si>
    <t>Assets/_Game/Art/Characters/enemy_goblin_archer_001</t>
  </si>
  <si>
    <t>enemy_goblin_shaman_001</t>
  </si>
  <si>
    <t>Xamã Goblin</t>
  </si>
  <si>
    <t>Goblin Shaman</t>
  </si>
  <si>
    <t>Special Enemy</t>
  </si>
  <si>
    <t>Special</t>
  </si>
  <si>
    <t>anim_enemy_goblin_caster</t>
  </si>
  <si>
    <t>Caster role readable without VFX; staff remains primary focal point; accessories do not create fragile geometry; silhouette differs from High Shaman through lower height and simpler maskless head.</t>
  </si>
  <si>
    <t>Assets/_Game/Art/Characters/enemy_goblin_shaman_001</t>
  </si>
  <si>
    <t>enemy_goblin_warrior_001</t>
  </si>
  <si>
    <t>Guerreiro Goblin</t>
  </si>
  <si>
    <t>Goblin Warrior</t>
  </si>
  <si>
    <t>Clearly stronger than Scavenger but below elites; shield side remains readable; armor is improvised; face and ears visible; weapon sockets align with animation set.</t>
  </si>
  <si>
    <t>Assets/_Game/Art/Characters/enemy_goblin_warrior_001</t>
  </si>
  <si>
    <t>boss_goblin_chieftain_001</t>
  </si>
  <si>
    <t>Chefe Goblin</t>
  </si>
  <si>
    <t>Goblin Chieftain</t>
  </si>
  <si>
    <t>Mid-Boss</t>
  </si>
  <si>
    <t>B03_GOBLIN_ELITES_BOSSES</t>
  </si>
  <si>
    <t>anim_boss_goblin_chieftain</t>
  </si>
  <si>
    <t>Immediately reads as mid-boss and commander; at least 20% larger than common goblins; limbs remain animation-friendly; trophies are chunky and limited; does not visually surpass Goblin King.</t>
  </si>
  <si>
    <t>Assets/_Game/Art/Characters/boss_goblin_chieftain_001</t>
  </si>
  <si>
    <t>boss_goblin_king_001</t>
  </si>
  <si>
    <t>Rei Goblin</t>
  </si>
  <si>
    <t>Goblin King</t>
  </si>
  <si>
    <t>Final Boss</t>
  </si>
  <si>
    <t>anim_boss_goblin_king</t>
  </si>
  <si>
    <t>Dominates all goblin silhouettes without becoming an orc; 35–45% larger than common goblins; crown, blade and relic remain distinct; supports multi-phase animation; emission communicates corruption without erasing material readability.</t>
  </si>
  <si>
    <t>Assets/_Game/Art/Characters/boss_goblin_king_001</t>
  </si>
  <si>
    <t>enemy_goblin_high_shaman_001</t>
  </si>
  <si>
    <t>Alto Xamã Goblin</t>
  </si>
  <si>
    <t>Goblin High Shaman</t>
  </si>
  <si>
    <t>Elite Enemy</t>
  </si>
  <si>
    <t>Elite</t>
  </si>
  <si>
    <t>Reads as advanced caster and narrative corruption bridge; clearly more formal than basic Shaman; emission stays controlled; mask and charms remain chunky, rig-safe and culturally fictional.</t>
  </si>
  <si>
    <t>Assets/_Game/Art/Characters/enemy_goblin_high_shaman_001</t>
  </si>
  <si>
    <t>enemy_goblin_ranger_001</t>
  </si>
  <si>
    <t>Patrulheiro Goblin</t>
  </si>
  <si>
    <t>Goblin Ranger</t>
  </si>
  <si>
    <t>Instantly distinguishable from Archer by longbow, darker palette and trap shapes; elite without looking magical; satchels do not block hip or leg animation.</t>
  </si>
  <si>
    <t>Assets/_Game/Art/Characters/enemy_goblin_ranger_001</t>
  </si>
  <si>
    <t>enemy_hobgoblin_knight_001</t>
  </si>
  <si>
    <t>Cavaleiro Hobgoblin</t>
  </si>
  <si>
    <t>Hobgoblin Knight</t>
  </si>
  <si>
    <t>anim_enemy_humanoid_melee</t>
  </si>
  <si>
    <t>Clearly a different military caste; taller than heroes’ waistline and common goblins; armor appears standardized; tower shield can animate without leg collision; face remains goblinoid.</t>
  </si>
  <si>
    <t>Assets/_Game/Art/Characters/enemy_hobgoblin_knight_001</t>
  </si>
  <si>
    <t>equipment_amulet_t01_base</t>
  </si>
  <si>
    <t>Amuleto T1</t>
  </si>
  <si>
    <t>Amulet T1</t>
  </si>
  <si>
    <t>Accessory</t>
  </si>
  <si>
    <t>amulet</t>
  </si>
  <si>
    <t>B04_T1_WEAPONS_ACCESSORIES</t>
  </si>
  <si>
    <t>512</t>
  </si>
  <si>
    <t>Assets/_Game/Art/Equipment/Accessory/amulet/T1/Models</t>
  </si>
  <si>
    <t>equipment_longbow_t01_base</t>
  </si>
  <si>
    <t>Arco Longo T1</t>
  </si>
  <si>
    <t>Longbow T1</t>
  </si>
  <si>
    <t>longbow</t>
  </si>
  <si>
    <t>Assets/_Game/Art/Equipment/Weapon/longbow/T1/Models</t>
  </si>
  <si>
    <t>equipment_ring_t01_base</t>
  </si>
  <si>
    <t>Anel T1</t>
  </si>
  <si>
    <t>Ring T1</t>
  </si>
  <si>
    <t>ring</t>
  </si>
  <si>
    <t>Assets/_Game/Art/Equipment/Accessory/ring/T1/Models</t>
  </si>
  <si>
    <t>equipment_shield_t01_base</t>
  </si>
  <si>
    <t>Escudo T1</t>
  </si>
  <si>
    <t>Shield T1</t>
  </si>
  <si>
    <t>shield</t>
  </si>
  <si>
    <t>Assets/_Game/Art/Equipment/Weapon/shield/T1/Models</t>
  </si>
  <si>
    <t>equipment_staff_t01_base</t>
  </si>
  <si>
    <t>Cajado T1</t>
  </si>
  <si>
    <t>Staff T1</t>
  </si>
  <si>
    <t>staff</t>
  </si>
  <si>
    <t>Assets/_Game/Art/Equipment/Weapon/staff/T1/Models</t>
  </si>
  <si>
    <t>equipment_cloth_boots_t01_base</t>
  </si>
  <si>
    <t>Botas Arcanas T1</t>
  </si>
  <si>
    <t>Arcane Boots T1</t>
  </si>
  <si>
    <t>Cloth Armor</t>
  </si>
  <si>
    <t>cloth_boots</t>
  </si>
  <si>
    <t>B05_T1_ARMOR</t>
  </si>
  <si>
    <t>Assets/_Game/Art/Equipment/ClothArmor/cloth_boots/T1/Models</t>
  </si>
  <si>
    <t>equipment_cloth_gloves_t01_base</t>
  </si>
  <si>
    <t>Luvas Arcanas T1</t>
  </si>
  <si>
    <t>Arcane Gloves T1</t>
  </si>
  <si>
    <t>cloth_gloves</t>
  </si>
  <si>
    <t>Assets/_Game/Art/Equipment/ClothArmor/cloth_gloves/T1/Models</t>
  </si>
  <si>
    <t>equipment_cloth_hood_t01_base</t>
  </si>
  <si>
    <t>Capuz Arcano T1</t>
  </si>
  <si>
    <t>Arcane Hood T1</t>
  </si>
  <si>
    <t>cloth_hood</t>
  </si>
  <si>
    <t>Assets/_Game/Art/Equipment/ClothArmor/cloth_hood/T1/Models</t>
  </si>
  <si>
    <t>equipment_cloth_robe_t01_base</t>
  </si>
  <si>
    <t>Manto Arcano T1</t>
  </si>
  <si>
    <t>Arcane Robe T1</t>
  </si>
  <si>
    <t>cloth_robe</t>
  </si>
  <si>
    <t>Assets/_Game/Art/Equipment/ClothArmor/cloth_robe/T1/Models</t>
  </si>
  <si>
    <t>equipment_heavy_boots_t01_base</t>
  </si>
  <si>
    <t>Botas Pesadas T1</t>
  </si>
  <si>
    <t>Heavy Boots T1</t>
  </si>
  <si>
    <t>Heavy Armor</t>
  </si>
  <si>
    <t>heavy_boots</t>
  </si>
  <si>
    <t>Assets/_Game/Art/Equipment/HeavyArmor/heavy_boots/T1/Models</t>
  </si>
  <si>
    <t>equipment_heavy_chest_t01_base</t>
  </si>
  <si>
    <t>Peitoral Pesado T1</t>
  </si>
  <si>
    <t>Heavy Chest Armor T1</t>
  </si>
  <si>
    <t>heavy_chest</t>
  </si>
  <si>
    <t>Assets/_Game/Art/Equipment/HeavyArmor/heavy_chest/T1/Models</t>
  </si>
  <si>
    <t>equipment_heavy_gloves_t01_base</t>
  </si>
  <si>
    <t>Manoplas Pesadas T1</t>
  </si>
  <si>
    <t>Heavy Gauntlets T1</t>
  </si>
  <si>
    <t>heavy_gloves</t>
  </si>
  <si>
    <t>Assets/_Game/Art/Equipment/HeavyArmor/heavy_gloves/T1/Models</t>
  </si>
  <si>
    <t>equipment_heavy_helmet_t01_base</t>
  </si>
  <si>
    <t>Elmo Pesado T1</t>
  </si>
  <si>
    <t>Heavy Helmet T1</t>
  </si>
  <si>
    <t>heavy_helmet</t>
  </si>
  <si>
    <t>Assets/_Game/Art/Equipment/HeavyArmor/heavy_helmet/T1/Models</t>
  </si>
  <si>
    <t>equipment_light_boots_t01_base</t>
  </si>
  <si>
    <t>Botas Leves T1</t>
  </si>
  <si>
    <t>Light Boots T1</t>
  </si>
  <si>
    <t>Light Armor</t>
  </si>
  <si>
    <t>light_boots</t>
  </si>
  <si>
    <t>Assets/_Game/Art/Equipment/LightArmor/light_boots/T1/Models</t>
  </si>
  <si>
    <t>equipment_light_chest_t01_base</t>
  </si>
  <si>
    <t>Armadura Leve T1</t>
  </si>
  <si>
    <t>Light Chest Armor T1</t>
  </si>
  <si>
    <t>light_chest</t>
  </si>
  <si>
    <t>Assets/_Game/Art/Equipment/LightArmor/light_chest/T1/Models</t>
  </si>
  <si>
    <t>equipment_light_gloves_t01_base</t>
  </si>
  <si>
    <t>Luvas Leves T1</t>
  </si>
  <si>
    <t>Light Gloves T1</t>
  </si>
  <si>
    <t>light_gloves</t>
  </si>
  <si>
    <t>Assets/_Game/Art/Equipment/LightArmor/light_gloves/T1/Models</t>
  </si>
  <si>
    <t>equipment_light_hood_t01_base</t>
  </si>
  <si>
    <t>Capuz Leve T1</t>
  </si>
  <si>
    <t>Light Hood T1</t>
  </si>
  <si>
    <t>light_hood</t>
  </si>
  <si>
    <t>Assets/_Game/Art/Equipment/LightArmor/light_hood/T1/Models</t>
  </si>
  <si>
    <t>station_alchemist_t01_001</t>
  </si>
  <si>
    <t>Laboratório T1</t>
  </si>
  <si>
    <t>Laboratory T1</t>
  </si>
  <si>
    <t>Alchemist</t>
  </si>
  <si>
    <t>B06_STATIONS_T1</t>
  </si>
  <si>
    <t>anim_station_alchemist</t>
  </si>
  <si>
    <t>Assets/_Game/Art/Crafting/Stations/Alchemist/T1</t>
  </si>
  <si>
    <t>station_enchanter_t01_001</t>
  </si>
  <si>
    <t>Mesa Arcana T1</t>
  </si>
  <si>
    <t>Arcane Table T1</t>
  </si>
  <si>
    <t>Enchanter</t>
  </si>
  <si>
    <t>anim_station_enchanter</t>
  </si>
  <si>
    <t>Assets/_Game/Art/Crafting/Stations/Enchanter/T1</t>
  </si>
  <si>
    <t>station_gatherer_t01_001</t>
  </si>
  <si>
    <t>Acampamento de Expedição T1</t>
  </si>
  <si>
    <t>Expedition Camp T1</t>
  </si>
  <si>
    <t>Gatherer</t>
  </si>
  <si>
    <t>anim_station_gatherer</t>
  </si>
  <si>
    <t>Assets/_Game/Art/Crafting/Stations/Gatherer/T1</t>
  </si>
  <si>
    <t>station_tailor_t01_001</t>
  </si>
  <si>
    <t>Ateliê T1</t>
  </si>
  <si>
    <t>Atelier T1</t>
  </si>
  <si>
    <t>Tailor</t>
  </si>
  <si>
    <t>anim_station_tailor</t>
  </si>
  <si>
    <t>Assets/_Game/Art/Crafting/Stations/Tailor/T1</t>
  </si>
  <si>
    <t>env_goblin_mine_ground_dirt_tile_001</t>
  </si>
  <si>
    <t>Piso de Terra</t>
  </si>
  <si>
    <t>Dirt Ground Tile</t>
  </si>
  <si>
    <t>tile</t>
  </si>
  <si>
    <t>B07_GOBLIN_ENV_CORE</t>
  </si>
  <si>
    <t>env_goblin_mine_ground_stone_tile_001</t>
  </si>
  <si>
    <t>Piso de Pedra</t>
  </si>
  <si>
    <t>Stone Ground Tile</t>
  </si>
  <si>
    <t>env_goblin_mine_mine_arch_001</t>
  </si>
  <si>
    <t>Arco de Mina</t>
  </si>
  <si>
    <t>Mine Arch</t>
  </si>
  <si>
    <t>structure</t>
  </si>
  <si>
    <t>env_goblin_mine_mine_track_curve_001</t>
  </si>
  <si>
    <t>Trilho Curvo</t>
  </si>
  <si>
    <t>Curved Mine Track</t>
  </si>
  <si>
    <t>modular prop</t>
  </si>
  <si>
    <t>env_goblin_mine_mine_track_straight_001</t>
  </si>
  <si>
    <t>Trilho Reto</t>
  </si>
  <si>
    <t>Straight Mine Track</t>
  </si>
  <si>
    <t>env_goblin_mine_mine_wall_corner_001</t>
  </si>
  <si>
    <t>Canto de Mina</t>
  </si>
  <si>
    <t>Mine Wall Corner</t>
  </si>
  <si>
    <t>wall</t>
  </si>
  <si>
    <t>env_goblin_mine_mine_wall_straight_001</t>
  </si>
  <si>
    <t>Parede de Mina Reta</t>
  </si>
  <si>
    <t>Straight Mine Wall</t>
  </si>
  <si>
    <t>env_goblin_mine_wood_support_beam_001</t>
  </si>
  <si>
    <t>Viga de Suporte</t>
  </si>
  <si>
    <t>Wood Support Beam</t>
  </si>
  <si>
    <t>equipment_amulet_t02_base</t>
  </si>
  <si>
    <t>Amuleto T2</t>
  </si>
  <si>
    <t>Amulet T2</t>
  </si>
  <si>
    <t>MVP</t>
  </si>
  <si>
    <t>P1</t>
  </si>
  <si>
    <t>B08_EQUIPMENT_T2</t>
  </si>
  <si>
    <t>Assets/_Game/Art/Equipment/Accessory/amulet/T2/Models</t>
  </si>
  <si>
    <t>equipment_cloth_boots_t02_base</t>
  </si>
  <si>
    <t>Botas Arcanas T2</t>
  </si>
  <si>
    <t>Arcane Boots T2</t>
  </si>
  <si>
    <t>Assets/_Game/Art/Equipment/ClothArmor/cloth_boots/T2/Models</t>
  </si>
  <si>
    <t>equipment_cloth_gloves_t02_base</t>
  </si>
  <si>
    <t>Luvas Arcanas T2</t>
  </si>
  <si>
    <t>Arcane Gloves T2</t>
  </si>
  <si>
    <t>Assets/_Game/Art/Equipment/ClothArmor/cloth_gloves/T2/Models</t>
  </si>
  <si>
    <t>equipment_cloth_hood_t02_base</t>
  </si>
  <si>
    <t>Capuz Arcano T2</t>
  </si>
  <si>
    <t>Arcane Hood T2</t>
  </si>
  <si>
    <t>Assets/_Game/Art/Equipment/ClothArmor/cloth_hood/T2/Models</t>
  </si>
  <si>
    <t>equipment_cloth_robe_t02_base</t>
  </si>
  <si>
    <t>Manto Arcano T2</t>
  </si>
  <si>
    <t>Arcane Robe T2</t>
  </si>
  <si>
    <t>Assets/_Game/Art/Equipment/ClothArmor/cloth_robe/T2/Models</t>
  </si>
  <si>
    <t>equipment_heavy_boots_t02_base</t>
  </si>
  <si>
    <t>Botas Pesadas T2</t>
  </si>
  <si>
    <t>Heavy Boots T2</t>
  </si>
  <si>
    <t>Assets/_Game/Art/Equipment/HeavyArmor/heavy_boots/T2/Models</t>
  </si>
  <si>
    <t>equipment_heavy_chest_t02_base</t>
  </si>
  <si>
    <t>Peitoral Pesado T2</t>
  </si>
  <si>
    <t>Heavy Chest Armor T2</t>
  </si>
  <si>
    <t>Assets/_Game/Art/Equipment/HeavyArmor/heavy_chest/T2/Models</t>
  </si>
  <si>
    <t>equipment_heavy_gloves_t02_base</t>
  </si>
  <si>
    <t>Manoplas Pesadas T2</t>
  </si>
  <si>
    <t>Heavy Gauntlets T2</t>
  </si>
  <si>
    <t>Assets/_Game/Art/Equipment/HeavyArmor/heavy_gloves/T2/Models</t>
  </si>
  <si>
    <t>equipment_heavy_helmet_t02_base</t>
  </si>
  <si>
    <t>Elmo Pesado T2</t>
  </si>
  <si>
    <t>Heavy Helmet T2</t>
  </si>
  <si>
    <t>Assets/_Game/Art/Equipment/HeavyArmor/heavy_helmet/T2/Models</t>
  </si>
  <si>
    <t>equipment_light_boots_t02_base</t>
  </si>
  <si>
    <t>Botas Leves T2</t>
  </si>
  <si>
    <t>Light Boots T2</t>
  </si>
  <si>
    <t>Assets/_Game/Art/Equipment/LightArmor/light_boots/T2/Models</t>
  </si>
  <si>
    <t>equipment_light_chest_t02_base</t>
  </si>
  <si>
    <t>Armadura Leve T2</t>
  </si>
  <si>
    <t>Light Chest Armor T2</t>
  </si>
  <si>
    <t>Assets/_Game/Art/Equipment/LightArmor/light_chest/T2/Models</t>
  </si>
  <si>
    <t>equipment_light_gloves_t02_base</t>
  </si>
  <si>
    <t>Luvas Leves T2</t>
  </si>
  <si>
    <t>Light Gloves T2</t>
  </si>
  <si>
    <t>Assets/_Game/Art/Equipment/LightArmor/light_gloves/T2/Models</t>
  </si>
  <si>
    <t>equipment_light_hood_t02_base</t>
  </si>
  <si>
    <t>Capuz Leve T2</t>
  </si>
  <si>
    <t>Light Hood T2</t>
  </si>
  <si>
    <t>Assets/_Game/Art/Equipment/LightArmor/light_hood/T2/Models</t>
  </si>
  <si>
    <t>equipment_longbow_t02_base</t>
  </si>
  <si>
    <t>Arco Longo T2</t>
  </si>
  <si>
    <t>Longbow T2</t>
  </si>
  <si>
    <t>Assets/_Game/Art/Equipment/Weapon/longbow/T2/Models</t>
  </si>
  <si>
    <t>equipment_ring_t02_base</t>
  </si>
  <si>
    <t>Anel T2</t>
  </si>
  <si>
    <t>Ring T2</t>
  </si>
  <si>
    <t>Assets/_Game/Art/Equipment/Accessory/ring/T2/Models</t>
  </si>
  <si>
    <t>equipment_shield_t02_base</t>
  </si>
  <si>
    <t>Escudo T2</t>
  </si>
  <si>
    <t>Shield T2</t>
  </si>
  <si>
    <t>Assets/_Game/Art/Equipment/Weapon/shield/T2/Models</t>
  </si>
  <si>
    <t>equipment_staff_t02_base</t>
  </si>
  <si>
    <t>Cajado T2</t>
  </si>
  <si>
    <t>Staff T2</t>
  </si>
  <si>
    <t>Assets/_Game/Art/Equipment/Weapon/staff/T2/Models</t>
  </si>
  <si>
    <t>equipment_sword_1h_t02_base</t>
  </si>
  <si>
    <t>Espada de Uma Mão T2</t>
  </si>
  <si>
    <t>One-Handed Sword T2</t>
  </si>
  <si>
    <t>Assets/_Game/Art/Equipment/Weapon/sword_1h/T2/Models</t>
  </si>
  <si>
    <t>equipment_amulet_t03_base</t>
  </si>
  <si>
    <t>Amuleto T3</t>
  </si>
  <si>
    <t>Amulet T3</t>
  </si>
  <si>
    <t>B09_EQUIPMENT_T3</t>
  </si>
  <si>
    <t>Assets/_Game/Art/Equipment/Accessory/amulet/T3/Models</t>
  </si>
  <si>
    <t>equipment_cloth_boots_t03_base</t>
  </si>
  <si>
    <t>Botas Arcanas T3</t>
  </si>
  <si>
    <t>Arcane Boots T3</t>
  </si>
  <si>
    <t>Assets/_Game/Art/Equipment/ClothArmor/cloth_boots/T3/Models</t>
  </si>
  <si>
    <t>equipment_cloth_gloves_t03_base</t>
  </si>
  <si>
    <t>Luvas Arcanas T3</t>
  </si>
  <si>
    <t>Arcane Gloves T3</t>
  </si>
  <si>
    <t>Assets/_Game/Art/Equipment/ClothArmor/cloth_gloves/T3/Models</t>
  </si>
  <si>
    <t>equipment_cloth_hood_t03_base</t>
  </si>
  <si>
    <t>Capuz Arcano T3</t>
  </si>
  <si>
    <t>Arcane Hood T3</t>
  </si>
  <si>
    <t>Assets/_Game/Art/Equipment/ClothArmor/cloth_hood/T3/Models</t>
  </si>
  <si>
    <t>equipment_cloth_robe_t03_base</t>
  </si>
  <si>
    <t>Manto Arcano T3</t>
  </si>
  <si>
    <t>Arcane Robe T3</t>
  </si>
  <si>
    <t>Assets/_Game/Art/Equipment/ClothArmor/cloth_robe/T3/Models</t>
  </si>
  <si>
    <t>equipment_heavy_boots_t03_base</t>
  </si>
  <si>
    <t>Botas Pesadas T3</t>
  </si>
  <si>
    <t>Heavy Boots T3</t>
  </si>
  <si>
    <t>Assets/_Game/Art/Equipment/HeavyArmor/heavy_boots/T3/Models</t>
  </si>
  <si>
    <t>equipment_heavy_chest_t03_base</t>
  </si>
  <si>
    <t>Peitoral Pesado T3</t>
  </si>
  <si>
    <t>Heavy Chest Armor T3</t>
  </si>
  <si>
    <t>Assets/_Game/Art/Equipment/HeavyArmor/heavy_chest/T3/Models</t>
  </si>
  <si>
    <t>equipment_heavy_gloves_t03_base</t>
  </si>
  <si>
    <t>Manoplas Pesadas T3</t>
  </si>
  <si>
    <t>Heavy Gauntlets T3</t>
  </si>
  <si>
    <t>Assets/_Game/Art/Equipment/HeavyArmor/heavy_gloves/T3/Models</t>
  </si>
  <si>
    <t>equipment_heavy_helmet_t03_base</t>
  </si>
  <si>
    <t>Elmo Pesado T3</t>
  </si>
  <si>
    <t>Heavy Helmet T3</t>
  </si>
  <si>
    <t>Assets/_Game/Art/Equipment/HeavyArmor/heavy_helmet/T3/Models</t>
  </si>
  <si>
    <t>equipment_light_boots_t03_base</t>
  </si>
  <si>
    <t>Botas Leves T3</t>
  </si>
  <si>
    <t>Light Boots T3</t>
  </si>
  <si>
    <t>Assets/_Game/Art/Equipment/LightArmor/light_boots/T3/Models</t>
  </si>
  <si>
    <t>equipment_light_chest_t03_base</t>
  </si>
  <si>
    <t>Armadura Leve T3</t>
  </si>
  <si>
    <t>Light Chest Armor T3</t>
  </si>
  <si>
    <t>Assets/_Game/Art/Equipment/LightArmor/light_chest/T3/Models</t>
  </si>
  <si>
    <t>equipment_light_gloves_t03_base</t>
  </si>
  <si>
    <t>Luvas Leves T3</t>
  </si>
  <si>
    <t>Light Gloves T3</t>
  </si>
  <si>
    <t>Assets/_Game/Art/Equipment/LightArmor/light_gloves/T3/Models</t>
  </si>
  <si>
    <t>equipment_light_hood_t03_base</t>
  </si>
  <si>
    <t>Capuz Leve T3</t>
  </si>
  <si>
    <t>Light Hood T3</t>
  </si>
  <si>
    <t>Assets/_Game/Art/Equipment/LightArmor/light_hood/T3/Models</t>
  </si>
  <si>
    <t>equipment_longbow_t03_base</t>
  </si>
  <si>
    <t>Arco Longo T3</t>
  </si>
  <si>
    <t>Longbow T3</t>
  </si>
  <si>
    <t>Assets/_Game/Art/Equipment/Weapon/longbow/T3/Models</t>
  </si>
  <si>
    <t>equipment_ring_t03_base</t>
  </si>
  <si>
    <t>Anel T3</t>
  </si>
  <si>
    <t>Ring T3</t>
  </si>
  <si>
    <t>Assets/_Game/Art/Equipment/Accessory/ring/T3/Models</t>
  </si>
  <si>
    <t>equipment_shield_t03_base</t>
  </si>
  <si>
    <t>Escudo T3</t>
  </si>
  <si>
    <t>Shield T3</t>
  </si>
  <si>
    <t>Assets/_Game/Art/Equipment/Weapon/shield/T3/Models</t>
  </si>
  <si>
    <t>equipment_staff_t03_base</t>
  </si>
  <si>
    <t>Cajado T3</t>
  </si>
  <si>
    <t>Staff T3</t>
  </si>
  <si>
    <t>Assets/_Game/Art/Equipment/Weapon/staff/T3/Models</t>
  </si>
  <si>
    <t>equipment_sword_1h_t03_base</t>
  </si>
  <si>
    <t>Espada de Uma Mão T3</t>
  </si>
  <si>
    <t>One-Handed Sword T3</t>
  </si>
  <si>
    <t>Assets/_Game/Art/Equipment/Weapon/sword_1h/T3/Models</t>
  </si>
  <si>
    <t>equipment_amulet_t04_base</t>
  </si>
  <si>
    <t>Amuleto T4</t>
  </si>
  <si>
    <t>Amulet T4</t>
  </si>
  <si>
    <t>Season 1</t>
  </si>
  <si>
    <t>P2</t>
  </si>
  <si>
    <t>B10_EQUIPMENT_T4</t>
  </si>
  <si>
    <t>Assets/_Game/Art/Equipment/Accessory/amulet/T4/Models</t>
  </si>
  <si>
    <t>equipment_cloth_boots_t04_base</t>
  </si>
  <si>
    <t>Botas Arcanas T4</t>
  </si>
  <si>
    <t>Arcane Boots T4</t>
  </si>
  <si>
    <t>Assets/_Game/Art/Equipment/ClothArmor/cloth_boots/T4/Models</t>
  </si>
  <si>
    <t>equipment_cloth_gloves_t04_base</t>
  </si>
  <si>
    <t>Luvas Arcanas T4</t>
  </si>
  <si>
    <t>Arcane Gloves T4</t>
  </si>
  <si>
    <t>Assets/_Game/Art/Equipment/ClothArmor/cloth_gloves/T4/Models</t>
  </si>
  <si>
    <t>equipment_cloth_hood_t04_base</t>
  </si>
  <si>
    <t>Capuz Arcano T4</t>
  </si>
  <si>
    <t>Arcane Hood T4</t>
  </si>
  <si>
    <t>Assets/_Game/Art/Equipment/ClothArmor/cloth_hood/T4/Models</t>
  </si>
  <si>
    <t>equipment_cloth_robe_t04_base</t>
  </si>
  <si>
    <t>Manto Arcano T4</t>
  </si>
  <si>
    <t>Arcane Robe T4</t>
  </si>
  <si>
    <t>Assets/_Game/Art/Equipment/ClothArmor/cloth_robe/T4/Models</t>
  </si>
  <si>
    <t>equipment_heavy_boots_t04_base</t>
  </si>
  <si>
    <t>Botas Pesadas T4</t>
  </si>
  <si>
    <t>Heavy Boots T4</t>
  </si>
  <si>
    <t>Assets/_Game/Art/Equipment/HeavyArmor/heavy_boots/T4/Models</t>
  </si>
  <si>
    <t>equipment_heavy_chest_t04_base</t>
  </si>
  <si>
    <t>Peitoral Pesado T4</t>
  </si>
  <si>
    <t>Heavy Chest Armor T4</t>
  </si>
  <si>
    <t>Assets/_Game/Art/Equipment/HeavyArmor/heavy_chest/T4/Models</t>
  </si>
  <si>
    <t>equipment_heavy_gloves_t04_base</t>
  </si>
  <si>
    <t>Manoplas Pesadas T4</t>
  </si>
  <si>
    <t>Heavy Gauntlets T4</t>
  </si>
  <si>
    <t>Assets/_Game/Art/Equipment/HeavyArmor/heavy_gloves/T4/Models</t>
  </si>
  <si>
    <t>equipment_heavy_helmet_t04_base</t>
  </si>
  <si>
    <t>Elmo Pesado T4</t>
  </si>
  <si>
    <t>Heavy Helmet T4</t>
  </si>
  <si>
    <t>Assets/_Game/Art/Equipment/HeavyArmor/heavy_helmet/T4/Models</t>
  </si>
  <si>
    <t>equipment_light_boots_t04_base</t>
  </si>
  <si>
    <t>Botas Leves T4</t>
  </si>
  <si>
    <t>Light Boots T4</t>
  </si>
  <si>
    <t>Assets/_Game/Art/Equipment/LightArmor/light_boots/T4/Models</t>
  </si>
  <si>
    <t>equipment_light_chest_t04_base</t>
  </si>
  <si>
    <t>Armadura Leve T4</t>
  </si>
  <si>
    <t>Light Chest Armor T4</t>
  </si>
  <si>
    <t>Assets/_Game/Art/Equipment/LightArmor/light_chest/T4/Models</t>
  </si>
  <si>
    <t>equipment_light_gloves_t04_base</t>
  </si>
  <si>
    <t>Luvas Leves T4</t>
  </si>
  <si>
    <t>Light Gloves T4</t>
  </si>
  <si>
    <t>Assets/_Game/Art/Equipment/LightArmor/light_gloves/T4/Models</t>
  </si>
  <si>
    <t>equipment_light_hood_t04_base</t>
  </si>
  <si>
    <t>Capuz Leve T4</t>
  </si>
  <si>
    <t>Light Hood T4</t>
  </si>
  <si>
    <t>Assets/_Game/Art/Equipment/LightArmor/light_hood/T4/Models</t>
  </si>
  <si>
    <t>equipment_longbow_t04_base</t>
  </si>
  <si>
    <t>Arco Longo T4</t>
  </si>
  <si>
    <t>Longbow T4</t>
  </si>
  <si>
    <t>Assets/_Game/Art/Equipment/Weapon/longbow/T4/Models</t>
  </si>
  <si>
    <t>equipment_ring_t04_base</t>
  </si>
  <si>
    <t>Anel T4</t>
  </si>
  <si>
    <t>Ring T4</t>
  </si>
  <si>
    <t>Assets/_Game/Art/Equipment/Accessory/ring/T4/Models</t>
  </si>
  <si>
    <t>equipment_shield_t04_base</t>
  </si>
  <si>
    <t>Escudo T4</t>
  </si>
  <si>
    <t>Shield T4</t>
  </si>
  <si>
    <t>Assets/_Game/Art/Equipment/Weapon/shield/T4/Models</t>
  </si>
  <si>
    <t>equipment_staff_t04_base</t>
  </si>
  <si>
    <t>Cajado T4</t>
  </si>
  <si>
    <t>Staff T4</t>
  </si>
  <si>
    <t>Assets/_Game/Art/Equipment/Weapon/staff/T4/Models</t>
  </si>
  <si>
    <t>equipment_sword_1h_t04_base</t>
  </si>
  <si>
    <t>Espada de Uma Mão T4</t>
  </si>
  <si>
    <t>One-Handed Sword T4</t>
  </si>
  <si>
    <t>Assets/_Game/Art/Equipment/Weapon/sword_1h/T4/Models</t>
  </si>
  <si>
    <t>equipment_amulet_t05_base</t>
  </si>
  <si>
    <t>Amuleto T5</t>
  </si>
  <si>
    <t>Amulet T5</t>
  </si>
  <si>
    <t>B11_EQUIPMENT_T5</t>
  </si>
  <si>
    <t>Assets/_Game/Art/Equipment/Accessory/amulet/T5/Models</t>
  </si>
  <si>
    <t>equipment_cloth_boots_t05_base</t>
  </si>
  <si>
    <t>Botas Arcanas T5</t>
  </si>
  <si>
    <t>Arcane Boots T5</t>
  </si>
  <si>
    <t>Assets/_Game/Art/Equipment/ClothArmor/cloth_boots/T5/Models</t>
  </si>
  <si>
    <t>equipment_cloth_gloves_t05_base</t>
  </si>
  <si>
    <t>Luvas Arcanas T5</t>
  </si>
  <si>
    <t>Arcane Gloves T5</t>
  </si>
  <si>
    <t>Assets/_Game/Art/Equipment/ClothArmor/cloth_gloves/T5/Models</t>
  </si>
  <si>
    <t>equipment_cloth_hood_t05_base</t>
  </si>
  <si>
    <t>Capuz Arcano T5</t>
  </si>
  <si>
    <t>Arcane Hood T5</t>
  </si>
  <si>
    <t>Assets/_Game/Art/Equipment/ClothArmor/cloth_hood/T5/Models</t>
  </si>
  <si>
    <t>equipment_cloth_robe_t05_base</t>
  </si>
  <si>
    <t>Manto Arcano T5</t>
  </si>
  <si>
    <t>Arcane Robe T5</t>
  </si>
  <si>
    <t>Assets/_Game/Art/Equipment/ClothArmor/cloth_robe/T5/Models</t>
  </si>
  <si>
    <t>equipment_heavy_boots_t05_base</t>
  </si>
  <si>
    <t>Botas Pesadas T5</t>
  </si>
  <si>
    <t>Heavy Boots T5</t>
  </si>
  <si>
    <t>Assets/_Game/Art/Equipment/HeavyArmor/heavy_boots/T5/Models</t>
  </si>
  <si>
    <t>equipment_heavy_chest_t05_base</t>
  </si>
  <si>
    <t>Peitoral Pesado T5</t>
  </si>
  <si>
    <t>Heavy Chest Armor T5</t>
  </si>
  <si>
    <t>Assets/_Game/Art/Equipment/HeavyArmor/heavy_chest/T5/Models</t>
  </si>
  <si>
    <t>equipment_heavy_gloves_t05_base</t>
  </si>
  <si>
    <t>Manoplas Pesadas T5</t>
  </si>
  <si>
    <t>Heavy Gauntlets T5</t>
  </si>
  <si>
    <t>Assets/_Game/Art/Equipment/HeavyArmor/heavy_gloves/T5/Models</t>
  </si>
  <si>
    <t>equipment_heavy_helmet_t05_base</t>
  </si>
  <si>
    <t>Elmo Pesado T5</t>
  </si>
  <si>
    <t>Heavy Helmet T5</t>
  </si>
  <si>
    <t>Assets/_Game/Art/Equipment/HeavyArmor/heavy_helmet/T5/Models</t>
  </si>
  <si>
    <t>equipment_light_boots_t05_base</t>
  </si>
  <si>
    <t>Botas Leves T5</t>
  </si>
  <si>
    <t>Light Boots T5</t>
  </si>
  <si>
    <t>Assets/_Game/Art/Equipment/LightArmor/light_boots/T5/Models</t>
  </si>
  <si>
    <t>equipment_light_chest_t05_base</t>
  </si>
  <si>
    <t>Armadura Leve T5</t>
  </si>
  <si>
    <t>Light Chest Armor T5</t>
  </si>
  <si>
    <t>Assets/_Game/Art/Equipment/LightArmor/light_chest/T5/Models</t>
  </si>
  <si>
    <t>equipment_light_gloves_t05_base</t>
  </si>
  <si>
    <t>Luvas Leves T5</t>
  </si>
  <si>
    <t>Light Gloves T5</t>
  </si>
  <si>
    <t>Assets/_Game/Art/Equipment/LightArmor/light_gloves/T5/Models</t>
  </si>
  <si>
    <t>equipment_light_hood_t05_base</t>
  </si>
  <si>
    <t>Capuz Leve T5</t>
  </si>
  <si>
    <t>Light Hood T5</t>
  </si>
  <si>
    <t>Assets/_Game/Art/Equipment/LightArmor/light_hood/T5/Models</t>
  </si>
  <si>
    <t>equipment_longbow_t05_base</t>
  </si>
  <si>
    <t>Arco Longo T5</t>
  </si>
  <si>
    <t>Longbow T5</t>
  </si>
  <si>
    <t>Assets/_Game/Art/Equipment/Weapon/longbow/T5/Models</t>
  </si>
  <si>
    <t>equipment_ring_t05_base</t>
  </si>
  <si>
    <t>Anel T5</t>
  </si>
  <si>
    <t>Ring T5</t>
  </si>
  <si>
    <t>Assets/_Game/Art/Equipment/Accessory/ring/T5/Models</t>
  </si>
  <si>
    <t>equipment_shield_t05_base</t>
  </si>
  <si>
    <t>Escudo T5</t>
  </si>
  <si>
    <t>Shield T5</t>
  </si>
  <si>
    <t>Assets/_Game/Art/Equipment/Weapon/shield/T5/Models</t>
  </si>
  <si>
    <t>equipment_staff_t05_base</t>
  </si>
  <si>
    <t>Cajado T5</t>
  </si>
  <si>
    <t>Staff T5</t>
  </si>
  <si>
    <t>Assets/_Game/Art/Equipment/Weapon/staff/T5/Models</t>
  </si>
  <si>
    <t>equipment_sword_1h_t05_base</t>
  </si>
  <si>
    <t>Espada de Uma Mão T5</t>
  </si>
  <si>
    <t>One-Handed Sword T5</t>
  </si>
  <si>
    <t>Assets/_Game/Art/Equipment/Weapon/sword_1h/T5/Models</t>
  </si>
  <si>
    <t>equipment_amulet_t06_base</t>
  </si>
  <si>
    <t>Amuleto T6</t>
  </si>
  <si>
    <t>Amulet T6</t>
  </si>
  <si>
    <t>B12_EQUIPMENT_T6</t>
  </si>
  <si>
    <t>Assets/_Game/Art/Equipment/Accessory/amulet/T6/Models</t>
  </si>
  <si>
    <t>equipment_cloth_boots_t06_base</t>
  </si>
  <si>
    <t>Botas Arcanas T6</t>
  </si>
  <si>
    <t>Arcane Boots T6</t>
  </si>
  <si>
    <t>Assets/_Game/Art/Equipment/ClothArmor/cloth_boots/T6/Models</t>
  </si>
  <si>
    <t>equipment_cloth_gloves_t06_base</t>
  </si>
  <si>
    <t>Luvas Arcanas T6</t>
  </si>
  <si>
    <t>Arcane Gloves T6</t>
  </si>
  <si>
    <t>Assets/_Game/Art/Equipment/ClothArmor/cloth_gloves/T6/Models</t>
  </si>
  <si>
    <t>equipment_cloth_hood_t06_base</t>
  </si>
  <si>
    <t>Capuz Arcano T6</t>
  </si>
  <si>
    <t>Arcane Hood T6</t>
  </si>
  <si>
    <t>Assets/_Game/Art/Equipment/ClothArmor/cloth_hood/T6/Models</t>
  </si>
  <si>
    <t>equipment_cloth_robe_t06_base</t>
  </si>
  <si>
    <t>Manto Arcano T6</t>
  </si>
  <si>
    <t>Arcane Robe T6</t>
  </si>
  <si>
    <t>Assets/_Game/Art/Equipment/ClothArmor/cloth_robe/T6/Models</t>
  </si>
  <si>
    <t>equipment_heavy_boots_t06_base</t>
  </si>
  <si>
    <t>Botas Pesadas T6</t>
  </si>
  <si>
    <t>Heavy Boots T6</t>
  </si>
  <si>
    <t>Assets/_Game/Art/Equipment/HeavyArmor/heavy_boots/T6/Models</t>
  </si>
  <si>
    <t>equipment_heavy_chest_t06_base</t>
  </si>
  <si>
    <t>Peitoral Pesado T6</t>
  </si>
  <si>
    <t>Heavy Chest Armor T6</t>
  </si>
  <si>
    <t>Assets/_Game/Art/Equipment/HeavyArmor/heavy_chest/T6/Models</t>
  </si>
  <si>
    <t>equipment_heavy_gloves_t06_base</t>
  </si>
  <si>
    <t>Manoplas Pesadas T6</t>
  </si>
  <si>
    <t>Heavy Gauntlets T6</t>
  </si>
  <si>
    <t>Assets/_Game/Art/Equipment/HeavyArmor/heavy_gloves/T6/Models</t>
  </si>
  <si>
    <t>equipment_heavy_helmet_t06_base</t>
  </si>
  <si>
    <t>Elmo Pesado T6</t>
  </si>
  <si>
    <t>Heavy Helmet T6</t>
  </si>
  <si>
    <t>Assets/_Game/Art/Equipment/HeavyArmor/heavy_helmet/T6/Models</t>
  </si>
  <si>
    <t>equipment_light_boots_t06_base</t>
  </si>
  <si>
    <t>Botas Leves T6</t>
  </si>
  <si>
    <t>Light Boots T6</t>
  </si>
  <si>
    <t>Assets/_Game/Art/Equipment/LightArmor/light_boots/T6/Models</t>
  </si>
  <si>
    <t>equipment_light_chest_t06_base</t>
  </si>
  <si>
    <t>Armadura Leve T6</t>
  </si>
  <si>
    <t>Light Chest Armor T6</t>
  </si>
  <si>
    <t>Assets/_Game/Art/Equipment/LightArmor/light_chest/T6/Models</t>
  </si>
  <si>
    <t>equipment_light_gloves_t06_base</t>
  </si>
  <si>
    <t>Luvas Leves T6</t>
  </si>
  <si>
    <t>Light Gloves T6</t>
  </si>
  <si>
    <t>Assets/_Game/Art/Equipment/LightArmor/light_gloves/T6/Models</t>
  </si>
  <si>
    <t>equipment_light_hood_t06_base</t>
  </si>
  <si>
    <t>Capuz Leve T6</t>
  </si>
  <si>
    <t>Light Hood T6</t>
  </si>
  <si>
    <t>Assets/_Game/Art/Equipment/LightArmor/light_hood/T6/Models</t>
  </si>
  <si>
    <t>equipment_longbow_t06_base</t>
  </si>
  <si>
    <t>Arco Longo T6</t>
  </si>
  <si>
    <t>Longbow T6</t>
  </si>
  <si>
    <t>Assets/_Game/Art/Equipment/Weapon/longbow/T6/Models</t>
  </si>
  <si>
    <t>equipment_ring_t06_base</t>
  </si>
  <si>
    <t>Anel T6</t>
  </si>
  <si>
    <t>Ring T6</t>
  </si>
  <si>
    <t>Assets/_Game/Art/Equipment/Accessory/ring/T6/Models</t>
  </si>
  <si>
    <t>equipment_shield_t06_base</t>
  </si>
  <si>
    <t>Escudo T6</t>
  </si>
  <si>
    <t>Shield T6</t>
  </si>
  <si>
    <t>Assets/_Game/Art/Equipment/Weapon/shield/T6/Models</t>
  </si>
  <si>
    <t>equipment_staff_t06_base</t>
  </si>
  <si>
    <t>Cajado T6</t>
  </si>
  <si>
    <t>Staff T6</t>
  </si>
  <si>
    <t>Assets/_Game/Art/Equipment/Weapon/staff/T6/Models</t>
  </si>
  <si>
    <t>equipment_sword_1h_t06_base</t>
  </si>
  <si>
    <t>Espada de Uma Mão T6</t>
  </si>
  <si>
    <t>One-Handed Sword T6</t>
  </si>
  <si>
    <t>Assets/_Game/Art/Equipment/Weapon/sword_1h/T6/Models</t>
  </si>
  <si>
    <t>equipment_amulet_t07_base</t>
  </si>
  <si>
    <t>Amuleto T7</t>
  </si>
  <si>
    <t>Amulet T7</t>
  </si>
  <si>
    <t>B13_EQUIPMENT_T7</t>
  </si>
  <si>
    <t>Assets/_Game/Art/Equipment/Accessory/amulet/T7/Models</t>
  </si>
  <si>
    <t>equipment_cloth_boots_t07_base</t>
  </si>
  <si>
    <t>Botas Arcanas T7</t>
  </si>
  <si>
    <t>Arcane Boots T7</t>
  </si>
  <si>
    <t>Assets/_Game/Art/Equipment/ClothArmor/cloth_boots/T7/Models</t>
  </si>
  <si>
    <t>equipment_cloth_gloves_t07_base</t>
  </si>
  <si>
    <t>Luvas Arcanas T7</t>
  </si>
  <si>
    <t>Arcane Gloves T7</t>
  </si>
  <si>
    <t>Assets/_Game/Art/Equipment/ClothArmor/cloth_gloves/T7/Models</t>
  </si>
  <si>
    <t>equipment_cloth_hood_t07_base</t>
  </si>
  <si>
    <t>Capuz Arcano T7</t>
  </si>
  <si>
    <t>Arcane Hood T7</t>
  </si>
  <si>
    <t>Assets/_Game/Art/Equipment/ClothArmor/cloth_hood/T7/Models</t>
  </si>
  <si>
    <t>equipment_cloth_robe_t07_base</t>
  </si>
  <si>
    <t>Manto Arcano T7</t>
  </si>
  <si>
    <t>Arcane Robe T7</t>
  </si>
  <si>
    <t>Assets/_Game/Art/Equipment/ClothArmor/cloth_robe/T7/Models</t>
  </si>
  <si>
    <t>equipment_heavy_boots_t07_base</t>
  </si>
  <si>
    <t>Botas Pesadas T7</t>
  </si>
  <si>
    <t>Heavy Boots T7</t>
  </si>
  <si>
    <t>Assets/_Game/Art/Equipment/HeavyArmor/heavy_boots/T7/Models</t>
  </si>
  <si>
    <t>equipment_heavy_chest_t07_base</t>
  </si>
  <si>
    <t>Peitoral Pesado T7</t>
  </si>
  <si>
    <t>Heavy Chest Armor T7</t>
  </si>
  <si>
    <t>Assets/_Game/Art/Equipment/HeavyArmor/heavy_chest/T7/Models</t>
  </si>
  <si>
    <t>equipment_heavy_gloves_t07_base</t>
  </si>
  <si>
    <t>Manoplas Pesadas T7</t>
  </si>
  <si>
    <t>Heavy Gauntlets T7</t>
  </si>
  <si>
    <t>Assets/_Game/Art/Equipment/HeavyArmor/heavy_gloves/T7/Models</t>
  </si>
  <si>
    <t>equipment_heavy_helmet_t07_base</t>
  </si>
  <si>
    <t>Elmo Pesado T7</t>
  </si>
  <si>
    <t>Heavy Helmet T7</t>
  </si>
  <si>
    <t>Assets/_Game/Art/Equipment/HeavyArmor/heavy_helmet/T7/Models</t>
  </si>
  <si>
    <t>equipment_light_boots_t07_base</t>
  </si>
  <si>
    <t>Botas Leves T7</t>
  </si>
  <si>
    <t>Light Boots T7</t>
  </si>
  <si>
    <t>Assets/_Game/Art/Equipment/LightArmor/light_boots/T7/Models</t>
  </si>
  <si>
    <t>equipment_light_chest_t07_base</t>
  </si>
  <si>
    <t>Armadura Leve T7</t>
  </si>
  <si>
    <t>Light Chest Armor T7</t>
  </si>
  <si>
    <t>Assets/_Game/Art/Equipment/LightArmor/light_chest/T7/Models</t>
  </si>
  <si>
    <t>equipment_light_gloves_t07_base</t>
  </si>
  <si>
    <t>Luvas Leves T7</t>
  </si>
  <si>
    <t>Light Gloves T7</t>
  </si>
  <si>
    <t>Assets/_Game/Art/Equipment/LightArmor/light_gloves/T7/Models</t>
  </si>
  <si>
    <t>equipment_light_hood_t07_base</t>
  </si>
  <si>
    <t>Capuz Leve T7</t>
  </si>
  <si>
    <t>Light Hood T7</t>
  </si>
  <si>
    <t>Assets/_Game/Art/Equipment/LightArmor/light_hood/T7/Models</t>
  </si>
  <si>
    <t>equipment_longbow_t07_base</t>
  </si>
  <si>
    <t>Arco Longo T7</t>
  </si>
  <si>
    <t>Longbow T7</t>
  </si>
  <si>
    <t>Assets/_Game/Art/Equipment/Weapon/longbow/T7/Models</t>
  </si>
  <si>
    <t>equipment_ring_t07_base</t>
  </si>
  <si>
    <t>Anel T7</t>
  </si>
  <si>
    <t>Ring T7</t>
  </si>
  <si>
    <t>Assets/_Game/Art/Equipment/Accessory/ring/T7/Models</t>
  </si>
  <si>
    <t>equipment_shield_t07_base</t>
  </si>
  <si>
    <t>Escudo T7</t>
  </si>
  <si>
    <t>Shield T7</t>
  </si>
  <si>
    <t>Assets/_Game/Art/Equipment/Weapon/shield/T7/Models</t>
  </si>
  <si>
    <t>equipment_staff_t07_base</t>
  </si>
  <si>
    <t>Cajado T7</t>
  </si>
  <si>
    <t>Staff T7</t>
  </si>
  <si>
    <t>Assets/_Game/Art/Equipment/Weapon/staff/T7/Models</t>
  </si>
  <si>
    <t>equipment_sword_1h_t07_base</t>
  </si>
  <si>
    <t>Espada de Uma Mão T7</t>
  </si>
  <si>
    <t>One-Handed Sword T7</t>
  </si>
  <si>
    <t>Assets/_Game/Art/Equipment/Weapon/sword_1h/T7/Models</t>
  </si>
  <si>
    <t>equipment_amulet_t08_base</t>
  </si>
  <si>
    <t>Amuleto T8</t>
  </si>
  <si>
    <t>Amulet T8</t>
  </si>
  <si>
    <t>Post-MVP</t>
  </si>
  <si>
    <t>P3</t>
  </si>
  <si>
    <t>B14_EQUIPMENT_T8</t>
  </si>
  <si>
    <t>Assets/_Game/Art/Equipment/Accessory/amulet/T8/Models</t>
  </si>
  <si>
    <t>equipment_cloth_boots_t08_base</t>
  </si>
  <si>
    <t>Botas Arcanas T8</t>
  </si>
  <si>
    <t>Arcane Boots T8</t>
  </si>
  <si>
    <t>Assets/_Game/Art/Equipment/ClothArmor/cloth_boots/T8/Models</t>
  </si>
  <si>
    <t>equipment_cloth_gloves_t08_base</t>
  </si>
  <si>
    <t>Luvas Arcanas T8</t>
  </si>
  <si>
    <t>Arcane Gloves T8</t>
  </si>
  <si>
    <t>Assets/_Game/Art/Equipment/ClothArmor/cloth_gloves/T8/Models</t>
  </si>
  <si>
    <t>equipment_cloth_hood_t08_base</t>
  </si>
  <si>
    <t>Capuz Arcano T8</t>
  </si>
  <si>
    <t>Arcane Hood T8</t>
  </si>
  <si>
    <t>Assets/_Game/Art/Equipment/ClothArmor/cloth_hood/T8/Models</t>
  </si>
  <si>
    <t>equipment_cloth_robe_t08_base</t>
  </si>
  <si>
    <t>Manto Arcano T8</t>
  </si>
  <si>
    <t>Arcane Robe T8</t>
  </si>
  <si>
    <t>Assets/_Game/Art/Equipment/ClothArmor/cloth_robe/T8/Models</t>
  </si>
  <si>
    <t>equipment_heavy_boots_t08_base</t>
  </si>
  <si>
    <t>Botas Pesadas T8</t>
  </si>
  <si>
    <t>Heavy Boots T8</t>
  </si>
  <si>
    <t>Assets/_Game/Art/Equipment/HeavyArmor/heavy_boots/T8/Models</t>
  </si>
  <si>
    <t>equipment_heavy_chest_t08_base</t>
  </si>
  <si>
    <t>Peitoral Pesado T8</t>
  </si>
  <si>
    <t>Heavy Chest Armor T8</t>
  </si>
  <si>
    <t>Assets/_Game/Art/Equipment/HeavyArmor/heavy_chest/T8/Models</t>
  </si>
  <si>
    <t>equipment_heavy_gloves_t08_base</t>
  </si>
  <si>
    <t>Manoplas Pesadas T8</t>
  </si>
  <si>
    <t>Heavy Gauntlets T8</t>
  </si>
  <si>
    <t>Assets/_Game/Art/Equipment/HeavyArmor/heavy_gloves/T8/Models</t>
  </si>
  <si>
    <t>equipment_heavy_helmet_t08_base</t>
  </si>
  <si>
    <t>Elmo Pesado T8</t>
  </si>
  <si>
    <t>Heavy Helmet T8</t>
  </si>
  <si>
    <t>Assets/_Game/Art/Equipment/HeavyArmor/heavy_helmet/T8/Models</t>
  </si>
  <si>
    <t>equipment_light_boots_t08_base</t>
  </si>
  <si>
    <t>Botas Leves T8</t>
  </si>
  <si>
    <t>Light Boots T8</t>
  </si>
  <si>
    <t>Assets/_Game/Art/Equipment/LightArmor/light_boots/T8/Models</t>
  </si>
  <si>
    <t>equipment_light_chest_t08_base</t>
  </si>
  <si>
    <t>Armadura Leve T8</t>
  </si>
  <si>
    <t>Light Chest Armor T8</t>
  </si>
  <si>
    <t>Assets/_Game/Art/Equipment/LightArmor/light_chest/T8/Models</t>
  </si>
  <si>
    <t>equipment_light_gloves_t08_base</t>
  </si>
  <si>
    <t>Luvas Leves T8</t>
  </si>
  <si>
    <t>Light Gloves T8</t>
  </si>
  <si>
    <t>Assets/_Game/Art/Equipment/LightArmor/light_gloves/T8/Models</t>
  </si>
  <si>
    <t>equipment_light_hood_t08_base</t>
  </si>
  <si>
    <t>Capuz Leve T8</t>
  </si>
  <si>
    <t>Light Hood T8</t>
  </si>
  <si>
    <t>Assets/_Game/Art/Equipment/LightArmor/light_hood/T8/Models</t>
  </si>
  <si>
    <t>equipment_longbow_t08_base</t>
  </si>
  <si>
    <t>Arco Longo T8</t>
  </si>
  <si>
    <t>Longbow T8</t>
  </si>
  <si>
    <t>Assets/_Game/Art/Equipment/Weapon/longbow/T8/Models</t>
  </si>
  <si>
    <t>equipment_ring_t08_base</t>
  </si>
  <si>
    <t>Anel T8</t>
  </si>
  <si>
    <t>Ring T8</t>
  </si>
  <si>
    <t>Assets/_Game/Art/Equipment/Accessory/ring/T8/Models</t>
  </si>
  <si>
    <t>equipment_shield_t08_base</t>
  </si>
  <si>
    <t>Escudo T8</t>
  </si>
  <si>
    <t>Shield T8</t>
  </si>
  <si>
    <t>Assets/_Game/Art/Equipment/Weapon/shield/T8/Models</t>
  </si>
  <si>
    <t>equipment_staff_t08_base</t>
  </si>
  <si>
    <t>Cajado T8</t>
  </si>
  <si>
    <t>Staff T8</t>
  </si>
  <si>
    <t>Assets/_Game/Art/Equipment/Weapon/staff/T8/Models</t>
  </si>
  <si>
    <t>equipment_sword_1h_t08_base</t>
  </si>
  <si>
    <t>Espada de Uma Mão T8</t>
  </si>
  <si>
    <t>One-Handed Sword T8</t>
  </si>
  <si>
    <t>Assets/_Game/Art/Equipment/Weapon/sword_1h/T8/Models</t>
  </si>
  <si>
    <t>equipment_amulet_t09_base</t>
  </si>
  <si>
    <t>Amuleto T9</t>
  </si>
  <si>
    <t>Amulet T9</t>
  </si>
  <si>
    <t>B15_EQUIPMENT_T9</t>
  </si>
  <si>
    <t>Assets/_Game/Art/Equipment/Accessory/amulet/T9/Models</t>
  </si>
  <si>
    <t>equipment_cloth_boots_t09_base</t>
  </si>
  <si>
    <t>Botas Arcanas T9</t>
  </si>
  <si>
    <t>Arcane Boots T9</t>
  </si>
  <si>
    <t>Assets/_Game/Art/Equipment/ClothArmor/cloth_boots/T9/Models</t>
  </si>
  <si>
    <t>equipment_cloth_gloves_t09_base</t>
  </si>
  <si>
    <t>Luvas Arcanas T9</t>
  </si>
  <si>
    <t>Arcane Gloves T9</t>
  </si>
  <si>
    <t>Assets/_Game/Art/Equipment/ClothArmor/cloth_gloves/T9/Models</t>
  </si>
  <si>
    <t>equipment_cloth_hood_t09_base</t>
  </si>
  <si>
    <t>Capuz Arcano T9</t>
  </si>
  <si>
    <t>Arcane Hood T9</t>
  </si>
  <si>
    <t>Assets/_Game/Art/Equipment/ClothArmor/cloth_hood/T9/Models</t>
  </si>
  <si>
    <t>equipment_cloth_robe_t09_base</t>
  </si>
  <si>
    <t>Manto Arcano T9</t>
  </si>
  <si>
    <t>Arcane Robe T9</t>
  </si>
  <si>
    <t>Assets/_Game/Art/Equipment/ClothArmor/cloth_robe/T9/Models</t>
  </si>
  <si>
    <t>equipment_heavy_boots_t09_base</t>
  </si>
  <si>
    <t>Botas Pesadas T9</t>
  </si>
  <si>
    <t>Heavy Boots T9</t>
  </si>
  <si>
    <t>Assets/_Game/Art/Equipment/HeavyArmor/heavy_boots/T9/Models</t>
  </si>
  <si>
    <t>equipment_heavy_chest_t09_base</t>
  </si>
  <si>
    <t>Peitoral Pesado T9</t>
  </si>
  <si>
    <t>Heavy Chest Armor T9</t>
  </si>
  <si>
    <t>Assets/_Game/Art/Equipment/HeavyArmor/heavy_chest/T9/Models</t>
  </si>
  <si>
    <t>equipment_heavy_gloves_t09_base</t>
  </si>
  <si>
    <t>Manoplas Pesadas T9</t>
  </si>
  <si>
    <t>Heavy Gauntlets T9</t>
  </si>
  <si>
    <t>Assets/_Game/Art/Equipment/HeavyArmor/heavy_gloves/T9/Models</t>
  </si>
  <si>
    <t>equipment_heavy_helmet_t09_base</t>
  </si>
  <si>
    <t>Elmo Pesado T9</t>
  </si>
  <si>
    <t>Heavy Helmet T9</t>
  </si>
  <si>
    <t>Assets/_Game/Art/Equipment/HeavyArmor/heavy_helmet/T9/Models</t>
  </si>
  <si>
    <t>equipment_light_boots_t09_base</t>
  </si>
  <si>
    <t>Botas Leves T9</t>
  </si>
  <si>
    <t>Light Boots T9</t>
  </si>
  <si>
    <t>Assets/_Game/Art/Equipment/LightArmor/light_boots/T9/Models</t>
  </si>
  <si>
    <t>equipment_light_chest_t09_base</t>
  </si>
  <si>
    <t>Armadura Leve T9</t>
  </si>
  <si>
    <t>Light Chest Armor T9</t>
  </si>
  <si>
    <t>Assets/_Game/Art/Equipment/LightArmor/light_chest/T9/Models</t>
  </si>
  <si>
    <t>equipment_light_gloves_t09_base</t>
  </si>
  <si>
    <t>Luvas Leves T9</t>
  </si>
  <si>
    <t>Light Gloves T9</t>
  </si>
  <si>
    <t>Assets/_Game/Art/Equipment/LightArmor/light_gloves/T9/Models</t>
  </si>
  <si>
    <t>equipment_light_hood_t09_base</t>
  </si>
  <si>
    <t>Capuz Leve T9</t>
  </si>
  <si>
    <t>Light Hood T9</t>
  </si>
  <si>
    <t>Assets/_Game/Art/Equipment/LightArmor/light_hood/T9/Models</t>
  </si>
  <si>
    <t>equipment_longbow_t09_base</t>
  </si>
  <si>
    <t>Arco Longo T9</t>
  </si>
  <si>
    <t>Longbow T9</t>
  </si>
  <si>
    <t>Assets/_Game/Art/Equipment/Weapon/longbow/T9/Models</t>
  </si>
  <si>
    <t>equipment_ring_t09_base</t>
  </si>
  <si>
    <t>Anel T9</t>
  </si>
  <si>
    <t>Ring T9</t>
  </si>
  <si>
    <t>Assets/_Game/Art/Equipment/Accessory/ring/T9/Models</t>
  </si>
  <si>
    <t>equipment_shield_t09_base</t>
  </si>
  <si>
    <t>Escudo T9</t>
  </si>
  <si>
    <t>Shield T9</t>
  </si>
  <si>
    <t>Assets/_Game/Art/Equipment/Weapon/shield/T9/Models</t>
  </si>
  <si>
    <t>equipment_staff_t09_base</t>
  </si>
  <si>
    <t>Cajado T9</t>
  </si>
  <si>
    <t>Staff T9</t>
  </si>
  <si>
    <t>Assets/_Game/Art/Equipment/Weapon/staff/T9/Models</t>
  </si>
  <si>
    <t>equipment_sword_1h_t09_base</t>
  </si>
  <si>
    <t>Espada de Uma Mão T9</t>
  </si>
  <si>
    <t>One-Handed Sword T9</t>
  </si>
  <si>
    <t>Assets/_Game/Art/Equipment/Weapon/sword_1h/T9/Models</t>
  </si>
  <si>
    <t>station_alchemist_t03_001</t>
  </si>
  <si>
    <t>Laboratório T3</t>
  </si>
  <si>
    <t>Laboratory T3</t>
  </si>
  <si>
    <t>B16_STATIONS_T3</t>
  </si>
  <si>
    <t>Assets/_Game/Art/Crafting/Stations/Alchemist/T3</t>
  </si>
  <si>
    <t>station_blacksmith_t03_001</t>
  </si>
  <si>
    <t>Forja T3</t>
  </si>
  <si>
    <t>Forge T3</t>
  </si>
  <si>
    <t>Assets/_Game/Art/Crafting/Stations/Blacksmith/T3</t>
  </si>
  <si>
    <t>station_enchanter_t03_001</t>
  </si>
  <si>
    <t>Mesa Arcana T3</t>
  </si>
  <si>
    <t>Arcane Table T3</t>
  </si>
  <si>
    <t>Assets/_Game/Art/Crafting/Stations/Enchanter/T3</t>
  </si>
  <si>
    <t>station_gatherer_t03_001</t>
  </si>
  <si>
    <t>Acampamento de Expedição T3</t>
  </si>
  <si>
    <t>Expedition Camp T3</t>
  </si>
  <si>
    <t>Assets/_Game/Art/Crafting/Stations/Gatherer/T3</t>
  </si>
  <si>
    <t>station_tailor_t03_001</t>
  </si>
  <si>
    <t>Ateliê T3</t>
  </si>
  <si>
    <t>Atelier T3</t>
  </si>
  <si>
    <t>Assets/_Game/Art/Crafting/Stations/Tailor/T3</t>
  </si>
  <si>
    <t>station_alchemist_t05_001</t>
  </si>
  <si>
    <t>Laboratório T5</t>
  </si>
  <si>
    <t>Laboratory T5</t>
  </si>
  <si>
    <t>B17_STATIONS_T5</t>
  </si>
  <si>
    <t>Assets/_Game/Art/Crafting/Stations/Alchemist/T5</t>
  </si>
  <si>
    <t>station_blacksmith_t05_001</t>
  </si>
  <si>
    <t>Forja T5</t>
  </si>
  <si>
    <t>Forge T5</t>
  </si>
  <si>
    <t>Assets/_Game/Art/Crafting/Stations/Blacksmith/T5</t>
  </si>
  <si>
    <t>station_enchanter_t05_001</t>
  </si>
  <si>
    <t>Mesa Arcana T5</t>
  </si>
  <si>
    <t>Arcane Table T5</t>
  </si>
  <si>
    <t>Assets/_Game/Art/Crafting/Stations/Enchanter/T5</t>
  </si>
  <si>
    <t>station_gatherer_t05_001</t>
  </si>
  <si>
    <t>Acampamento de Expedição T5</t>
  </si>
  <si>
    <t>Expedition Camp T5</t>
  </si>
  <si>
    <t>Assets/_Game/Art/Crafting/Stations/Gatherer/T5</t>
  </si>
  <si>
    <t>station_tailor_t05_001</t>
  </si>
  <si>
    <t>Ateliê T5</t>
  </si>
  <si>
    <t>Atelier T5</t>
  </si>
  <si>
    <t>Assets/_Game/Art/Crafting/Stations/Tailor/T5</t>
  </si>
  <si>
    <t>station_alchemist_t07_001</t>
  </si>
  <si>
    <t>Laboratório T7</t>
  </si>
  <si>
    <t>Laboratory T7</t>
  </si>
  <si>
    <t>B18_STATIONS_T7</t>
  </si>
  <si>
    <t>2048x2048</t>
  </si>
  <si>
    <t>Assets/_Game/Art/Crafting/Stations/Alchemist/T7</t>
  </si>
  <si>
    <t>station_blacksmith_t07_001</t>
  </si>
  <si>
    <t>Forja T7</t>
  </si>
  <si>
    <t>Forge T7</t>
  </si>
  <si>
    <t>Assets/_Game/Art/Crafting/Stations/Blacksmith/T7</t>
  </si>
  <si>
    <t>station_enchanter_t07_001</t>
  </si>
  <si>
    <t>Mesa Arcana T7</t>
  </si>
  <si>
    <t>Arcane Table T7</t>
  </si>
  <si>
    <t>Assets/_Game/Art/Crafting/Stations/Enchanter/T7</t>
  </si>
  <si>
    <t>station_gatherer_t07_001</t>
  </si>
  <si>
    <t>Acampamento de Expedição T7</t>
  </si>
  <si>
    <t>Expedition Camp T7</t>
  </si>
  <si>
    <t>Assets/_Game/Art/Crafting/Stations/Gatherer/T7</t>
  </si>
  <si>
    <t>station_tailor_t07_001</t>
  </si>
  <si>
    <t>Ateliê T7</t>
  </si>
  <si>
    <t>Atelier T7</t>
  </si>
  <si>
    <t>Assets/_Game/Art/Crafting/Stations/Tailor/T7</t>
  </si>
  <si>
    <t>station_alchemist_t09_001</t>
  </si>
  <si>
    <t>Laboratório T9</t>
  </si>
  <si>
    <t>Laboratory T9</t>
  </si>
  <si>
    <t>B19_STATIONS_T9</t>
  </si>
  <si>
    <t>Assets/_Game/Art/Crafting/Stations/Alchemist/T9</t>
  </si>
  <si>
    <t>station_blacksmith_t09_001</t>
  </si>
  <si>
    <t>Forja T9</t>
  </si>
  <si>
    <t>Forge T9</t>
  </si>
  <si>
    <t>Assets/_Game/Art/Crafting/Stations/Blacksmith/T9</t>
  </si>
  <si>
    <t>station_enchanter_t09_001</t>
  </si>
  <si>
    <t>Mesa Arcana T9</t>
  </si>
  <si>
    <t>Arcane Table T9</t>
  </si>
  <si>
    <t>Assets/_Game/Art/Crafting/Stations/Enchanter/T9</t>
  </si>
  <si>
    <t>station_gatherer_t09_001</t>
  </si>
  <si>
    <t>Acampamento de Expedição T9</t>
  </si>
  <si>
    <t>Expedition Camp T9</t>
  </si>
  <si>
    <t>Assets/_Game/Art/Crafting/Stations/Gatherer/T9</t>
  </si>
  <si>
    <t>station_tailor_t09_001</t>
  </si>
  <si>
    <t>Ateliê T9</t>
  </si>
  <si>
    <t>Atelier T9</t>
  </si>
  <si>
    <t>Assets/_Game/Art/Crafting/Stations/Tailor/T9</t>
  </si>
  <si>
    <t>env_goblin_mine_camp_gate_001</t>
  </si>
  <si>
    <t>Portão do Acampamento</t>
  </si>
  <si>
    <t>Camp Gate</t>
  </si>
  <si>
    <t>large prop</t>
  </si>
  <si>
    <t>B20_GOBLIN_ENV_PROPS</t>
  </si>
  <si>
    <t>env_goblin_mine_goblin_barrel_001</t>
  </si>
  <si>
    <t>Barril Goblin</t>
  </si>
  <si>
    <t>Goblin Barrel</t>
  </si>
  <si>
    <t>env_goblin_mine_goblin_king_throne_001</t>
  </si>
  <si>
    <t>Trono do Rei Goblin</t>
  </si>
  <si>
    <t>Goblin King Throne</t>
  </si>
  <si>
    <t>hero prop</t>
  </si>
  <si>
    <t>env_goblin_mine_goblin_tent_001</t>
  </si>
  <si>
    <t>Tenda Goblin</t>
  </si>
  <si>
    <t>Goblin Tent</t>
  </si>
  <si>
    <t>env_goblin_mine_mine_cart_001</t>
  </si>
  <si>
    <t>Carrinho de Minério</t>
  </si>
  <si>
    <t>Mine Cart</t>
  </si>
  <si>
    <t>env_goblin_mine_ore_pile_001</t>
  </si>
  <si>
    <t>Pilha de Minério</t>
  </si>
  <si>
    <t>Ore Pile</t>
  </si>
  <si>
    <t>env_goblin_mine_rope_bridge_001</t>
  </si>
  <si>
    <t>Ponte de Corda</t>
  </si>
  <si>
    <t>Rope Bridge</t>
  </si>
  <si>
    <t>env_goblin_mine_scrap_barricade_001</t>
  </si>
  <si>
    <t>Barricada de Sucata</t>
  </si>
  <si>
    <t>Scrap Barricade</t>
  </si>
  <si>
    <t>env_goblin_mine_wall_torch_001</t>
  </si>
  <si>
    <t>Tocha de Parede</t>
  </si>
  <si>
    <t>Wall Torch</t>
  </si>
  <si>
    <t>env_goblin_mine_watchtower_001</t>
  </si>
  <si>
    <t>Torre de Vigia Goblin</t>
  </si>
  <si>
    <t>Goblin Watchtower</t>
  </si>
  <si>
    <t>env_goblin_mine_wood_cage_001</t>
  </si>
  <si>
    <t>Jaula de Madeira</t>
  </si>
  <si>
    <t>Wooden Cage</t>
  </si>
  <si>
    <t>env_undead_crypt_crypt_arch_001</t>
  </si>
  <si>
    <t>Arco Funerário</t>
  </si>
  <si>
    <t>Funerary Arch</t>
  </si>
  <si>
    <t>Season 1 - Arc 2</t>
  </si>
  <si>
    <t>B21_UNDEAD_ENV_CORE</t>
  </si>
  <si>
    <t>Assets/_Game/Art/Environments/undead_crypt/Models</t>
  </si>
  <si>
    <t>env_undead_crypt_crypt_column_001</t>
  </si>
  <si>
    <t>Coluna de Cripta</t>
  </si>
  <si>
    <t>Crypt Column</t>
  </si>
  <si>
    <t>env_undead_crypt_crypt_door_001</t>
  </si>
  <si>
    <t>Porta da Cripta</t>
  </si>
  <si>
    <t>Crypt Door</t>
  </si>
  <si>
    <t>env_undead_crypt_crypt_floor_tile_001</t>
  </si>
  <si>
    <t>Piso de Cripta</t>
  </si>
  <si>
    <t>Crypt Floor Tile</t>
  </si>
  <si>
    <t>env_undead_crypt_crypt_wall_corner_001</t>
  </si>
  <si>
    <t>Canto de Cripta</t>
  </si>
  <si>
    <t>Crypt Wall Corner</t>
  </si>
  <si>
    <t>env_undead_crypt_crypt_wall_straight_001</t>
  </si>
  <si>
    <t>Parede de Cripta</t>
  </si>
  <si>
    <t>Crypt Wall</t>
  </si>
  <si>
    <t>env_undead_crypt_bone_pile_001</t>
  </si>
  <si>
    <t>Pilha de Ossos</t>
  </si>
  <si>
    <t>Bone Pile</t>
  </si>
  <si>
    <t>B22_UNDEAD_ENV_PROPS</t>
  </si>
  <si>
    <t>env_undead_crypt_broken_statue_001</t>
  </si>
  <si>
    <t>Estátua Quebrada</t>
  </si>
  <si>
    <t>Broken Statue</t>
  </si>
  <si>
    <t>env_undead_crypt_coffin_001</t>
  </si>
  <si>
    <t>Caixão</t>
  </si>
  <si>
    <t>Coffin</t>
  </si>
  <si>
    <t>env_undead_crypt_crypt_iron_gate_001</t>
  </si>
  <si>
    <t>Grade de Cripta</t>
  </si>
  <si>
    <t>Crypt Iron Gate</t>
  </si>
  <si>
    <t>env_undead_crypt_grave_marker_001</t>
  </si>
  <si>
    <t>Lápide</t>
  </si>
  <si>
    <t>Grave Marker</t>
  </si>
  <si>
    <t>env_undead_crypt_hanging_chain_001</t>
  </si>
  <si>
    <t>Corrente Suspensa</t>
  </si>
  <si>
    <t>Hanging Chain</t>
  </si>
  <si>
    <t>env_undead_crypt_lich_throne_001</t>
  </si>
  <si>
    <t>Trono do Lich</t>
  </si>
  <si>
    <t>Lich Throne</t>
  </si>
  <si>
    <t>env_undead_crypt_necromantic_crystal_001</t>
  </si>
  <si>
    <t>Cristal Necromântico</t>
  </si>
  <si>
    <t>Necromantic Crystal</t>
  </si>
  <si>
    <t>env_undead_crypt_necromantic_portal_001</t>
  </si>
  <si>
    <t>Portal Necromântico</t>
  </si>
  <si>
    <t>Necromantic Portal</t>
  </si>
  <si>
    <t>env_undead_crypt_ossuary_001</t>
  </si>
  <si>
    <t>Ossário</t>
  </si>
  <si>
    <t>Ossuary</t>
  </si>
  <si>
    <t>env_undead_crypt_ritual_altar_001</t>
  </si>
  <si>
    <t>Altar Ritual</t>
  </si>
  <si>
    <t>Ritual Altar</t>
  </si>
  <si>
    <t>env_undead_crypt_sarcophagus_001</t>
  </si>
  <si>
    <t>Sarcófago</t>
  </si>
  <si>
    <t>Sarcophagus</t>
  </si>
  <si>
    <t>env_undead_crypt_spectral_brazier_001</t>
  </si>
  <si>
    <t>Braseiro Espectral</t>
  </si>
  <si>
    <t>Spectral Brazier</t>
  </si>
  <si>
    <t>env_undead_crypt_spectral_candle_001</t>
  </si>
  <si>
    <t>Vela Espectral</t>
  </si>
  <si>
    <t>Spectral Candle</t>
  </si>
  <si>
    <t>env_infernal_fortress_basalt_floor_tile_001</t>
  </si>
  <si>
    <t>Piso de Basalto</t>
  </si>
  <si>
    <t>Basalt Floor Tile</t>
  </si>
  <si>
    <t>Season 1 - Arc 3</t>
  </si>
  <si>
    <t>B23_INFERNAL_ENV_CORE</t>
  </si>
  <si>
    <t>Assets/_Game/Art/Environments/infernal_fortress/Models</t>
  </si>
  <si>
    <t>env_infernal_fortress_demonic_pillar_001</t>
  </si>
  <si>
    <t>Pilar Demoníaco</t>
  </si>
  <si>
    <t>Demonic Pillar</t>
  </si>
  <si>
    <t>env_infernal_fortress_infernal_arch_001</t>
  </si>
  <si>
    <t>Arco Infernal</t>
  </si>
  <si>
    <t>Infernal Arch</t>
  </si>
  <si>
    <t>env_infernal_fortress_infernal_wall_corner_001</t>
  </si>
  <si>
    <t>Canto Infernal</t>
  </si>
  <si>
    <t>Infernal Wall Corner</t>
  </si>
  <si>
    <t>env_infernal_fortress_infernal_wall_straight_001</t>
  </si>
  <si>
    <t>Muralha Infernal</t>
  </si>
  <si>
    <t>Infernal Wall</t>
  </si>
  <si>
    <t>env_infernal_fortress_lava_channel_bend_001</t>
  </si>
  <si>
    <t>Curva de Canal de Lava</t>
  </si>
  <si>
    <t>Lava Channel Bend</t>
  </si>
  <si>
    <t>env_infernal_fortress_lava_channel_straight_001</t>
  </si>
  <si>
    <t>Canal de Lava Reto</t>
  </si>
  <si>
    <t>Straight Lava Channel</t>
  </si>
  <si>
    <t>env_infernal_fortress_lava_fall_001</t>
  </si>
  <si>
    <t>Cascata de Lava</t>
  </si>
  <si>
    <t>Lava Fall</t>
  </si>
  <si>
    <t>environment effect mesh</t>
  </si>
  <si>
    <t>env_infernal_fortress_demon_lord_throne_001</t>
  </si>
  <si>
    <t>Trono do Lorde Demônio</t>
  </si>
  <si>
    <t>Demon Lord Throne</t>
  </si>
  <si>
    <t>B24_INFERNAL_ENV_PROPS</t>
  </si>
  <si>
    <t>env_infernal_fortress_demon_weapon_rack_001</t>
  </si>
  <si>
    <t>Arsenal Demoníaco</t>
  </si>
  <si>
    <t>Demon Weapon Rack</t>
  </si>
  <si>
    <t>env_infernal_fortress_infernal_arena_ring_001</t>
  </si>
  <si>
    <t>Anel da Arena Infernal</t>
  </si>
  <si>
    <t>Infernal Arena Ring</t>
  </si>
  <si>
    <t>env_infernal_fortress_infernal_brazier_001</t>
  </si>
  <si>
    <t>Braseiro Infernal</t>
  </si>
  <si>
    <t>Infernal Brazier</t>
  </si>
  <si>
    <t>env_infernal_fortress_infernal_bridge_001</t>
  </si>
  <si>
    <t>Ponte Infernal</t>
  </si>
  <si>
    <t>Infernal Bridge</t>
  </si>
  <si>
    <t>env_infernal_fortress_infernal_cage_001</t>
  </si>
  <si>
    <t>Jaula Infernal</t>
  </si>
  <si>
    <t>Infernal Cage</t>
  </si>
  <si>
    <t>env_infernal_fortress_infernal_chain_001</t>
  </si>
  <si>
    <t>Corrente Infernal</t>
  </si>
  <si>
    <t>Infernal Chain</t>
  </si>
  <si>
    <t>env_infernal_fortress_infernal_crystal_001</t>
  </si>
  <si>
    <t>Cristal Infernal</t>
  </si>
  <si>
    <t>Infernal Crystal</t>
  </si>
  <si>
    <t>env_infernal_fortress_infernal_gate_001</t>
  </si>
  <si>
    <t>Portão Infernal</t>
  </si>
  <si>
    <t>Infernal Gate</t>
  </si>
  <si>
    <t>env_infernal_fortress_infernal_platform_001</t>
  </si>
  <si>
    <t>Plataforma Infernal</t>
  </si>
  <si>
    <t>Infernal Platform</t>
  </si>
  <si>
    <t>env_infernal_fortress_infernal_portal_001</t>
  </si>
  <si>
    <t>Portal Infernal</t>
  </si>
  <si>
    <t>Infernal Portal</t>
  </si>
  <si>
    <t>env_infernal_fortress_spike_barricade_001</t>
  </si>
  <si>
    <t>Barricada de Espinhos</t>
  </si>
  <si>
    <t>Spike Barricade</t>
  </si>
  <si>
    <t>attempt_id</t>
  </si>
  <si>
    <t>provider</t>
  </si>
  <si>
    <t>model</t>
  </si>
  <si>
    <t>candidate_index</t>
  </si>
  <si>
    <t>task_id</t>
  </si>
  <si>
    <t>started_at</t>
  </si>
  <si>
    <t>completed_at</t>
  </si>
  <si>
    <t>credits_used</t>
  </si>
  <si>
    <t>output_path</t>
  </si>
  <si>
    <t>selected</t>
  </si>
  <si>
    <t>silhouette</t>
  </si>
  <si>
    <t>style</t>
  </si>
  <si>
    <t>geometry</t>
  </si>
  <si>
    <t>texture</t>
  </si>
  <si>
    <t>technical</t>
  </si>
  <si>
    <t>mobile_readability</t>
  </si>
  <si>
    <t>total_score</t>
  </si>
  <si>
    <t>rejection_reason</t>
  </si>
  <si>
    <t>reviewer</t>
  </si>
  <si>
    <t>notes</t>
  </si>
  <si>
    <t>sequence</t>
  </si>
  <si>
    <t>batch_name</t>
  </si>
  <si>
    <t>asset_count</t>
  </si>
  <si>
    <t>manual_webapp_planned_credits</t>
  </si>
  <si>
    <t>api_meshy6_high_quality_planned_credits</t>
  </si>
  <si>
    <t>entry_gate</t>
  </si>
  <si>
    <t>exit_gate</t>
  </si>
  <si>
    <t>approved_assets</t>
  </si>
  <si>
    <t>approval_rate</t>
  </si>
  <si>
    <t>Calibração do pipeline</t>
  </si>
  <si>
    <t>Source prompts and Visual Bible available</t>
  </si>
  <si>
    <t>80% approved; blockers documented; Unity sample validated</t>
  </si>
  <si>
    <t>Heróis restantes</t>
  </si>
  <si>
    <t>Previous batch approved</t>
  </si>
  <si>
    <t>Goblins comuns</t>
  </si>
  <si>
    <t>Elites e chefes Goblins</t>
  </si>
  <si>
    <t>Armas e acessórios T1</t>
  </si>
  <si>
    <t>Armaduras T1</t>
  </si>
  <si>
    <t>Estações T1</t>
  </si>
  <si>
    <t>Kit Goblin — núcleo</t>
  </si>
  <si>
    <t>Equipamentos T2</t>
  </si>
  <si>
    <t>Equipamentos T3</t>
  </si>
  <si>
    <t>Equipamentos T4</t>
  </si>
  <si>
    <t>Equipamentos T5</t>
  </si>
  <si>
    <t>Equipamentos T6</t>
  </si>
  <si>
    <t>Equipamentos T7</t>
  </si>
  <si>
    <t>Equipamentos T8</t>
  </si>
  <si>
    <t>Equipamentos T9</t>
  </si>
  <si>
    <t>Estações T3</t>
  </si>
  <si>
    <t>Estações T5</t>
  </si>
  <si>
    <t>Estações T7</t>
  </si>
  <si>
    <t>Estações T9</t>
  </si>
  <si>
    <t>Kit Goblin — props</t>
  </si>
  <si>
    <t>Cripta — núcleo</t>
  </si>
  <si>
    <t>Cripta — props</t>
  </si>
  <si>
    <t>Fortaleza Infernal — núcleo</t>
  </si>
  <si>
    <t>Fortaleza Infernal — props</t>
  </si>
  <si>
    <t>prompt_id</t>
  </si>
  <si>
    <t>domain</t>
  </si>
  <si>
    <t>prompt_type</t>
  </si>
  <si>
    <t>path</t>
  </si>
  <si>
    <t>characters</t>
  </si>
  <si>
    <t>words</t>
  </si>
  <si>
    <t>sha256</t>
  </si>
  <si>
    <t>c9ef92517af9</t>
  </si>
  <si>
    <t>255a0fbbc48775584ea65ec72c71e27ee425e3c79259bae19c4e99fde1af9ac0</t>
  </si>
  <si>
    <t>892a26e435ea</t>
  </si>
  <si>
    <t>ccb6b3583a567b217c671e4e6545d0fc41c15f6f2c84bb8f3f35c04072dab9d0</t>
  </si>
  <si>
    <t>da928a4f5ba1</t>
  </si>
  <si>
    <t>fc87050c35f868d6c569043ffecd4ca9cc973e2e8aef0e64fbaf59daf038381c</t>
  </si>
  <si>
    <t>5c4d3aecb882</t>
  </si>
  <si>
    <t>8889044aafc16cfe517d8af92ba01650fa5dd11a5288e849e98897b3d29dee6f</t>
  </si>
  <si>
    <t>a9d5ca9106b0</t>
  </si>
  <si>
    <t>f030598dd3d5f437cdf27a514bc9b1b3d12470759babf7d3139f43d4cbae2605</t>
  </si>
  <si>
    <t>b5f81642961b</t>
  </si>
  <si>
    <t>55745f52bc14e281fbe8c7cb224ce22231f551cba479d9665edf1f85b1bcff09</t>
  </si>
  <si>
    <t>eb6d41ed5138</t>
  </si>
  <si>
    <t>dae9abff6daac0cde8d297413e799e9f9b1d664505468285ebf73c550e154175</t>
  </si>
  <si>
    <t>0ef3f330d7d6</t>
  </si>
  <si>
    <t>6ae8b0225337bd1520a428fde379af810fe9c4683a483736c1d343512a0ab21d</t>
  </si>
  <si>
    <t>21339c8ca3d8</t>
  </si>
  <si>
    <t>45599a2f2fac5066674265ff6481479dae8fca5dcd0b9f6d146c601035e5dc61</t>
  </si>
  <si>
    <t>973290e0dba6</t>
  </si>
  <si>
    <t>b3d568317f734da7b6e7910c13aa0acecac9aff3c8369ee58da61ad3d4367530</t>
  </si>
  <si>
    <t>335efabab84a</t>
  </si>
  <si>
    <t>3ba937cbf3ed75073eb6f889e9a0a7d90c6f00920e63df776d07333e12739994</t>
  </si>
  <si>
    <t>a80d0aa304ce</t>
  </si>
  <si>
    <t>624c0288182c098798eb4c2893bd807062bfd7a80a50ad9cad18522847bfc4a4</t>
  </si>
  <si>
    <t>34c71ca21e7f</t>
  </si>
  <si>
    <t>Geometry</t>
  </si>
  <si>
    <t>dfe33a95101ffb40dc8d3a817e33f1a1ee94b5ef34c8e88d39bdb9a3ad1471c8</t>
  </si>
  <si>
    <t>69640fdf0f94</t>
  </si>
  <si>
    <t>9b40aea6ff2f1bfc8ee37a56f54e92fd99f6541746d82cc3972aefc1a32afe8d</t>
  </si>
  <si>
    <t>8a24da671f01</t>
  </si>
  <si>
    <t>c23b449533a377f691a678d7b179da922910e9873eb4ee856528062b51fff30b</t>
  </si>
  <si>
    <t>fcc000c5099d</t>
  </si>
  <si>
    <t>c772da1ffc21e13bacae66d833b2f9673176b4e64fca693c1903e7248a5a2d58</t>
  </si>
  <si>
    <t>dac784d43152</t>
  </si>
  <si>
    <t>8dc0d55a03e4d74981e3c1b02d4f1a13f32809d7eb65064a286393c280047624</t>
  </si>
  <si>
    <t>78da97af6911</t>
  </si>
  <si>
    <t>fe328824d4e28e62c822cb88f2fc6e357e68fd5c64d161bf45259ebf0a61e0ac</t>
  </si>
  <si>
    <t>058df4b30e89</t>
  </si>
  <si>
    <t>eddfa4c08873428f9cb1194d9eedfff4e439d4cf2becc832ce7fc28f823d452e</t>
  </si>
  <si>
    <t>dbbc2dd9d193</t>
  </si>
  <si>
    <t>812590aefb70594f884259d582dfa50679698c39829c434229dfc62d72bf2923</t>
  </si>
  <si>
    <t>21d79c83cb33</t>
  </si>
  <si>
    <t>88d449778e1f74ba43fb1d383fec273895df37014acceca13e99b4973b1bba17</t>
  </si>
  <si>
    <t>7561811c2481</t>
  </si>
  <si>
    <t>b21d751a28c0ed3c89946005c2f5264c6624292dbef4c1ceafd403e218858ff0</t>
  </si>
  <si>
    <t>c198b0adb381</t>
  </si>
  <si>
    <t>8f2e2c7e73043dcc89d9152869a4721c2213c5d5d2c66ec92f8081a4b978038d</t>
  </si>
  <si>
    <t>3fc2f5aa9bb3</t>
  </si>
  <si>
    <t>c4a0e8c4c95091c9c814c4ca7d4ef907bc3641e6779ab3a8ed12a45e95e3ce43</t>
  </si>
  <si>
    <t>6aa7cefe1f2d</t>
  </si>
  <si>
    <t>Texture</t>
  </si>
  <si>
    <t>3dbf5bb7410ac20c21c74974fa8168fdccf5d8e3a080891cf4aa00b1c7aadfa3</t>
  </si>
  <si>
    <t>bbb4c47e13e5</t>
  </si>
  <si>
    <t>039754bb81a018f7792d2e53a937609f8dd709bfb1d33826e9556b4704e8f717</t>
  </si>
  <si>
    <t>25562610709b</t>
  </si>
  <si>
    <t>83a5383d2507b0478d929f90f853b071dd35f595e096a53571f365da10629bc5</t>
  </si>
  <si>
    <t>ba1efc4bdcf2</t>
  </si>
  <si>
    <t>30bfc6f6673b2a7d5dabcf8af8692be7e5ab9058ebb0134f305909607c599c24</t>
  </si>
  <si>
    <t>539c6abda160</t>
  </si>
  <si>
    <t>39ad93854a9c74add95da9da1dcc49b994d0e925384540432ac093395485b050</t>
  </si>
  <si>
    <t>05e6c6a769d4</t>
  </si>
  <si>
    <t>281c02cfa9df92c21e129f167c6a003d06ac02e7e77709d7a3a91ca718f49a95</t>
  </si>
  <si>
    <t>bdaa8c8a6bbd</t>
  </si>
  <si>
    <t>0ca198d85f1d5d4d3984db8e2705229047fe4a3726276245d81562be2461f6ca</t>
  </si>
  <si>
    <t>6f1fbe72fb72</t>
  </si>
  <si>
    <t>81abd841c2436638ccc4103b19514f57e4a51b4ac9e2f32992ea637114194845</t>
  </si>
  <si>
    <t>e5051fe2c6be</t>
  </si>
  <si>
    <t>40a23610b1b69b48cfbe3709074a359fc8ea3f68a54c0b04bad83b70e801fa65</t>
  </si>
  <si>
    <t>3766b1fdfd96</t>
  </si>
  <si>
    <t>891450399bc4880e99fc271fe044f4a330af5bad5d90f9380ac4aff81ff91b17</t>
  </si>
  <si>
    <t>2c95c4b04cd2</t>
  </si>
  <si>
    <t>c2a7e720da88e1df66fc14ec3ce0a14d4850821e196f0106cad3cc3036f1e965</t>
  </si>
  <si>
    <t>65742ab6d6c6</t>
  </si>
  <si>
    <t>0465ec33d8bf5a2a00df1432d83aca87b48083c11ed8459df3410512b52ce80b</t>
  </si>
  <si>
    <t>fe181296ffd1</t>
  </si>
  <si>
    <t>bffea1c88cefcb92c7f9dd08e84b7b9c450796914cf44f25183b40609e8bcffd</t>
  </si>
  <si>
    <t>902d74a69f22</t>
  </si>
  <si>
    <t>bf33e18f9ce4c29f9e3358c21af8979510086291a046c913167f3bc8f4759e18</t>
  </si>
  <si>
    <t>769883e35956</t>
  </si>
  <si>
    <t>2c9f36c0d26b6993d5c4e04dc7dd012ed4f5057da38e29da06374e08bb07895a</t>
  </si>
  <si>
    <t>f4e0b8df8e4f</t>
  </si>
  <si>
    <t>e6abd6aec2434b29b694c6af4823f67c9f1804d3f595645ae981ea71927938a8</t>
  </si>
  <si>
    <t>8512d800bf3f</t>
  </si>
  <si>
    <t>d92f029c33c2bfa99235e5f7fd5cb9244e5d99084c5f3f2e081daa6e380b1b6d</t>
  </si>
  <si>
    <t>9d2bca72173d</t>
  </si>
  <si>
    <t>cd58eb8581a04961389de7eb2562a37cb6df97eccda36e2cb242243eaec2dac7</t>
  </si>
  <si>
    <t>29fa77f41e87</t>
  </si>
  <si>
    <t>82282fe5505e53c903b58a715f14484fd7483cb73ba09dd8ba35bc9c385f678e</t>
  </si>
  <si>
    <t>2a548e866b64</t>
  </si>
  <si>
    <t>db900170494dca8ac7e9903d4644aff02089934386f9ea3d01f1c897336e4631</t>
  </si>
  <si>
    <t>4acb33575925</t>
  </si>
  <si>
    <t>37f82d7e1cc7c996236c477ecf1bc826481f2d8637b62e5357dc576c02a8649b</t>
  </si>
  <si>
    <t>653f9b06af76</t>
  </si>
  <si>
    <t>b3aa14486fd4f32caf456ca3b5d1da6000587175a9955c86cb1f4d45b0e4d9f3</t>
  </si>
  <si>
    <t>614bd8d738bb</t>
  </si>
  <si>
    <t>d621e02f957456c782d8fe0a7be888c4ed4ca95c8d749d152328c51e1ef817af</t>
  </si>
  <si>
    <t>da91007da7e2</t>
  </si>
  <si>
    <t>806d4ef6c12c5d6ff368ca1bf58662abd963a04e0ebb376eafc092de7fa307df</t>
  </si>
  <si>
    <t>3b40c527b702</t>
  </si>
  <si>
    <t>3fe23c3017807084b72220fb20887a17a5c665f5d5455d9abf61b76d71adff2e</t>
  </si>
  <si>
    <t>34ca21a50af8</t>
  </si>
  <si>
    <t>0baafd670bdf55d689dc21af79da10176229d545e6576277e438ddcb22497815</t>
  </si>
  <si>
    <t>1c4af6a3e12c</t>
  </si>
  <si>
    <t>11671a13c4169bf6425becb4097733dfdf589dd87a37018658bfcd5679d288ee</t>
  </si>
  <si>
    <t>0ce4fe480d9b</t>
  </si>
  <si>
    <t>9da1f48f212a1b5f1b6c8c4c3b80e1ed0930ddd658e0be25a670bc8a63e7a51b</t>
  </si>
  <si>
    <t>5d9d2c224deb</t>
  </si>
  <si>
    <t>b686074ff8b4210ca9a9157b0ceb5f38ad008b23bd334a2c80533ead28918f9f</t>
  </si>
  <si>
    <t>0aac572b2801</t>
  </si>
  <si>
    <t>ea9c336e34bfab13786a084dfdbd99ee346b1174f4787b42642549b33b0cfeb2</t>
  </si>
  <si>
    <t>60ce0110ef51</t>
  </si>
  <si>
    <t>06e6464751df38a7fc798e797749280c1c015f3f8c2c598802fb454fa3324d8f</t>
  </si>
  <si>
    <t>268bbda2e8e5</t>
  </si>
  <si>
    <t>c7b66573bb64d914cbe8a35746227a15ce6d11770d08025e533c74ee2496d54e</t>
  </si>
  <si>
    <t>1c7df98d5a70</t>
  </si>
  <si>
    <t>c7aed9fe7f0c17ca3d2d81a546dbf2be63d59e4ea88447bdf90c29521bc020b7</t>
  </si>
  <si>
    <t>783b7010e9e4</t>
  </si>
  <si>
    <t>d58f002995b06ea8c348f34348ad738a858d8df0db1af1348c79c2ce5fa094ea</t>
  </si>
  <si>
    <t>09b7e3505546</t>
  </si>
  <si>
    <t>e336ba3a87df000c493b2381d13539ef20eb5ab9a6fb1a47ad75f01d3106bac4</t>
  </si>
  <si>
    <t>d695f22981b4</t>
  </si>
  <si>
    <t>6ec5cecb79b9873859ab78293421026a9cd9ec9971886eaa3e1aefcbe5a18791</t>
  </si>
  <si>
    <t>7b16a9bfb46f</t>
  </si>
  <si>
    <t>582c675c6aebe3fea69b6faecc46a0fdcbff766fe737ed373ecf642fb9747450</t>
  </si>
  <si>
    <t>e19b03edc98a</t>
  </si>
  <si>
    <t>98143edfe37d7f8cba7853b156f4263b7da7aafb72f8c4667c806f9097e1806b</t>
  </si>
  <si>
    <t>fb19f86b535b</t>
  </si>
  <si>
    <t>ebae1b86fd8ebeefd3dcbf032632234ce15bec45b1213603cff3f807e987c8c1</t>
  </si>
  <si>
    <t>928f57474225</t>
  </si>
  <si>
    <t>97e8050984c44d9391cb430c17506bdcde0135280fcbdabf111b458f838d786b</t>
  </si>
  <si>
    <t>1c17c381d66b</t>
  </si>
  <si>
    <t>5d8944475c7db899a1a613f860cf1aaf25a088e514c2495c004c1d6aef1c9927</t>
  </si>
  <si>
    <t>57bb8c41cf19</t>
  </si>
  <si>
    <t>1c193c5c7be97921eab5bac5002c8a841229e86d40a604dfba1e5fdf30f20d57</t>
  </si>
  <si>
    <t>e689b60a94bc</t>
  </si>
  <si>
    <t>8baf79f599d0f42385f209364390c00d238b0e6c5877b50c54f88174bd1ea2fe</t>
  </si>
  <si>
    <t>c79e6b57445f</t>
  </si>
  <si>
    <t>75f057a61f7b0d5c21430d4c7ef53b96fffe766c4276d8f02c53ad4ad3f305e0</t>
  </si>
  <si>
    <t>5e51117b70eb</t>
  </si>
  <si>
    <t>71bc8a0b90db72680f7f5b305941162e7bd09b24dfea49e158325387a55b8783</t>
  </si>
  <si>
    <t>9c3bafd09d62</t>
  </si>
  <si>
    <t>8a23a2ccb4629eb5ff32ce2a761b4b77f27b44156a06b677ee45493e37957028</t>
  </si>
  <si>
    <t>4ce51038a190</t>
  </si>
  <si>
    <t>ce4c51a610b493d27bd41db2083f6356f544b55ce3ceaea31553a2551018de35</t>
  </si>
  <si>
    <t>7f70ba90666c</t>
  </si>
  <si>
    <t>3cfe7a3f2a0399dd4471eae8c21743d1adfd99a0b31e2f064d0c84869294f212</t>
  </si>
  <si>
    <t>111dee4d2b2c</t>
  </si>
  <si>
    <t>9d7506ea9ecb24b513f445bd01c198af04b1740d478dec8d04fef1d495bf9489</t>
  </si>
  <si>
    <t>62ca4827154e</t>
  </si>
  <si>
    <t>92c93777308f25127162f9cbb2d899cc5f6212bf933669e1f7ee236b3b794468</t>
  </si>
  <si>
    <t>8f5f1a4d436d</t>
  </si>
  <si>
    <t>e2d1c737f8d4a9a4d8c816febd8075b69908be5def4988bf238bd0c8bd7dd900</t>
  </si>
  <si>
    <t>9addba9d5123</t>
  </si>
  <si>
    <t>2cc037b50ddaaf086de53175107c214af27ba26f28d4e2d483ecf0aca6009e60</t>
  </si>
  <si>
    <t>d4007bb0c84f</t>
  </si>
  <si>
    <t>9326ec69fad0b302aa2da7356709850ea08aa791b096f5edab99c0adc7e78151</t>
  </si>
  <si>
    <t>f0c8266c5120</t>
  </si>
  <si>
    <t>791be618af41acdc0baccda99bd222231d441609b95e1ce6213ea5c8d0dcc41e</t>
  </si>
  <si>
    <t>51d528baaa8a</t>
  </si>
  <si>
    <t>d149f7e2d38f0bb56101fbed10e0e10219b195a366292cdf402196c56f43baaa</t>
  </si>
  <si>
    <t>2743ae46281a</t>
  </si>
  <si>
    <t>3cc399c6da6530592f4bd175c871eae653adeaff9ae77a6f10814292044f25d1</t>
  </si>
  <si>
    <t>81a26b6abda0</t>
  </si>
  <si>
    <t>6c7ff8215f8d28367d18db6a7ddf32493f37510fa594f88ce46ba4258bac14a4</t>
  </si>
  <si>
    <t>8bbaec53a7f1</t>
  </si>
  <si>
    <t>86348ff9b6f16f2af8e0c976745f024393702626a8db1e0f42936740ad8096d0</t>
  </si>
  <si>
    <t>e52cc61aa531</t>
  </si>
  <si>
    <t>1fc1d648497cf5a71f11092c9fc5b5b74035f2b9dd67639fdd64eee00aa831ff</t>
  </si>
  <si>
    <t>20cee19a925d</t>
  </si>
  <si>
    <t>f7ba1fde480bb1fff843962598723640b055a24e2b3f66820bbdea44ec41de73</t>
  </si>
  <si>
    <t>6c74af7e9d07</t>
  </si>
  <si>
    <t>b1f778cbf6e13515d66db54817b482bfa17363ed63244556eae36a8e01610e6b</t>
  </si>
  <si>
    <t>c12b153b7a53</t>
  </si>
  <si>
    <t>ef88af0e3cadaa896372a5902cc84901737c5c64db4a4b0943d88dd20d4dbde2</t>
  </si>
  <si>
    <t>00b135989b30</t>
  </si>
  <si>
    <t>9a0f5faa86fcf525c380babae99c0ff844094204e4e26f6a7d89cacdd46f9d8d</t>
  </si>
  <si>
    <t>d040c643ba70</t>
  </si>
  <si>
    <t>ccb64ae344267094420692005b58991b9508706999f1d3c2257cae576ff63b9c</t>
  </si>
  <si>
    <t>dba4791c5cd8</t>
  </si>
  <si>
    <t>cf5d6484884de3df3c36122fcc8396fd050fb4cf281a8fa626b5783ca6bac60b</t>
  </si>
  <si>
    <t>a6e9f2c0ec5b</t>
  </si>
  <si>
    <t>08330fdff9d8d8c190017f6fbd3bda1b26c0037b96cc45f623cd3c36239c9ec6</t>
  </si>
  <si>
    <t>a78df028292a</t>
  </si>
  <si>
    <t>41077bda8d489a0f17ee1afc47a1fb8df2a5d8ca683221078da7cd400dacdf60</t>
  </si>
  <si>
    <t>38b1bfae9060</t>
  </si>
  <si>
    <t>01df215f7d1ac817c207f460aa5e49f788757287bb88226554765600852f9708</t>
  </si>
  <si>
    <t>43b66bd20ea3</t>
  </si>
  <si>
    <t>3555d5efd287ef0f9705f6473365bc0040467a1b25400e7d05168e7f5a40d2b0</t>
  </si>
  <si>
    <t>8f8a0c34e4c9</t>
  </si>
  <si>
    <t>6344f63483b8f381e9da015befca2d20bde6df62325725fb2bff8d228731d15f</t>
  </si>
  <si>
    <t>2a58f7d8d90a</t>
  </si>
  <si>
    <t>85f3a870562959c8de758dcdeeab5695d53112935e42c5bfdb42a3a93aa09789</t>
  </si>
  <si>
    <t>a336863551d3</t>
  </si>
  <si>
    <t>8060bbe467e46f3d04c254e866c8824f0d7a412e11e91131e08199a7acfeba05</t>
  </si>
  <si>
    <t>f9d91c66d18e</t>
  </si>
  <si>
    <t>41b7d04af74f93d729d84e7c86c8b334262868857689f60da417121d5f82ce5f</t>
  </si>
  <si>
    <t>58707d02ec27</t>
  </si>
  <si>
    <t>85ebf823af7e711f967648d397760637c7863be01199a60326e3eed6fbf2fa98</t>
  </si>
  <si>
    <t>2618a76cb36a</t>
  </si>
  <si>
    <t>d6f377ccafac097636b155ca8ceacaa70ba6cac43475689b788bbbb86105182a</t>
  </si>
  <si>
    <t>f9c68bc6b7d2</t>
  </si>
  <si>
    <t>aa76e713a82e47983b03b1d848343567080195b775d3ceeacf75d22751362d62</t>
  </si>
  <si>
    <t>fa7cdb6d1fcc</t>
  </si>
  <si>
    <t>bcb8e7862419bf854f2c9ee5c4d6053c95e447ad0e770d45c42090a888b248fb</t>
  </si>
  <si>
    <t>7c830afbbd4b</t>
  </si>
  <si>
    <t>52d10f8fcd6afc17a8ed3a7b69ed3a818e1ee117b9b5233f48a589365de300ac</t>
  </si>
  <si>
    <t>67ca5611bdf8</t>
  </si>
  <si>
    <t>5b9514356902f88546e82f04114632774267d526daf916cb6aeec7d4222aa00b</t>
  </si>
  <si>
    <t>9abcc9f0220e</t>
  </si>
  <si>
    <t>a31ce05631c17982a7d8a774edf3a84080349c604b8d6d239a483084544fac3e</t>
  </si>
  <si>
    <t>4099ea48dcf0</t>
  </si>
  <si>
    <t>b95bd97d27784ce42ecd513548508e12d63bbd24ae4ded08667f0e8c7b255f09</t>
  </si>
  <si>
    <t>519cf96f00e8</t>
  </si>
  <si>
    <t>67acdca821c34c2af848dc86dd775e89269e257ca2b9d5dc74aa2b531b6167fb</t>
  </si>
  <si>
    <t>78f30252c1e7</t>
  </si>
  <si>
    <t>c9cebc1ab98037cfc62acbe80d9f4553f1a73f93b3da3cd27236ba716fd40522</t>
  </si>
  <si>
    <t>8ef3b59b5af3</t>
  </si>
  <si>
    <t>befd6871825a0144812d0bda4d691d9ed4a85705944bb8f72d0d47edb821eb78</t>
  </si>
  <si>
    <t>4a4bc7186a68</t>
  </si>
  <si>
    <t>a1091f2aeafd80ff5c51ef64042d973181edcf73a0b2f4877dd055b9aa5e5ca7</t>
  </si>
  <si>
    <t>a58ce2c3f774</t>
  </si>
  <si>
    <t>ae038f68f913d43211ef1179c87be179e3d85d4fa6ed02e768ba115e3cde0eac</t>
  </si>
  <si>
    <t>f7b0917d1639</t>
  </si>
  <si>
    <t>c0ed01c766c09f03728a09130b05b4a180375d32238e69a10795dd889a70ca06</t>
  </si>
  <si>
    <t>86dcee7ae377</t>
  </si>
  <si>
    <t>e8cb02bd650d8b3b5e2403500e3adbf7c864b1291e982e8a9d00d583f224894f</t>
  </si>
  <si>
    <t>1912d6d4e7dc</t>
  </si>
  <si>
    <t>6178049e2d71c3aa2b72dae44fb6a1905a002820aba1f6880c55d197393b8628</t>
  </si>
  <si>
    <t>0e38ea8b9763</t>
  </si>
  <si>
    <t>4cab0b847b9afd62ae28e1b26d20b2c94f3c0f749e4a3f0c5806cc946ff3e81c</t>
  </si>
  <si>
    <t>ebe8fde33a19</t>
  </si>
  <si>
    <t>5f22b4ec63b79e530407d8a3b3cbb63b998512bc9cba0da2a57f89e5e279f66d</t>
  </si>
  <si>
    <t>5ca525af5fda</t>
  </si>
  <si>
    <t>68c703cedc1e4d1df706356b802bf07a72a99ef3ca7133a55f5964edda5185bc</t>
  </si>
  <si>
    <t>23578d2b7e39</t>
  </si>
  <si>
    <t>54729434759d6b1ea3d424a27c867c21bdb83a41ce5e3161269122b51899baf2</t>
  </si>
  <si>
    <t>ad162c1234bf</t>
  </si>
  <si>
    <t>462d2495498b0894e50ee495db3047d48a31e7047de920162cfa8b9a357d503b</t>
  </si>
  <si>
    <t>869fb816f900</t>
  </si>
  <si>
    <t>07f5d40e4199a220aa15cb5f495be16162a654bdd2f6eaca02276975982cc2ed</t>
  </si>
  <si>
    <t>0a9503f67f73</t>
  </si>
  <si>
    <t>8713643723f298bf3abdaee8f26ae532c0cef66dbc0548f136db3a5a03ac06f0</t>
  </si>
  <si>
    <t>2bc759817fb3</t>
  </si>
  <si>
    <t>e08a8b3709e4c529224478f7f6b941b820be333eb42f07eee416bef5e6c89062</t>
  </si>
  <si>
    <t>f69f3505ff26</t>
  </si>
  <si>
    <t>e28be5df32ed809a3474671ef1f70e7860ab0ee13917b076b0e11952aeebadbd</t>
  </si>
  <si>
    <t>57922e93bab0</t>
  </si>
  <si>
    <t>0ecb17a309c58f181475739443514675927f534f02586b372fc075ed1e374b04</t>
  </si>
  <si>
    <t>c094e400596c</t>
  </si>
  <si>
    <t>4bad324eb44981705299a6658399ed96de1e8cc1a3eecb678671a5bc517ea9a0</t>
  </si>
  <si>
    <t>ee5b39c189e3</t>
  </si>
  <si>
    <t>01ddba9c3f7813f3d90519854ebf905f2a10dc446816a919c495f4cb074d6c56</t>
  </si>
  <si>
    <t>800a16440f7c</t>
  </si>
  <si>
    <t>c9c042265b581fe3ea24b5a4375b213df9b4abd20a46ff3d4186cbf42e6a1d44</t>
  </si>
  <si>
    <t>24ba2cc5f516</t>
  </si>
  <si>
    <t>594ee01f1d3dfaef5a276cee031b240d79ef8be2e750a7068827c33a41ef2c02</t>
  </si>
  <si>
    <t>4260318759c4</t>
  </si>
  <si>
    <t>702536e80192a65c7828599f082e89af8984f6ca78b359b4b547618eb8caee2f</t>
  </si>
  <si>
    <t>30967aa52858</t>
  </si>
  <si>
    <t>5d7e2f01fe292c62d2efca4a6220d75ad0b262d0ebda715619dfaa1627323465</t>
  </si>
  <si>
    <t>88297d369fc2</t>
  </si>
  <si>
    <t>2df18bbdbf28a4d10f39e0ac9cb2b2e27c7de09a6e9293665841a839b5224de9</t>
  </si>
  <si>
    <t>1c2560af2cc0</t>
  </si>
  <si>
    <t>9c2f7b6edfb1b6ba1ec87d539dbe2f6577d1b0708857851851405e8028af3459</t>
  </si>
  <si>
    <t>46447909a9ee</t>
  </si>
  <si>
    <t>3cf73261faa38c059fedad5e5385c86a8a7b2194689f7b1ca1e62fd23f314d58</t>
  </si>
  <si>
    <t>4aae55732fe1</t>
  </si>
  <si>
    <t>3dcf024aa30d9fe09618b47293dc8b7bc3d5a20812f4b1bc782524b9c131b1b1</t>
  </si>
  <si>
    <t>a150447743cb</t>
  </si>
  <si>
    <t>dafa12c26926c51520891513847f820c7aa0789584e1b8f5dc1fc57635da5ee7</t>
  </si>
  <si>
    <t>948aa1b816c4</t>
  </si>
  <si>
    <t>7a06a12a1b16991c4fa969bcf7e2ddf37c39e0866c4cfa975f5265bc2e694c26</t>
  </si>
  <si>
    <t>a7db739a52bf</t>
  </si>
  <si>
    <t>3318ab26bb641957bf0c74db861c7adc40c01f00e85094878931c2d6e041bc9e</t>
  </si>
  <si>
    <t>d88dda1da5f5</t>
  </si>
  <si>
    <t>810bdd9adebc115728ef08ea740b16cf95778022c111fd3a11db7743fc8d18ba</t>
  </si>
  <si>
    <t>c9db90a0f062</t>
  </si>
  <si>
    <t>c23ea5adcc2b9864d7b7136a54912eef3348fc0abd18f15de90a998436cc8ffb</t>
  </si>
  <si>
    <t>5f367f139802</t>
  </si>
  <si>
    <t>b41ebba971f1e96a3969b0aebe8e211aa7273eaf90924da7483dafeeed27c426</t>
  </si>
  <si>
    <t>2dde67534c6e</t>
  </si>
  <si>
    <t>0046238315910932414bafd760795c3d010234b3d6bbfc743a4ac41e463e737d</t>
  </si>
  <si>
    <t>346ed63d1fea</t>
  </si>
  <si>
    <t>9b49f9d54e8677833d36eaed9c18224587f36b7b6468308d1d107b0147f9f117</t>
  </si>
  <si>
    <t>6779210b5c37</t>
  </si>
  <si>
    <t>d1b45f6171b6c29a904cf0b91f23ecdc6eef83efb78a57ad86b5181576a73e6e</t>
  </si>
  <si>
    <t>9b04da4f6279</t>
  </si>
  <si>
    <t>37cac7c9932016e04ef88caa63fad022ecd354b19301e882a1b9db9362bbbcb0</t>
  </si>
  <si>
    <t>2aefc3351bbd</t>
  </si>
  <si>
    <t>8c3e163d0ff1758e890cbeaa61014a603d2cab90e825b723ab575f5da14d7670</t>
  </si>
  <si>
    <t>ccc3f27f007c</t>
  </si>
  <si>
    <t>3060288939829bba2f832199ccf1a4f925bc93379114d1106a5658b3917a267b</t>
  </si>
  <si>
    <t>1e25154c5f6f</t>
  </si>
  <si>
    <t>2034fdb73778ad1ba41d733372fcfd02a04b817f824777e03f6b0e8e7c2f6b59</t>
  </si>
  <si>
    <t>ba5235fea7f3</t>
  </si>
  <si>
    <t>525e2b1a678006f8c022e4cb2982ea1a8b957b6637ec43d40cd04dbe1a6142d9</t>
  </si>
  <si>
    <t>b5db451924a7</t>
  </si>
  <si>
    <t>a8b3d520a7c670952408a64e1a133aac6ac2dfcc68f51b73443b4aafcd170b2a</t>
  </si>
  <si>
    <t>baf9af4c8285</t>
  </si>
  <si>
    <t>3f1c8fa86954e346c401b19a76cbad25e845764ca6b6bb1b414ff4474175fe49</t>
  </si>
  <si>
    <t>b341db2419f9</t>
  </si>
  <si>
    <t>6af1707bf5d09412fd96333346426716c90094c72ed49079dc5c36f90e5489ee</t>
  </si>
  <si>
    <t>aa842f4db836</t>
  </si>
  <si>
    <t>e4e181c85f7390703446af9bc8f7897f37b8e36f6739b1625a5a2384e6137fd7</t>
  </si>
  <si>
    <t>3a1a7d971893</t>
  </si>
  <si>
    <t>12c20901a09f618c0f313c58126e3ee88d8bda3a930929abb3e65cfc86ece185</t>
  </si>
  <si>
    <t>755e8a8c403c</t>
  </si>
  <si>
    <t>df90ebe27bd908f14f5eca2d27294e64f1ca1b16a33c44a681b54eba8baaab24</t>
  </si>
  <si>
    <t>f228b85d24fe</t>
  </si>
  <si>
    <t>5a52858d3e0ff7745a1921608885a31b44587e3ef7f066ca12d37c254eb236d1</t>
  </si>
  <si>
    <t>ca0ae51a7778</t>
  </si>
  <si>
    <t>d329272bb3185c3ddf17041a10c808add7a9a477fc9b041c03200e88d7481103</t>
  </si>
  <si>
    <t>c1c9cfc3cd68</t>
  </si>
  <si>
    <t>e690f526c4e73baf501ab37070442fd28d66c8a7d81f919c90ebdb2bc641edbf</t>
  </si>
  <si>
    <t>049184170e8e</t>
  </si>
  <si>
    <t>5f0cc3aea15427379993bc071f99b33afb3002dcdf20b32bc1730ab4c9210e26</t>
  </si>
  <si>
    <t>447cceeae991</t>
  </si>
  <si>
    <t>6c426f12d47f27d03f8fc3b8a104253bb0a732e97e4732e1235d6016a1683006</t>
  </si>
  <si>
    <t>35430df68bfa</t>
  </si>
  <si>
    <t>09554529552c0e684b38ed01f7f9bd47bd1370339318fed5753b6239860720b7</t>
  </si>
  <si>
    <t>b08cf75ce855</t>
  </si>
  <si>
    <t>fc924f4f19c0202985e04e85c50fa0c3d433361c9978294c28f23c321e936406</t>
  </si>
  <si>
    <t>84a4e413e402</t>
  </si>
  <si>
    <t>8883742c7081a1ea93d84e3b1bb5200b63e4a26e6f0526f99248de5256af1731</t>
  </si>
  <si>
    <t>0bb31a36e599</t>
  </si>
  <si>
    <t>0e946d4feac4411d24a461623739101963d00b48f12dd2101bb6b7cfbad603b8</t>
  </si>
  <si>
    <t>81a24aaff965</t>
  </si>
  <si>
    <t>dbb55318828ce0ae23f40cea8605ff62bd4c6bffd0ee6a6c1ad330fddc516b88</t>
  </si>
  <si>
    <t>532bdf337bea</t>
  </si>
  <si>
    <t>9eb0a24e2a7197ef4c243766a82be30a0ba986597769cee56ceec3847b134d7a</t>
  </si>
  <si>
    <t>b053c2fe0b4b</t>
  </si>
  <si>
    <t>7e2e270c219a5b918c1c13efc74f9b23ab31b9025bc33acdf58fe7a26bd33140</t>
  </si>
  <si>
    <t>0eded1c39b9a</t>
  </si>
  <si>
    <t>efc795a51e1189bcede7d1cc9115436987c61b1dc20e8b2b89e653b931e2fbda</t>
  </si>
  <si>
    <t>4cf4ec119c1b</t>
  </si>
  <si>
    <t>cfaedcbea3d7f4da2611f7fa68fecb483b9105e5e3d9cdd50173e6d4f43a58d6</t>
  </si>
  <si>
    <t>2f1ea814d3f6</t>
  </si>
  <si>
    <t>aaf6370643415a9fd3ccbbd7233269db29d9fbc8cc4778309a307664d9c168af</t>
  </si>
  <si>
    <t>1f89a8532eed</t>
  </si>
  <si>
    <t>c27b6413f5db20b407c7bba31519ffab977e8a20898df63ebee83f64539d9334</t>
  </si>
  <si>
    <t>82aaecc883d8</t>
  </si>
  <si>
    <t>78449852c9b50bcdaadbabbed696fc3e3ae07e9ca64bd7d14e3ecf0e63d5a6bb</t>
  </si>
  <si>
    <t>81ec26a2fe3b</t>
  </si>
  <si>
    <t>a286b139fa3fa8b656fec2f5091da87dde6a984804ac1294a808d1423d66fdb8</t>
  </si>
  <si>
    <t>9991d4bfb3e1</t>
  </si>
  <si>
    <t>54aac12f200c71ae3a7cf5d67b1b42382b2563eac23044173cc7a9e25b81bf7b</t>
  </si>
  <si>
    <t>e47ddcc06624</t>
  </si>
  <si>
    <t>b59c5a18c20cc1cc85ad2481d4816b78f2164b1867b50dc8c8149d67032ba23c</t>
  </si>
  <si>
    <t>55da3562c977</t>
  </si>
  <si>
    <t>540b1b1b8c99c5fa75ce0664e4fac63cefeb5ca70eb4d28f62ec747cddbb6a88</t>
  </si>
  <si>
    <t>a232c1303b73</t>
  </si>
  <si>
    <t>26021c986795e4028f9457065e445f158602a7a76c1cb0f787bdaedb7a329e53</t>
  </si>
  <si>
    <t>d3357d27f8f4</t>
  </si>
  <si>
    <t>4db6e612e9fd783d341e0eccd0c5a46340728318b36a407f5cbd532c846e46bc</t>
  </si>
  <si>
    <t>ec2794957b51</t>
  </si>
  <si>
    <t>8720d8676c329d65468e1156d459795edb237c88a68ef16217c14bffde4893d6</t>
  </si>
  <si>
    <t>02eb050995db</t>
  </si>
  <si>
    <t>2593888229ba0fa532ec75afae66bee05012b2dbe5e388946bfbbe3b50e5f5f0</t>
  </si>
  <si>
    <t>f492c56a5f94</t>
  </si>
  <si>
    <t>b6d35d7d59c3fb8069bc9e3520b1dc15e71635810150d58a8e7525bfb53659be</t>
  </si>
  <si>
    <t>159fca969ab8</t>
  </si>
  <si>
    <t>934cf71c1204e80d934519b479394fe82f0ac660bd69248b0f8c7bc6a2badd73</t>
  </si>
  <si>
    <t>552ed36a7f88</t>
  </si>
  <si>
    <t>400a33f78066b934543a665dec1a6c300d6bab89559dd4aa2293bd900b23d6b5</t>
  </si>
  <si>
    <t>d11234068b7d</t>
  </si>
  <si>
    <t>c91830c7759c2b390cf3704758cfdf758705ac797e724c6891def4646b908737</t>
  </si>
  <si>
    <t>90d072006d56</t>
  </si>
  <si>
    <t>02ed033fd21e8c429f869c9dc2af8a68528d955c7a8957f9edac5f89dc18f5af</t>
  </si>
  <si>
    <t>b7688be9adfc</t>
  </si>
  <si>
    <t>3499c5492ff8bd90a0292c1b00f92b0d2df2d26208a625eb65c74c904b7b424f</t>
  </si>
  <si>
    <t>8f9021eca3e0</t>
  </si>
  <si>
    <t>b7ee22afe308e66fe38142635920e1f938478bb8410590187f4f9933f7ba6d3f</t>
  </si>
  <si>
    <t>23682e7f9771</t>
  </si>
  <si>
    <t>de3b527af641e4c3d4e02ebb11fb0bfa82921df81b0e71326fc1efc440bc593c</t>
  </si>
  <si>
    <t>c72a7464e706</t>
  </si>
  <si>
    <t>2846570a95d5327ae12ba14563507813b480faac401140d2431b013e12621c62</t>
  </si>
  <si>
    <t>ae9a839e887c</t>
  </si>
  <si>
    <t>1cd35f5b296c05a8ba9e2308447623f9a66aa91b02a32f664f333f31445c09eb</t>
  </si>
  <si>
    <t>d07871fc1d1d</t>
  </si>
  <si>
    <t>602ce9ed1ec65e6a9c80ae2dd6870e70c1b0452523b7295af0e1ad034ea3cd2f</t>
  </si>
  <si>
    <t>1da4e2bbe30d</t>
  </si>
  <si>
    <t>496e3b482e7ac0ea20b69caed66bc8e6f17ce7034a0da4089bc785dfa11bf0d9</t>
  </si>
  <si>
    <t>69ef5647e865</t>
  </si>
  <si>
    <t>b85f26224cb5cc0ffc5d1da72fa8ec1865bfb60ccec179ec21edde0657280336</t>
  </si>
  <si>
    <t>2666abcbafe6</t>
  </si>
  <si>
    <t>eb30a64f7076e335805fb4829ef88f649e197852854abbb3a343aaa0e526c7ef</t>
  </si>
  <si>
    <t>f60831109c80</t>
  </si>
  <si>
    <t>69e2373f2c2a2fc95d2473d9604aaf05a86ebd3456c126c9e9a7c4dac284fad5</t>
  </si>
  <si>
    <t>2a3c3a448ab0</t>
  </si>
  <si>
    <t>c7ee51e1713086562c763c4d628c69789ca8b670d77fcf566bde4f2889d48b62</t>
  </si>
  <si>
    <t>955baf67c667</t>
  </si>
  <si>
    <t>3d487ae7fd5ddb133a8a80ee2f2ad509a8217e47b8e081b29391c83181f389d1</t>
  </si>
  <si>
    <t>d97d716dd247</t>
  </si>
  <si>
    <t>0172508c62c024c5a6f069b0323e6ff15e9eaa3ca68ee3310d74bc9e528654b3</t>
  </si>
  <si>
    <t>27b1383225ec</t>
  </si>
  <si>
    <t>0216aa4758c17d882931ce1bcefdc153ada346ed62e0309c46ab00f8f21e8b28</t>
  </si>
  <si>
    <t>4a51d7e88a57</t>
  </si>
  <si>
    <t>4438e5e6ae1bb8668c53f349fb054ed754735393c722bb5309849643fd5aa5ac</t>
  </si>
  <si>
    <t>dc59cd3095e6</t>
  </si>
  <si>
    <t>b294ab4a6af33ae3b803d543afc30315740cd2311b023a16d5958bb7fcf7d8e5</t>
  </si>
  <si>
    <t>2bbf1b8ee9f4</t>
  </si>
  <si>
    <t>9b2f88f951cf1f780567a02c6fc476aab05c3588a912aad13264e52d96795684</t>
  </si>
  <si>
    <t>a9e59b821b64</t>
  </si>
  <si>
    <t>c48322b6d5695536f293dc695479021c896f99ade5c2ff918f1c85dd23015415</t>
  </si>
  <si>
    <t>46e8de473ae1</t>
  </si>
  <si>
    <t>1bf75bec31c11482989206e3dcfa613eb83a9f3c8822a5a1b5de0d46cfb9d44b</t>
  </si>
  <si>
    <t>af9e62645956</t>
  </si>
  <si>
    <t>ff5c61b4b799533dbdcfa157f48437b26d2b137c8d6d532d2eadbc3229c3da25</t>
  </si>
  <si>
    <t>c5a15d700fa6</t>
  </si>
  <si>
    <t>8043b12f16592246a1866f6f24109ecd8186a96757eeb9bb290dcc80c9810178</t>
  </si>
  <si>
    <t>febe5f6258d2</t>
  </si>
  <si>
    <t>0682d7f5128bf9eff809df3c06a2c36d9465e64ab167ccb1485e60120ccad4af</t>
  </si>
  <si>
    <t>862858160f3c</t>
  </si>
  <si>
    <t>092e9c66790496ca87ce54dd5b67683252119e860b99226854e66aef803370e2</t>
  </si>
  <si>
    <t>71fec1c55295</t>
  </si>
  <si>
    <t>630d83d344081755b6f1d8f65957b1e8b28d245f2ac770a420fd1c1a137663d8</t>
  </si>
  <si>
    <t>151796f4f58c</t>
  </si>
  <si>
    <t>6406d9aad1c83c12b5ba76666d1daceb8d0fcb5d05eaf8fcd21b84e117d92765</t>
  </si>
  <si>
    <t>a33b13c8f1f1</t>
  </si>
  <si>
    <t>01c12f0bc1e55c711732c904e86ae884b19f9655aeccaf5232efdf15f55995ef</t>
  </si>
  <si>
    <t>145f37e147fc</t>
  </si>
  <si>
    <t>f95c80d4c142a8a0d41ec81f59ce1be56a85bfb7ed0a4eaac5fc8f43cfd10d75</t>
  </si>
  <si>
    <t>ac6aabde0d93</t>
  </si>
  <si>
    <t>98028cc780318b0a6bc98f387a629dfe11b3e2eac6ea15435650918c5e487a7b</t>
  </si>
  <si>
    <t>84fd00439636</t>
  </si>
  <si>
    <t>6b8c397f5870c5d733b72c15243699698c8c189d8d56c8ab4e47c15dee7a1580</t>
  </si>
  <si>
    <t>a86794784216</t>
  </si>
  <si>
    <t>d26a89ae6791aaae90c38e1c5e6655625b0f262fef71b3f0df0cad9af47e5d84</t>
  </si>
  <si>
    <t>0bd69217b0a0</t>
  </si>
  <si>
    <t>6836dd8e001572948e62dda88f52e1c8f3683543c8d4aff3e6351e6b717110d5</t>
  </si>
  <si>
    <t>c8813802715c</t>
  </si>
  <si>
    <t>2600dbc402456e47c3f38179690c9c83187a4942dc131ac3e75049d56ab09711</t>
  </si>
  <si>
    <t>30a079af26b4</t>
  </si>
  <si>
    <t>5f73bff960e711b7887c301622ba5b3d86deac42968dfdd09fc903053ee7e97d</t>
  </si>
  <si>
    <t>8a6fb8e41dea</t>
  </si>
  <si>
    <t>f468fc00efa43f2c8644f57bd78451236335b815971fdd22ebdb0358e0e6de00</t>
  </si>
  <si>
    <t>5b0c77903f57</t>
  </si>
  <si>
    <t>30c6b228860a24d1dd78b723ca7085577ab5a80dc0805401c0ce783f65d7abb3</t>
  </si>
  <si>
    <t>5638f44fe0f6</t>
  </si>
  <si>
    <t>45250114b8122eced396c089f80467e9f4826200c17058e2dd5c1fe76dd8739a</t>
  </si>
  <si>
    <t>5de93affacbc</t>
  </si>
  <si>
    <t>99905bbadd02d0df951f4555dc2b3a9f69d187edb3a2fce6a5759b90a0cb7437</t>
  </si>
  <si>
    <t>aaad941073f8</t>
  </si>
  <si>
    <t>934310c26e738030884f9ce411c0ea2f23d6bd7e69ad51bace9121092193ef3c</t>
  </si>
  <si>
    <t>7852731d7785</t>
  </si>
  <si>
    <t>38932f4caf9a6c6708a20acc658837deec9ef6a51d2172099e82504db8df5e00</t>
  </si>
  <si>
    <t>79050ed5c38c</t>
  </si>
  <si>
    <t>18c75ae772ffa5ac2283595ff357f4f73231bb0db3aa2e59f78391c0a1a6cc45</t>
  </si>
  <si>
    <t>0d73493320a2</t>
  </si>
  <si>
    <t>e0ee036af36ea553a283f749f65506f06c0f240ef1ef4b61442377011ef58c09</t>
  </si>
  <si>
    <t>662bc30f3d0b</t>
  </si>
  <si>
    <t>32ae8b6a53447472a9e4c365a132f338f87aef904f4ffb2d668e5280a66130e7</t>
  </si>
  <si>
    <t>9a9250110905</t>
  </si>
  <si>
    <t>3608edf298576f6a3038edec4ee60e9df4d584aabd858e7f6b2073c7cacda40f</t>
  </si>
  <si>
    <t>5f694e60eedd</t>
  </si>
  <si>
    <t>027508408eada9569faa64062b18ab0f02269385a0ce3f14624aab65e596bd4a</t>
  </si>
  <si>
    <t>019e363abd7a</t>
  </si>
  <si>
    <t>a330c4c299dae749db3980e9093eaabaf7b1b198e14cbe74f71b1b1ad019295d</t>
  </si>
  <si>
    <t>7a9dce245072</t>
  </si>
  <si>
    <t>dfd3e3e310e4373635120e45a163a65a7aa5240d2e53248da386556f6e82d841</t>
  </si>
  <si>
    <t>832c8fd1bf94</t>
  </si>
  <si>
    <t>f143b25d1536874261b9fb29b5318eb7078fb59544bd0214fbd77bc4a8ea4618</t>
  </si>
  <si>
    <t>7a5b0fb77b14</t>
  </si>
  <si>
    <t>14d7185ee8507611051c5a4ec865800280c3d8dc22d621bfed6037adfa72ba86</t>
  </si>
  <si>
    <t>dc787d941c22</t>
  </si>
  <si>
    <t>58c690305137120702a868dbf5309ebe089abba0997209ebecdea39b14ed9527</t>
  </si>
  <si>
    <t>70a1ace525bc</t>
  </si>
  <si>
    <t>ab34c4627b744d58f34bb2137e398ac92c2619453c6e4cc4146740fcdee33b47</t>
  </si>
  <si>
    <t>afca31646c07</t>
  </si>
  <si>
    <t>6229339c5a67953ae628bbe84b026f515d58301907fc016bbdb739bfb200d5a7</t>
  </si>
  <si>
    <t>fa9127ca2a3a</t>
  </si>
  <si>
    <t>33b2d31308e3cd1d01d23c68ba19aef98e7e89a08798dcb6445fb23be49108a1</t>
  </si>
  <si>
    <t>2c90619ca7f7</t>
  </si>
  <si>
    <t>40a67b3240f349b13f78aa16a44711e05c794d48163a8e6c29a6b90d58520772</t>
  </si>
  <si>
    <t>5b10778b1265</t>
  </si>
  <si>
    <t>291d0c0c809727385b67ae695543a1e43f6fb6c0024cfdb3a533524f7b9c8f24</t>
  </si>
  <si>
    <t>af52aba0390f</t>
  </si>
  <si>
    <t>c75ce7ee278282ef2d436427f39a98c2f18891846da841fc3422e7ae0e690243</t>
  </si>
  <si>
    <t>6300cd1d97b3</t>
  </si>
  <si>
    <t>3a7743f25ce3c9d450d2e70f7f0ad6265a948c3c33723483c210e5f8d8c64157</t>
  </si>
  <si>
    <t>204f90e4ec10</t>
  </si>
  <si>
    <t>b16e655ccdfefafe0ab1f5221960cfca003005855e762d95e7826d54d46805ab</t>
  </si>
  <si>
    <t>3b6d7579c703</t>
  </si>
  <si>
    <t>d28daf4d500d8f3181aaea7c779127c351ca2c30ba87f91f67ef46a03d11aa67</t>
  </si>
  <si>
    <t>b86c7608d9fd</t>
  </si>
  <si>
    <t>087493fc3aff60b880f3056a999f0becb6ab82ee0ebd5a5a73398c39dbe88f61</t>
  </si>
  <si>
    <t>9a616c320515</t>
  </si>
  <si>
    <t>97e3964a58ed4e56d45c914d7c7b41be971ccda033636b8ddeb60c5fb8aae127</t>
  </si>
  <si>
    <t>96503d4f2ca7</t>
  </si>
  <si>
    <t>9def9a4f573197e762efcc793233b1bdc781e2fc5a3d886f9da441f398ae6d64</t>
  </si>
  <si>
    <t>ac16db79311d</t>
  </si>
  <si>
    <t>a69386bfe8ac7ee9e5262caff26993358a283845950299a4ce56df6d225b757c</t>
  </si>
  <si>
    <t>d2f51850a5e0</t>
  </si>
  <si>
    <t>7321c1290673b6edc3c831b95e831015371ff0e487378d703f591d2c42ec9645</t>
  </si>
  <si>
    <t>36d005caf8a2</t>
  </si>
  <si>
    <t>c7c845730d5c09b550329e0d391c2a737a5bdaa5b922cf1b71793ad87e9b5bd8</t>
  </si>
  <si>
    <t>f1e935f9f515</t>
  </si>
  <si>
    <t>da6c3773a2c45521ee2ceb4905a50fdcd68399d2da29a708e842414e4eeed564</t>
  </si>
  <si>
    <t>f91767b896de</t>
  </si>
  <si>
    <t>406ea555edd64e86e75af8529d1efbd9a303fc0c03e217b3184f7c322e569fa0</t>
  </si>
  <si>
    <t>bea1d219c62a</t>
  </si>
  <si>
    <t>fb93f40f5bc5948b2ec55351f42b637af9dce9d882652e3c1eaff4220e65c2a5</t>
  </si>
  <si>
    <t>ed6f83b64a63</t>
  </si>
  <si>
    <t>c80c85c3d02e74e0dc34656ee4864d91ab6a719346a683508cd1d8504611ec2c</t>
  </si>
  <si>
    <t>474926e5023b</t>
  </si>
  <si>
    <t>272d688b2ce2d3e2e9f651e9100bb7e42ea7e84889c0f5ff77692fb225923d00</t>
  </si>
  <si>
    <t>5112311142b7</t>
  </si>
  <si>
    <t>43dda2956598449c08752bd5af54a635b14e3a768a6f8a2d325b065a91506be4</t>
  </si>
  <si>
    <t>0d78c0aedacc</t>
  </si>
  <si>
    <t>c3ad4793b6bd3569b1a90219882a7478baeb793049094f09fb00588392b3249f</t>
  </si>
  <si>
    <t>3fc8c1bd7d3c</t>
  </si>
  <si>
    <t>84949dca67132f2069997d2b620253f2b629e0b2721645ac25470e544a3d7e3c</t>
  </si>
  <si>
    <t>b094ad3477ca</t>
  </si>
  <si>
    <t>b57fa1476579d4f52be4bc05c7238d141e7837ea8064148ac6e9ad2548c3ec4a</t>
  </si>
  <si>
    <t>689e3d3c6091</t>
  </si>
  <si>
    <t>ac4ac96edec958fcce57ac96847ddaac8e2144cfc81a6dfb0ba22b38d969cc39</t>
  </si>
  <si>
    <t>c3348e49d121</t>
  </si>
  <si>
    <t>69240266db46ee01fdf66c0985c32205dd7faf855b19fb645f3d654892f9f932</t>
  </si>
  <si>
    <t>9db8b36866b5</t>
  </si>
  <si>
    <t>e33d006c172f4308742026bb8399fff1b1244c20a67f2637044cf450742e7665</t>
  </si>
  <si>
    <t>e18c78068af9</t>
  </si>
  <si>
    <t>fd57a12f9561f38f357d0a2adc4b74da92f5ce2ee9daec03cfda19892a37e06e</t>
  </si>
  <si>
    <t>a6da44b106b6</t>
  </si>
  <si>
    <t>3408e144bf35873056730ca20c7a0f6c5458c982fd105761daaa16d0d3d412fb</t>
  </si>
  <si>
    <t>acb292825aa4</t>
  </si>
  <si>
    <t>656e9e79170c3041b99fa4aa7072022e37398c7ab2c47d512e0056fb18a848e7</t>
  </si>
  <si>
    <t>ca8a5ef595ca</t>
  </si>
  <si>
    <t>b8c4a9a60f67cda90bd29db7c82171d63c6f9044b785c3e7c3cbf7149140ecbe</t>
  </si>
  <si>
    <t>1c9453ec5642</t>
  </si>
  <si>
    <t>0540c795a821e99ac450709486b4166c2ddd6b3b5af2d7e6c20524603a3dfbe3</t>
  </si>
  <si>
    <t>7b89436cd92d</t>
  </si>
  <si>
    <t>3f2882fe837eb07ee078182a7890131a3361adaba77b880fe08c55e6ccf70285</t>
  </si>
  <si>
    <t>d1235142862e</t>
  </si>
  <si>
    <t>d332db888e3286c7fdcb1a5268f86ff751f18e461ad102ee80f326578091ad9e</t>
  </si>
  <si>
    <t>4dfcd881b182</t>
  </si>
  <si>
    <t>e19e3b6063bb72b64e1927e309145079efe6703c2ec5c3a7c8100092b7e27923</t>
  </si>
  <si>
    <t>5cd54b9f6f5d</t>
  </si>
  <si>
    <t>ddf6769873da48483cd97c1c4d167b04fe5db154e1dc50cf2f71d7dac135d684</t>
  </si>
  <si>
    <t>accb677fe2ed</t>
  </si>
  <si>
    <t>b5228e14acce7f8cf982e5b4bda8f125ab4ff32f9dc73402dbb1f57990cef92e</t>
  </si>
  <si>
    <t>acb9a4df9c1c</t>
  </si>
  <si>
    <t>f3e282e1acd2083f16d4e02a868cdb4d168cb91f431cd50731e7e0c505140f38</t>
  </si>
  <si>
    <t>32c684ea08ed</t>
  </si>
  <si>
    <t>1133ca8772b4a1480dcd71cad8f2515ef08bc1e8a6320648850efa91f9e8593b</t>
  </si>
  <si>
    <t>09e248b97606</t>
  </si>
  <si>
    <t>97cff4c66542c6b63e212ad618e968d71f32adc4a7b3a4228b7da18099fe210d</t>
  </si>
  <si>
    <t>ef5ec9b29461</t>
  </si>
  <si>
    <t>f9a18545b9911c2fd219e97b7e4923e7f44b893b1f1669874fd405f2347b82e5</t>
  </si>
  <si>
    <t>5d8fb147f51e</t>
  </si>
  <si>
    <t>df47218b36ca89847461ad7d076bee4bb32871d085cabaa27eff06d3a69ad23d</t>
  </si>
  <si>
    <t>466a2bc782f6</t>
  </si>
  <si>
    <t>8cc9e8d147b4741ce4e1616b42c15c819a7afdee26613865f89ba4b59dee21fd</t>
  </si>
  <si>
    <t>d3a2528c0b15</t>
  </si>
  <si>
    <t>7be0e37155b8d82b3cca116eda29cdfd70ef054a866070c2b1edc341c5720077</t>
  </si>
  <si>
    <t>fff1c32bfed5</t>
  </si>
  <si>
    <t>a56f3ba8acf5ba0e3348f86b19356e549e1e2c64fac7a9ae8a3f58cc93510a33</t>
  </si>
  <si>
    <t>1f51fc680791</t>
  </si>
  <si>
    <t>8f5eb04b427a953f2ca72722a5d228e257dc858d6bfa313c43bf1255c959fd6f</t>
  </si>
  <si>
    <t>27735a66a58b</t>
  </si>
  <si>
    <t>3747426c13ed10065178d3e89abc1c4bd14d49616024ad39792decd70e71ac67</t>
  </si>
  <si>
    <t>3aa434bb2d0c</t>
  </si>
  <si>
    <t>a550aeac5838a47e66ee801b6da0db7269be4730315ef21aa2e617e010f945a7</t>
  </si>
  <si>
    <t>2da9868f937f</t>
  </si>
  <si>
    <t>c2817c8af231d8053718094ef144d5299b3d029c4bfd375b3378f459f06ca4e0</t>
  </si>
  <si>
    <t>b04e997d2355</t>
  </si>
  <si>
    <t>a873ba825d7445d1dfb56c0b40133dace1d636313aea94b824415f763eae5b7c</t>
  </si>
  <si>
    <t>d8f9324bb8e7</t>
  </si>
  <si>
    <t>64886e787e82467b7c5a556a8f5f380c71c00d27af226aa23eb4adbdc51fe289</t>
  </si>
  <si>
    <t>6c233b16f300</t>
  </si>
  <si>
    <t>87d54aea20bde90e60d0ef59323aee8fc90f919c835668da772fb82a3009f82e</t>
  </si>
  <si>
    <t>d2e6e19a5148</t>
  </si>
  <si>
    <t>b4afe8327798e41f1a4e71ca34748a4cd4a3a75efc8e55a7d5ad57084f097ad1</t>
  </si>
  <si>
    <t>c5759f3e08ca</t>
  </si>
  <si>
    <t>f5d5fd0138e4fa1be404ff7975ec4a006e3bbdae5bc882fe73d1968897323ad3</t>
  </si>
  <si>
    <t>85ab336b680b</t>
  </si>
  <si>
    <t>2c0a3d1f400643e1e249bd8598fdce74f9ce89da0312fbf1323ca0bb2d47f333</t>
  </si>
  <si>
    <t>66f05cfc125e</t>
  </si>
  <si>
    <t>af57720ce27a8f7c44d544bb742d51904acd0e4d088d777b55b86b102cfdd291</t>
  </si>
  <si>
    <t>de7c5da9d59c</t>
  </si>
  <si>
    <t>bf793b83e502e86d10b2b73995b5dc1aa6b1fdabefdcc9c68ef2f20837bfeec1</t>
  </si>
  <si>
    <t>3d3f7e0bcb50</t>
  </si>
  <si>
    <t>41ee4e9a14332e7137c592d1c6322bcfef690e8babcb4aa02ac17ff69d7232ae</t>
  </si>
  <si>
    <t>f14c957ad0d9</t>
  </si>
  <si>
    <t>ffd5ee0f58ba389fd483b067d51e1065aad78a7486b03e2a80b98044bbf71046</t>
  </si>
  <si>
    <t>1511d4328825</t>
  </si>
  <si>
    <t>2b085af5b79804c48b41c1d9b1f185d5a55adfb59c113712960ca496ea5fc8ee</t>
  </si>
  <si>
    <t>b7d20d81aa2e</t>
  </si>
  <si>
    <t>6164b9a6967f8d23aac06bb6bf31561683e7ac19570996aec369186f6e6d4e4b</t>
  </si>
  <si>
    <t>9d25f4cbfd9e</t>
  </si>
  <si>
    <t>12af634ab7732954a31b2ba0e7b50a3ff6f44b1a1ad7f83f4cbe571b9e0aec8f</t>
  </si>
  <si>
    <t>9d38b248f4ae</t>
  </si>
  <si>
    <t>115aee11ed21687bfba0efedcaa312d550b236ee0324c6a84b054b6723a5731a</t>
  </si>
  <si>
    <t>9c8c33696a73</t>
  </si>
  <si>
    <t>810cc95d4c19132da29c76cd61ee7013a96ff93b1bc7836de144d9f6c8830fc2</t>
  </si>
  <si>
    <t>8dc1d4106fd2</t>
  </si>
  <si>
    <t>2d792703fc4d9708c2dbb828fd4874acc36ccd90a2cc71a51f03f70134ed0fd8</t>
  </si>
  <si>
    <t>7836ab572d9f</t>
  </si>
  <si>
    <t>6bdb7439e838d5ba48c488e204be2a5e57e4fa4c79bccbe80e55593b95c239c7</t>
  </si>
  <si>
    <t>975dcfb2c727</t>
  </si>
  <si>
    <t>6d0426d94d050022c014eaa2d10979dc4512bcd08a4f44279866f8657094eec1</t>
  </si>
  <si>
    <t>2e3365b86efc</t>
  </si>
  <si>
    <t>0a340b54b1bada6a27f163928061577bcaeeb35cc5612fb75227681ee7bd3123</t>
  </si>
  <si>
    <t>5cb89d145c0d</t>
  </si>
  <si>
    <t>2c58d4f3784125cbad07de0a37b26ceffa159c2ec1ed2ca8d989711a145f88e8</t>
  </si>
  <si>
    <t>4cc99b168f43</t>
  </si>
  <si>
    <t>5e645b7c706bec26d8b8e0acd24dad34af9df174445aafdef4a3821bbdf72f38</t>
  </si>
  <si>
    <t>78b01dd28c16</t>
  </si>
  <si>
    <t>06240377a75535a945a5153133056c7a9eee8baa4edefe012238aa60ff29e538</t>
  </si>
  <si>
    <t>0937f6ea4afe</t>
  </si>
  <si>
    <t>641fc2550a6c231deb296529852e1aec8d4f79b408c35721b797d9bbdf940f39</t>
  </si>
  <si>
    <t>ff09f1150ab6</t>
  </si>
  <si>
    <t>03407cc2a015cfae994b5a79cd8d06eb060e55ab5ee2a05fa0d7d5aff640e0b0</t>
  </si>
  <si>
    <t>60fe4751c493</t>
  </si>
  <si>
    <t>400cb349b78bcf359db2b4e323d53d2544949c0c489a179d1591b0f026175151</t>
  </si>
  <si>
    <t>e67d5e430cc6</t>
  </si>
  <si>
    <t>7b3c6e272b3cdb7c651cd0afef42e8eb44665577518190b550cb67fdb7690d22</t>
  </si>
  <si>
    <t>146aaa09edaf</t>
  </si>
  <si>
    <t>de8434c74d2a53010ef70fd301f926d053bb5ad16ea9eaaa36f5db358161067d</t>
  </si>
  <si>
    <t>c9835f4dc43d</t>
  </si>
  <si>
    <t>f9f744aa96e14770d9ecaaa651ee6dd7554238958278f9b66338ec3f099bb8cb</t>
  </si>
  <si>
    <t>3efe5466b497</t>
  </si>
  <si>
    <t>623e3615ac6456e943f1368782588763bdd56e8d80dcfb224699d228ba7103f7</t>
  </si>
  <si>
    <t>5dda9d389057</t>
  </si>
  <si>
    <t>3a4050c5416e718dd89358a9e852002efc759f425464d03ae4aef5acd0ae66e3</t>
  </si>
  <si>
    <t>f131cb83caca</t>
  </si>
  <si>
    <t>705724dc07cece2ab97ee01a1495ebf359d5b7814ddc622ffa05ad2423087fe6</t>
  </si>
  <si>
    <t>51bc114fbe9f</t>
  </si>
  <si>
    <t>1f8f67cad027599cfaa4be87bd27522f0692cc8cab95322db04585234ab563c0</t>
  </si>
  <si>
    <t>1d83a9193825</t>
  </si>
  <si>
    <t>fc9e588f86e7733c5d60bdf31aef8189a9fdcb815b85d556830be96bc92192cd</t>
  </si>
  <si>
    <t>fa804c691a4c</t>
  </si>
  <si>
    <t>fbaff48697fa3a04917ed3f8a894a525187e99040d05e3c0737d6c75752ed746</t>
  </si>
  <si>
    <t>b53a30198fba</t>
  </si>
  <si>
    <t>0726272a595706a9ae3f5a2845872f24e61f5f08bf457aae0912e8e03a049851</t>
  </si>
  <si>
    <t>707850426cfb</t>
  </si>
  <si>
    <t>46e8ab67d68ab1839e479d3f94b2aa4de9894638b674e838d2b3ccc71709d878</t>
  </si>
  <si>
    <t>8b0fc8b461ce</t>
  </si>
  <si>
    <t>ea03d96050b3d84fbd167697912c3e6c5e6e967a701a3adde715b1df0fc80cb9</t>
  </si>
  <si>
    <t>1b51382b0532</t>
  </si>
  <si>
    <t>b9c3a1b5b56ca89f26a3d7b88284c8a9db58c084b1a35495e4f36f44a39c1224</t>
  </si>
  <si>
    <t>543219e8f3d0</t>
  </si>
  <si>
    <t>4e8db6d204e9513a95d10c51dee94b44c57a01856a0f61aa3a5ffb1d7ace24b4</t>
  </si>
  <si>
    <t>1cef2dbb224f</t>
  </si>
  <si>
    <t>ca2a9f034b87974f248d6dd1d04a8b13022cbb3240ca9fd6f250ffb668f633cb</t>
  </si>
  <si>
    <t>6011eac6d243</t>
  </si>
  <si>
    <t>ad39ba1f4389946a0b461ddaa539e184f1c4ece04a7e1580f8f49912da121a09</t>
  </si>
  <si>
    <t>639ce5ba117c</t>
  </si>
  <si>
    <t>c24cfd239a6bb3a8ab18c51725b466fea4be6cafb7421044104efd12f0cc8fbf</t>
  </si>
  <si>
    <t>4a0e76fd3c13</t>
  </si>
  <si>
    <t>4543410456ffdba876e4a62f24d71b573adb0cf18b6f071098928e6f4a10b6e1</t>
  </si>
  <si>
    <t>715f725fa70c</t>
  </si>
  <si>
    <t>b2259a4df495ad82bc2e3730bcb544ef10543a9b6cb54a429f73efe50c529c65</t>
  </si>
  <si>
    <t>9c511d2c8a9f</t>
  </si>
  <si>
    <t>9cc2d0f817c50dddd768d334f2987260e1cd712ee738b7b32c710ed2b4ced60f</t>
  </si>
  <si>
    <t>118e6cb22a6c</t>
  </si>
  <si>
    <t>feee90db799cb3bfba4c461ded660947ec0d5f31b1aee74e7022055e33dbeb23</t>
  </si>
  <si>
    <t>22e28af5a283</t>
  </si>
  <si>
    <t>fc7f96618fea58313d36f3e6b195bd4da2ff576dd75d9a8efa07f93a23b4b6e3</t>
  </si>
  <si>
    <t>90f49fafa9d7</t>
  </si>
  <si>
    <t>52c60c4cb0c36090d5e7b8a58c7bdde8dc166245e45e87823204dd64f9da7bdd</t>
  </si>
  <si>
    <t>a1c492197138</t>
  </si>
  <si>
    <t>66fed7173db8ea2245d81c901b037b0a317036fad2eb527fd098f448af02044a</t>
  </si>
  <si>
    <t>2723448b6b91</t>
  </si>
  <si>
    <t>87db3d7d0b456edea0f143fb732b3d15296f2257d06b84eac64a4025c00c4521</t>
  </si>
  <si>
    <t>6a7723b56920</t>
  </si>
  <si>
    <t>2b3bb9bf5863221b37324cce18a0c942205aeba32a1c3b376ba45ccc340269d7</t>
  </si>
  <si>
    <t>3e0259276d00</t>
  </si>
  <si>
    <t>72ce9e95ab4a150a69aea9375a33b1cff44b64a4d748d8d94b92d78730a64807</t>
  </si>
  <si>
    <t>52c06302856d</t>
  </si>
  <si>
    <t>3307f4562203b2acd35cb976866ae849178ebffa51e47ea2be826bca14191d98</t>
  </si>
  <si>
    <t>87d34fce09c7</t>
  </si>
  <si>
    <t>dfcbbe0163337832e98dc00c255e1107dd3396bb17029cf0d147a1817672c44b</t>
  </si>
  <si>
    <t>c6f56e7724ef</t>
  </si>
  <si>
    <t>20b2ef68c0c1b846db3f067488474d7a6d6f1d769536b2a05ec68275391a7756</t>
  </si>
  <si>
    <t>bbe0e643c6b8</t>
  </si>
  <si>
    <t>e47322d393e863b4e15bfdecb4fb0389373554a2dc59f0d2c4bb4fb3a37218b3</t>
  </si>
  <si>
    <t>9d3ab6213ee0</t>
  </si>
  <si>
    <t>954c77e7042f6249f48000f5b1e7761752fb79e23e7d98b3e1000188b5d3b8f2</t>
  </si>
  <si>
    <t>0b96ce8bd812</t>
  </si>
  <si>
    <t>c480c7cea08387b915701b529e2165e96e35f62494145b9528af5d3583d7302e</t>
  </si>
  <si>
    <t>96cc9b821a2a</t>
  </si>
  <si>
    <t>54af99fb4e93e55dc82dd481159ab7f29566a82de3a0fa0bc3e9d25e95867dac</t>
  </si>
  <si>
    <t>1e832bea5dd9</t>
  </si>
  <si>
    <t>01f316bc293b8786e04a636f268279ef59d02a7f9c05406c3fec7cb14743dc20</t>
  </si>
  <si>
    <t>3488f7e48542</t>
  </si>
  <si>
    <t>a37f825abc4ad384cc38dad0e12be7edfee39bddf94f1aa79b1dd500882e1b8b</t>
  </si>
  <si>
    <t>6c78148eef3f</t>
  </si>
  <si>
    <t>933fe53d9bd276568dca2f418952892e7fa18e9c04de19d1c4e448e76b6897bd</t>
  </si>
  <si>
    <t>281d5361fc59</t>
  </si>
  <si>
    <t>2d7e35231ba9d27e348f8c0305f782bf9a7ea24b72d70177c764d8effe8a3b11</t>
  </si>
  <si>
    <t>0879c006c8e7</t>
  </si>
  <si>
    <t>a3c3ae1cda9c0407027386c59ff2de565552c6d6f68587bb2ed7b5150a01295c</t>
  </si>
  <si>
    <t>b99de473b062</t>
  </si>
  <si>
    <t>1919c6f8c84a3149bde2aa4d88d3f5621e6cf5005bca3cf97505d1f2de5aaaa6</t>
  </si>
  <si>
    <t>386ace51b93d</t>
  </si>
  <si>
    <t>40ef44c2c73904225eded074ed2d53d7b8cc1631b6ce889b8cf6d233fc442f39</t>
  </si>
  <si>
    <t>0a989b2e28ed</t>
  </si>
  <si>
    <t>1ab2ff8d8bfe36f9c97835293504dceea93c6e0ac325af6351316543854e43e7</t>
  </si>
  <si>
    <t>7068fccf3a6d</t>
  </si>
  <si>
    <t>7845047106e4da594f1b3c0d05665aeb77b5820781778287b3d4a1e736b633d6</t>
  </si>
  <si>
    <t>a47ebab8eda0</t>
  </si>
  <si>
    <t>8ae6a8482a97d208dc970253c06c9bf951d0d60941e36e2eff93b7732edf81a6</t>
  </si>
  <si>
    <t>a8937dc162d0</t>
  </si>
  <si>
    <t>b8dd920e412863f053bfff90923509d6be62cbc681d1a90e2cb8cba219c8d714</t>
  </si>
  <si>
    <t>131c3e461a52</t>
  </si>
  <si>
    <t>87342f58686236cefd6fd5c5f6516ea50c8e51024a93cc1b68626bb61806ecda</t>
  </si>
  <si>
    <t>9cb47c5cc64f</t>
  </si>
  <si>
    <t>34eaea3a107ff6bf9f5032c158281b640885054539b8ecaa4610df94802256e5</t>
  </si>
  <si>
    <t>f09d33dece0c</t>
  </si>
  <si>
    <t>b71ea0aa152cfea3734fd0e44c7ff3df11ca0c3165fc6f9561ccd262eb52156d</t>
  </si>
  <si>
    <t>c44f1d4299b8</t>
  </si>
  <si>
    <t>c2bbb19b92748d90387f6cdfdc7ad2c51d78a3e4cd6e4bcb5001bf13aa93ada3</t>
  </si>
  <si>
    <t>f9896d1c4e16</t>
  </si>
  <si>
    <t>cad2e126eb2079c79b0fc916add24f345fc49c8c903f2b732f32aeb9b90f104d</t>
  </si>
  <si>
    <t>8ea0b3b6b02d</t>
  </si>
  <si>
    <t>9c575a6bedb8b986d439a7487df01d4120125422a96e5c22ec72500ada466b52</t>
  </si>
  <si>
    <t>f7b123b5facd</t>
  </si>
  <si>
    <t>20deaf51298810cbbc54bee87bca957011b6fbc60c1aa54b7093ff91649dd3ce</t>
  </si>
  <si>
    <t>bc1fafd1965f</t>
  </si>
  <si>
    <t>4a325b0079a2b8c1832672c1ce93be1f7f02953e9c0a86eb9bb6eb12964ade84</t>
  </si>
  <si>
    <t>af47dc2cd762</t>
  </si>
  <si>
    <t>5c4d112834bea559aa0ba086168c04b248cae55aec585d390b797c01d67c6a34</t>
  </si>
  <si>
    <t>f9eb169bf8c8</t>
  </si>
  <si>
    <t>628d649bdf530a129651b2839f712ad87ae93a5b983022d7194ae0157158ad7c</t>
  </si>
  <si>
    <t>a5658b0bbf52</t>
  </si>
  <si>
    <t>fcb115a2a55d7b7acbb756bb29caeb53dbb1fbf36d320bc60e39ac7baa5b5d3b</t>
  </si>
  <si>
    <t>8e1ac2a450fd</t>
  </si>
  <si>
    <t>85ad8db09a868168caf85d92a2fed00944dd3d5fec5a7ac7fcfc51a61d8170a7</t>
  </si>
  <si>
    <t>4c4e420876a3</t>
  </si>
  <si>
    <t>998165c8cc138954d4ce7c4ffe7a90e3db29c92cf293622f08569eb256a0b113</t>
  </si>
  <si>
    <t>f0ad3b201335</t>
  </si>
  <si>
    <t>ab84b6099237a7ae4f710add2cf1add329dc77097752976f5e6ab9857db960c5</t>
  </si>
  <si>
    <t>b0886cf2ec9d</t>
  </si>
  <si>
    <t>49ce0981030307c772fe49c9d4cdcc620e800d1e7f49795646111983dc9b4d70</t>
  </si>
  <si>
    <t>de5c021f0aa4</t>
  </si>
  <si>
    <t>14ae6a720887e7be37b97f96ff4814ea8abd7a17c42cebdc3b70c4945bda038a</t>
  </si>
  <si>
    <t>7bbad530c5ab</t>
  </si>
  <si>
    <t>b1009eed6a62bf10f485f1a29a86a2322f5882138f78d1d41395a14d8dbc508c</t>
  </si>
  <si>
    <t>79de164d7dc0</t>
  </si>
  <si>
    <t>270a0fb0eb55c367fac490a821c4113d42454ae5d92a08095ffd94f875eef9e3</t>
  </si>
  <si>
    <t>1a587a86146c</t>
  </si>
  <si>
    <t>1005ef5912d0b9e45c1671a79e5db23694aca5486dd08bfe19f0b6646ebf4b61</t>
  </si>
  <si>
    <t>2b6db9ce66a8</t>
  </si>
  <si>
    <t>2f83e94b1ee402d0d24d8e12d313ba9f8072339b9050e3380f57fbdf2d31b2ba</t>
  </si>
  <si>
    <t>543989b15b52</t>
  </si>
  <si>
    <t>b715c021e2b804595f21dcf8a0c7522111b8029c3741cbe1be7aec676cbf3d6f</t>
  </si>
  <si>
    <t>15d9cff84534</t>
  </si>
  <si>
    <t>b1401a040781242a34dd442b95bd7fc7d46917aaf38cf1ac309b5f30ff7f202f</t>
  </si>
  <si>
    <t>d4814d3cb3f2</t>
  </si>
  <si>
    <t>5512654e413aa9041d8588fd955e0de0566d0725485178cd9cc3cb07bd303058</t>
  </si>
  <si>
    <t>59967f937301</t>
  </si>
  <si>
    <t>887f93de657849b243458a873976d7dd1ffe29bbb8f44f7014a0e5bec741d0c2</t>
  </si>
  <si>
    <t>bc30b8a1d45c</t>
  </si>
  <si>
    <t>bfaa5130178bc126ef7f53f13449a592af0d9aa633947aa07e41d567d866dbed</t>
  </si>
  <si>
    <t>f05f14cb3c06</t>
  </si>
  <si>
    <t>f3273a6abce13f7da9eba70318b59df9f00309562eaadc4fc90aa7cfe7e10b2b</t>
  </si>
  <si>
    <t>202a6a993a6b</t>
  </si>
  <si>
    <t>3483894b83d82d111701adc5b8611052cc0704948afb04a8a65959a802132e0b</t>
  </si>
  <si>
    <t>ccd84542317c</t>
  </si>
  <si>
    <t>a29c4269efff1e016d088ed1aaf2abfb371c28e42a23be496faac6087225ac23</t>
  </si>
  <si>
    <t>74ca1e770ebc</t>
  </si>
  <si>
    <t>e263dd5c75085072fc59e635790b35c3906655ca98b546b5db8b80459ae4c1ba</t>
  </si>
  <si>
    <t>13d5b2bcbb96</t>
  </si>
  <si>
    <t>4565c7171fafbcd0ab480210346cb0aa6789a63f1e44dfd69951bb68bf35d4eb</t>
  </si>
  <si>
    <t>b8fcf175611e</t>
  </si>
  <si>
    <t>0ff0b51de95565c58a4e6f6ca615397dfc2b659c8eeecc866e673118ed3701f6</t>
  </si>
  <si>
    <t>881305dee602</t>
  </si>
  <si>
    <t>544d17bd5287aa1770b0f0028a48bdf7ae09c59ef8add1aaeb5cf55159351a35</t>
  </si>
  <si>
    <t>f8dcd24ad000</t>
  </si>
  <si>
    <t>2a5d2334f7646b3e84e72e167e0522e8d9077e4f88a7b686a37fd16b19a9f61c</t>
  </si>
  <si>
    <t>80c18afce5ee</t>
  </si>
  <si>
    <t>c9fb6849a7143f7cca354481fb3f8871484d569d6444999afa8a15d3d1872a15</t>
  </si>
  <si>
    <t>c77b0dc8297c</t>
  </si>
  <si>
    <t>3469601698982fe277846e862c57560580109f07aafe671a8d3fae5a9640f2f3</t>
  </si>
  <si>
    <t>b47c88171b1a</t>
  </si>
  <si>
    <t>af90e2905514b68ab87464bc04573a08b4dea6f6b37141145e93afa93ad72d4b</t>
  </si>
  <si>
    <t>934c58b1c67a</t>
  </si>
  <si>
    <t>6ad9bc19ec20981d23c11d5ea7b0fd159e02ad1a90ddd0ffceb53a278cd3e982</t>
  </si>
  <si>
    <t>a5e5b78629c3</t>
  </si>
  <si>
    <t>e4bc72962bd456890c4e303e36d127eadff631d6f139b936875bae25f2691537</t>
  </si>
  <si>
    <t>4aac34e74ff4</t>
  </si>
  <si>
    <t>e3650ca465fec5d6dc09aa8b53e69efe75e492343ad71b62ae3535f4ebdeccbe</t>
  </si>
  <si>
    <t>5db092171a8e</t>
  </si>
  <si>
    <t>d4f4643358e9f909be0a9f17d4e8a13c047f70026b23c1dfe448d15d96c677d3</t>
  </si>
  <si>
    <t>0656fe2f4e5d</t>
  </si>
  <si>
    <t>cfbb756209552f3dee3a5d7eadc40a3e7ee65f84c8185f4c123a86dacf386d5e</t>
  </si>
  <si>
    <t>1a818302d531</t>
  </si>
  <si>
    <t>55c62d83602a4c7e436e955646c59b067ef7198718611da114b7049c39c92228</t>
  </si>
  <si>
    <t>bd1a3cad0586</t>
  </si>
  <si>
    <t>16775bfb403e436e6e63bf9e94286fe1d93008aa80ff46411c1b3f19b3702ce0</t>
  </si>
  <si>
    <t>4c6c7246d6a5</t>
  </si>
  <si>
    <t>4fd948d8cc12335c8f6db49b6b925f935e3fd592b1c4616e79b8a5564a360544</t>
  </si>
  <si>
    <t>27a6aa2b59fc</t>
  </si>
  <si>
    <t>75b6bb0c4a505fdb2a3f3d36ccbc7e104c2e8d4178aca6a523de2311dd64136e</t>
  </si>
  <si>
    <t>2f8accca713e</t>
  </si>
  <si>
    <t>8ac95d9781631e77e1520e3d017ca2dffe7aa46354f5a33a8c36fc9d3f78ae55</t>
  </si>
  <si>
    <t>89aa2f9efef1</t>
  </si>
  <si>
    <t>4af3dc95564ebfa8a914cca84c6259846633db32b8e21ab5fcb914643016d76a</t>
  </si>
  <si>
    <t>66f5d8db37d0</t>
  </si>
  <si>
    <t>04890fa63db0bbf0feeffd02628739d8c4cb5ed246cb07a504561254e6910ef9</t>
  </si>
  <si>
    <t>bfcffde7de47</t>
  </si>
  <si>
    <t>fb6830f7c491a705f4f76b76af47861454257cbe3561297cb7563a19945af861</t>
  </si>
  <si>
    <t>28796b09bfe1</t>
  </si>
  <si>
    <t>2cf4575ebbd4087ff5a586204a9934b2163b82c0d8274eb5e2c5a6b0aea3778c</t>
  </si>
  <si>
    <t>ec9270339700</t>
  </si>
  <si>
    <t>ac8a762b5bec89141dcfbe74445915e403d3659a5678b5b03fee6a86571368e1</t>
  </si>
  <si>
    <t>4bada4a9c9b7</t>
  </si>
  <si>
    <t>9be94d7a95d02d624734c660080aa69d03d34e579c7e0668eb73a844a989f5d7</t>
  </si>
  <si>
    <t>df1ed69cd5c7</t>
  </si>
  <si>
    <t>0f6c7f8ed34ec6361aa3b52510f1c3f6a751aa6e8e52db665549ba7fca38c72c</t>
  </si>
  <si>
    <t>3e2e74152bea</t>
  </si>
  <si>
    <t>b3e913da89658c8f6704c755a40cf7489688545ccdb30c9770be5b9008975d35</t>
  </si>
  <si>
    <t>e68bc70abc51</t>
  </si>
  <si>
    <t>fe9a31f16a3c8259ef13d85c7a85e1ff7c2c3bf9a5d56ecb00cb2087215ac5c4</t>
  </si>
  <si>
    <t>c950b85690d4</t>
  </si>
  <si>
    <t>8082f7477c501df55e891642338d0dfb6588cc887722817ed43e97e7e1daa3a2</t>
  </si>
  <si>
    <t>35c110563d8d</t>
  </si>
  <si>
    <t>98422fc85eb4d6674a8c99f39ca7e87baf99edeca82d7a3a848001f50e0d421f</t>
  </si>
  <si>
    <t>461e82d01588</t>
  </si>
  <si>
    <t>eb3b961360a11789e5864f7bd330dfc702f930250236302c9bcb2b4b1a70a5ab</t>
  </si>
  <si>
    <t>6c68b088e957</t>
  </si>
  <si>
    <t>959fe8bfac86df11a5441990120a089ce99a6cc241e355c33c8cfaeb680b30e6</t>
  </si>
  <si>
    <t>ca18b0e88894</t>
  </si>
  <si>
    <t>04502484febf85165b0b4bbc7d82284743d1b58426ada9bd94cdc9da338282ca</t>
  </si>
  <si>
    <t>f73b93c64c15</t>
  </si>
  <si>
    <t>c586e1ae90e7ee65d42a78f9059e0ab295691a50476a37dd87a35c9a6b206747</t>
  </si>
  <si>
    <t>665fd092abd3</t>
  </si>
  <si>
    <t>ec132383dd04f2aaca2e18e2466f8de8c46e5ea68773830a4b7c3ce596a35d91</t>
  </si>
  <si>
    <t>c15861d7392c</t>
  </si>
  <si>
    <t>b23920318f32fcae23906e70822f59a3935440d465ddb3a87c1b9a7f718634e3</t>
  </si>
  <si>
    <t>9d2abb390470</t>
  </si>
  <si>
    <t>d0c279f51646a73ab37dabc3642d7674ce87469c09a23b49d3511972760decf7</t>
  </si>
  <si>
    <t>92a534a2dd98</t>
  </si>
  <si>
    <t>c2ac72e253f30574d4759564ab893d401f1ecfc83a5d6236b035edb87745d23f</t>
  </si>
  <si>
    <t>06ced97a1306</t>
  </si>
  <si>
    <t>dd3ef0fd3c162107d6521cf9483635407bd3f83500b652424c6df0e33b0fd1bb</t>
  </si>
  <si>
    <t>2f5403a6a062</t>
  </si>
  <si>
    <t>f069a755accd8310ab69ba9f3dd1625274774db6024c4075d7981a1c6fc0a7e9</t>
  </si>
  <si>
    <t>63276d9861e6</t>
  </si>
  <si>
    <t>594e1b6fd67172dabdeaaf2e0ea4dad14359e82784f4034f0dabbd28e723cd9a</t>
  </si>
  <si>
    <t>a87d028f0999</t>
  </si>
  <si>
    <t>e5f6ea7b5c4c8e47333b1c02f4f0b928e17504fb14e02df3be6972b0aa283c62</t>
  </si>
  <si>
    <t>a68d3e3ec4f4</t>
  </si>
  <si>
    <t>c5826ddd7b09fd5271c3426138a581b7f84801f9d27529ccb0223084700d369a</t>
  </si>
  <si>
    <t>4a82861ed15a</t>
  </si>
  <si>
    <t>fca67a0492079680f420460240584e8b5f8c5453f60b6138b76d581b978ace93</t>
  </si>
  <si>
    <t>76108f4a8360</t>
  </si>
  <si>
    <t>cb213448f1cf978b14f014040a46153623269a9953f010102f544fbf1867c74d</t>
  </si>
  <si>
    <t>11accb1fa481</t>
  </si>
  <si>
    <t>6ba530fc7b5116ad6e27319c0f2e301bff65007048c12ce0bdd1cfdd0ed76c19</t>
  </si>
  <si>
    <t>5c714c8be4ad</t>
  </si>
  <si>
    <t>7abeed3a7ecded8c972438874cc141c85942a0e86f5a5b4ad2f55728895cf2e1</t>
  </si>
  <si>
    <t>e8ae281c884c</t>
  </si>
  <si>
    <t>7218be4c37a7d531fa4af629930ff1c3f52dfd50f999bbcea9c5f9058a5be262</t>
  </si>
  <si>
    <t>58ca7266b10f</t>
  </si>
  <si>
    <t>f89cb6c6cd90a6091e52b864e606f4edf794363615f3fdb4b4fcafadf8b77689</t>
  </si>
  <si>
    <t>110628b505c7</t>
  </si>
  <si>
    <t>447bdd408d0003863495577b71faeb17bf7085a7c82e5b973909d52d8e908a38</t>
  </si>
  <si>
    <t>35845b7d39d7</t>
  </si>
  <si>
    <t>839042d18142bec772dd6bb9e003ac3c6b1130168a8e3ffeb01f6628a10f869c</t>
  </si>
  <si>
    <t>3830d63d0461</t>
  </si>
  <si>
    <t>37eda81983f0bdc47f073e67036a0120c581462de20db90eb885ec913a32252d</t>
  </si>
  <si>
    <t>63026bf675e9</t>
  </si>
  <si>
    <t>b948d050ec377a8d69f92dcedb65d59372862050eb666a4241d5fea0bf5dd239</t>
  </si>
  <si>
    <t>78f9a063b07e</t>
  </si>
  <si>
    <t>39fe45d1c24a14d1d9a213b99d30d0c7095ce3925ab156245de4aa132012b1e6</t>
  </si>
  <si>
    <t>2888fe4180c1</t>
  </si>
  <si>
    <t>2b37db1b936c2d042018b27386f09e96399fb6197488ffc7f21536d99f6ae4dd</t>
  </si>
  <si>
    <t>4a18acaeb5d7</t>
  </si>
  <si>
    <t>178720b3a3ed8e8707d4f169d7aebde2d719166bc1c8f61ca6feb532e94e035c</t>
  </si>
  <si>
    <t>67405bd57d41</t>
  </si>
  <si>
    <t>9417b52f92cb101fe95e01b930d01c075610cd0c3bc1a92c22e2bc254faa5fc9</t>
  </si>
  <si>
    <t>46aca016b116</t>
  </si>
  <si>
    <t>8be2e74fddf798b741793f09a33134d9a01c7d86c1f3eae3fa6f3aa53ee95bf9</t>
  </si>
  <si>
    <t>1f4f51b5b854</t>
  </si>
  <si>
    <t>83e79143491600dba2bbb631bb414d4abfb43d46e177476e919fc0a8b55811f4</t>
  </si>
  <si>
    <t>a95904f27c4c</t>
  </si>
  <si>
    <t>658d1b25018336e5d6321dd1ec003bbef44a5c76b4513c054e3947a005198599</t>
  </si>
  <si>
    <t>62b5d9ae7e65</t>
  </si>
  <si>
    <t>bf49d461cf2648083a4b2ed82d138ac32ec7c9aa89006af8c1845560a377ebea</t>
  </si>
  <si>
    <t>b4e4043e1cd5</t>
  </si>
  <si>
    <t>b43edcf8c46d4deec9cdb5d8c0444b4b101af3a1f55dfb6f6564953e264c9698</t>
  </si>
  <si>
    <t>05a9ed5d57b0</t>
  </si>
  <si>
    <t>927040c63ec488a95ede035a457f06ee48f94a0bb48d04f4325cdb752818bb1a</t>
  </si>
  <si>
    <t>008d58a3e670</t>
  </si>
  <si>
    <t>1768323e30b3b754cab04ab494302ac6a5102951a81e1bffd1a8715cd32bb9b4</t>
  </si>
  <si>
    <t>0cadd88ff9e3</t>
  </si>
  <si>
    <t>64630d02fa1a3e4e583607676accf3d173ff4efde4cebbf15d52fe51c019e63c</t>
  </si>
  <si>
    <t>cb232db67190</t>
  </si>
  <si>
    <t>76f17196c66c28c4466efe8ae871e8609f36f3001834f34722112e375bf1952d</t>
  </si>
  <si>
    <t>2751ba437513</t>
  </si>
  <si>
    <t>1519cd15a4554f5ef6173ddf185dfaa11ad3083ce0b0d0d560e25dc5e82f31fc</t>
  </si>
  <si>
    <t>effbc2e0e717</t>
  </si>
  <si>
    <t>84e23d87b0fb8c0682885c73a22f101fd1757dc615eed309f261871a796f0cdd</t>
  </si>
  <si>
    <t>69c59915d75d</t>
  </si>
  <si>
    <t>3b543b437132e7300a278eba94d7e68a63359dcc71e105d14d4a0a26773c264e</t>
  </si>
  <si>
    <t>695c47e82fea</t>
  </si>
  <si>
    <t>60de2cc11b6c55003d7d005199c33ac203c591fe973785024e5d779766c84741</t>
  </si>
  <si>
    <t>fd2ec7bfb6c2</t>
  </si>
  <si>
    <t>1cb74b93bc9e61bca8c4e237d784c21db958c799826319617896036ab469e230</t>
  </si>
  <si>
    <t>267922e19850</t>
  </si>
  <si>
    <t>11cd6c39a9678b50da9117f42ff39c4538304d589223c6c7fa4506cc06c4faad</t>
  </si>
  <si>
    <t>2c9ab6ffd1d5</t>
  </si>
  <si>
    <t>53ea0151374048206c4ab457d8eb3f55ec872af64e616566435dabce28710c3e</t>
  </si>
  <si>
    <t>193d315e96d0</t>
  </si>
  <si>
    <t>f921f6e5a3cf4d424d61da53813aae9ed8c08b67b4a4ac3605dcd612d8ee6f42</t>
  </si>
  <si>
    <t>418f2ba63a6c</t>
  </si>
  <si>
    <t>19277e5bff784961733b8e700850db80e57b977aeeda6152d9a7307b97ca5f05</t>
  </si>
  <si>
    <t>7d8cc4c49503</t>
  </si>
  <si>
    <t>b082f0d7f755fa18d32a9987cb6b53e2a97540cc0a018c08afd1a2c36f73acc3</t>
  </si>
  <si>
    <t>90b8fc4cb14c</t>
  </si>
  <si>
    <t>f0cd021e0cdb8aa5d78a0ca1cc284badb31302bf45fece0efd721552e04ddfe0</t>
  </si>
  <si>
    <t>7575e0f51004</t>
  </si>
  <si>
    <t>e74ed799eb4226a13614be196c491b0631666178490f12fe070fe7a7f4733696</t>
  </si>
  <si>
    <t>b70125504726</t>
  </si>
  <si>
    <t>f43b6037f876c3535b030bba8bbc3fdf98e6c2cf4a8efd89b2138a6c1e23061b</t>
  </si>
  <si>
    <t>9f79027d8572</t>
  </si>
  <si>
    <t>9e9b7abde723787d0b45554b62f3971b78b3044a1b9ee9a16389380d46211fe3</t>
  </si>
  <si>
    <t>38f1dc4520b3</t>
  </si>
  <si>
    <t>03fa358ddab1dc6ab029c81949629c64f09e19f5eb7b59dff728c698fad6cc50</t>
  </si>
  <si>
    <t>e586f792e70f</t>
  </si>
  <si>
    <t>d0cca86b04225c6f72b4e82dddfffbac64f9cc4ad927a007ed4457267c199150</t>
  </si>
  <si>
    <t>c68cda4974b4</t>
  </si>
  <si>
    <t>545b75ce621d8c45773a2f4a151e9ec33b6cadfbc73a22f6c367a5fb3b411539</t>
  </si>
  <si>
    <t>20dc7c65281c</t>
  </si>
  <si>
    <t>2b8a604e4c8671636c42863d2ee0aa3807e0cdc0c9916e84cc3b48bb7ea497b8</t>
  </si>
  <si>
    <t>55966c546ca1</t>
  </si>
  <si>
    <t>dc8c83cb78a3104696c67ceeac5e58d5092ca56d83583a9b10d1a52d4276d8e9</t>
  </si>
  <si>
    <t>ad879726fe74</t>
  </si>
  <si>
    <t>6003668b171513e1938635d1891e463de507d67c486249e1823892b10f96f4d4</t>
  </si>
  <si>
    <t>576943fabd68</t>
  </si>
  <si>
    <t>de5bd1f0fddd0ec6c031552a4f1ec05ac2e19f1bafde56ffa466fffa0eadfc03</t>
  </si>
  <si>
    <t>bf248baca8c7</t>
  </si>
  <si>
    <t>6bb5c6808c7ce1aca16901c5944e2365e760eeba36434c89d22b28006ec30260</t>
  </si>
  <si>
    <t>88399b76e933</t>
  </si>
  <si>
    <t>3261232ca15c81c5ca87f3703b4dc394c61865494869b0dd8140579bb04572f0</t>
  </si>
  <si>
    <t>c2a37269964c</t>
  </si>
  <si>
    <t>d8ffd5aef4d968496011daf495f0543359baaaca610eae9f74435a396eecaaf2</t>
  </si>
  <si>
    <t>1b611b20b30f</t>
  </si>
  <si>
    <t>6975e0e904d280a0f38660ffb7d744f55f1729d6e2ea057634eb5a7caaace0d6</t>
  </si>
  <si>
    <t>4855877a2a24</t>
  </si>
  <si>
    <t>61461c1bd8984408ce7693b0aa122233ac071c3607d14c67ee2925cba1c48419</t>
  </si>
  <si>
    <t>96dd75522e9f</t>
  </si>
  <si>
    <t>419469292e6186eaec21c5f91f045a4b5b07e04c352c7a904c073c0d4c6530e2</t>
  </si>
  <si>
    <t>ebd80e8c3f0c</t>
  </si>
  <si>
    <t>8f90c3d4137e657301d8ecd37582191fa40db6d07cd44315268b8111d7896a92</t>
  </si>
  <si>
    <t>7c71856622d5</t>
  </si>
  <si>
    <t>e8b2b9498c64fcbd347450563e46686075e94908195ccf16dd33b878c6efee5b</t>
  </si>
  <si>
    <t>e218ee00d920</t>
  </si>
  <si>
    <t>b3f14116ae98342f18f4a38d5e5be01070c823404ac0312de7b8aea6501f977d</t>
  </si>
  <si>
    <t>d8e105628439</t>
  </si>
  <si>
    <t>bf95da59557c04ffa3f92246bef5b4d454c9c3b418e306e245906411e4e718f7</t>
  </si>
  <si>
    <t>e46728dec864</t>
  </si>
  <si>
    <t>4aeb9169951602355ef06e6ee8c3ab421c681ffe650548a1fc5eb7542f7dd77f</t>
  </si>
  <si>
    <t>b0e9f202a19a</t>
  </si>
  <si>
    <t>72172713772f05dabeb02df577bfb350ceecaf0056f265f6d7e01daa5cf59405</t>
  </si>
  <si>
    <t>ca8894dd4b0c</t>
  </si>
  <si>
    <t>89fd5acec23dd9f82baf453935c6d6822016ec3299de2d75b1b6e7d0fec47c03</t>
  </si>
  <si>
    <t>a79cf2ec23d9</t>
  </si>
  <si>
    <t>6ad79dbf1e7df7418abe01ca2fd9981c81c2b3ebca4ceb972008a0bebb99fca0</t>
  </si>
  <si>
    <t>fe281e6956f2</t>
  </si>
  <si>
    <t>509f51c46002136222f02af1b63bbd8453366e657e6e0074eb4a15cc502404ae</t>
  </si>
  <si>
    <t>dfb304b246ab</t>
  </si>
  <si>
    <t>832be42852c44f8deb28996a9f05b9817e411353921fd69a97c58aeca13b6ef7</t>
  </si>
  <si>
    <t>9b4abbcf1186</t>
  </si>
  <si>
    <t>85bcf8de1b983e7c75073a8229db6d936359a9c6c46682d7499dc4015161e627</t>
  </si>
  <si>
    <t>31511d8377e0</t>
  </si>
  <si>
    <t>cda44df07ae30279067380b5fe6f2f6f55dde9ef9647ad5d0572baf1943818be</t>
  </si>
  <si>
    <t>e792023e01be</t>
  </si>
  <si>
    <t>f272a525703b00823198e6fce5b24ba2c053de80418b93bcecd40478560f7034</t>
  </si>
  <si>
    <t>1f7425931c75</t>
  </si>
  <si>
    <t>e41a3eb55807285e90888ae5b1b2287d3262acb9a35d5b11909a4c346bc4319a</t>
  </si>
  <si>
    <t>636be6eb05a1</t>
  </si>
  <si>
    <t>a8a0e0dd15918f6c4e4c3b89596f83ded648c8748af0376560da7a03dd13a838</t>
  </si>
  <si>
    <t>422fde4dc231</t>
  </si>
  <si>
    <t>e07ebff09186e44bb23bddf3d079eac79ab540bfb568dfb45b0ddc21cf7651e8</t>
  </si>
  <si>
    <t>6516d8fcbe4e</t>
  </si>
  <si>
    <t>e57c51b0e5d2f692a72d3fe4a14b4e9f1d7d407c5f39a9c25ab4d976fbc0f0fb</t>
  </si>
  <si>
    <t>0040f4392bde</t>
  </si>
  <si>
    <t>2b1d82226f2816a92091f80e376267f5ff91f51b6ddf8b3152cef2ee953e74e8</t>
  </si>
  <si>
    <t>28af0613e469</t>
  </si>
  <si>
    <t>cb4bea1e97c9bedff23e329fc69ddeada19fe8b057d7ade755455ea9bb16870a</t>
  </si>
  <si>
    <t>bbcda32d4571</t>
  </si>
  <si>
    <t>c2e70de9fb7d95e610b11e371e480de7ad22b965de910b177bd1c8dc8ec285db</t>
  </si>
  <si>
    <t>04c73a433ddb</t>
  </si>
  <si>
    <t>ec3d459f44231d97480b68adeeb8371792f6b881bc593c956d8880491e0c130b</t>
  </si>
  <si>
    <t>844f3df2b3ec</t>
  </si>
  <si>
    <t>ab529f98cd22920b2b1744bdfbe190b77a3fe1de1600ce73e39ab1c6f1751909</t>
  </si>
  <si>
    <t>6f86146f148b</t>
  </si>
  <si>
    <t>5a4c1209e4ec385c7fcb95728f73af567651d51ee5b1e594cf945ad9decca7d4</t>
  </si>
  <si>
    <t>77bc2129b511</t>
  </si>
  <si>
    <t>32323e35cb019a779e6dc26bd8acf9a55d3a9498b75c4dae7106a4d681c43a0f</t>
  </si>
  <si>
    <t>782b2a65b11f</t>
  </si>
  <si>
    <t>66507aa0a6014922d5333fff7404861a8072684f93eb03226030930587e3881f</t>
  </si>
  <si>
    <t>7c5d16eb2ce0</t>
  </si>
  <si>
    <t>413705d4b7d4ef8fc76ce44200872127dc2e134a560ddf3fdc9b2953a66db327</t>
  </si>
  <si>
    <t>c91e9442ebd9</t>
  </si>
  <si>
    <t>de2a4a64251c33b787bd47f2e06204f8544cbf31aa0931270ef6377075230858</t>
  </si>
  <si>
    <t>87095bf2174e</t>
  </si>
  <si>
    <t>90cc2dd326f41ee6be269559bb4c77b7eadf65d35cf0542f0743a6861132aa83</t>
  </si>
  <si>
    <t>b90c57e18adc</t>
  </si>
  <si>
    <t>8944a21d99285ea7a2de2514af31a6e0c3c20ecd82b9ffa0646d781c85197b3a</t>
  </si>
  <si>
    <t>86a4f3b1b57e</t>
  </si>
  <si>
    <t>8bf74e7bcb09dd19d42d463d296c2514e7a577b3a37283183de6b8c452ccdd4f</t>
  </si>
  <si>
    <t>0dcd5e296a53</t>
  </si>
  <si>
    <t>bc82bb0c571abd06a781a695f9e025002328d274767ce1881118774681176aa6</t>
  </si>
  <si>
    <t>3a35ce992832</t>
  </si>
  <si>
    <t>f29bb1a5109a27cf4edc7331a29b28d64db339976f894a609bf2eef3dc167344</t>
  </si>
  <si>
    <t>84d6549dff6f</t>
  </si>
  <si>
    <t>0aead81960ee8045fc3687e7c1ad499817df2e03f7285e5ba931ff435120da12</t>
  </si>
  <si>
    <t>49ace15b39ca</t>
  </si>
  <si>
    <t>1d57bb8529ee63e48e99c277302c44098b9337a5a492e49316e4dbc028a5e1d3</t>
  </si>
  <si>
    <t>165166d8c946</t>
  </si>
  <si>
    <t>f8e7ffe5c8ef92129aaf6a742987dd63af0488fdd3b69d305075ea947ca2f1b1</t>
  </si>
  <si>
    <t>f52e7cc168e6</t>
  </si>
  <si>
    <t>6baccc005f7f04305ecf44a25ea3d1989a26da0ec3d8c9d261ff65d835ae8ee0</t>
  </si>
  <si>
    <t>3154e6c904bb</t>
  </si>
  <si>
    <t>4f82e6e9d459d00f2226811512b98893aebe74765f4dec42899a3b8041f50432</t>
  </si>
  <si>
    <t>b9772b29caec</t>
  </si>
  <si>
    <t>6de5aaedcc5eac2b5eba241518e9121fac794c70ae4e21c977968ed7b92649e6</t>
  </si>
  <si>
    <t>0822063684cb</t>
  </si>
  <si>
    <t>13f354a3f70e768c109589e1369f11650a301fb6ac6184a6501f75f4bc8a3131</t>
  </si>
  <si>
    <t>9e36609ab3ce</t>
  </si>
  <si>
    <t>3ebddd07c8fa2dae769b32450814bdc10cc65dae3c01e34f158a12489723607d</t>
  </si>
  <si>
    <t>3b735f43a8fa</t>
  </si>
  <si>
    <t>cc11ba055a878c0da85bb541493503a79feff8305d66b8382e707d5dced42892</t>
  </si>
  <si>
    <t>db2bda9e65f8</t>
  </si>
  <si>
    <t>58413b5aaee73683edde510d9c304ba3f84c568ed053a4677185059c33dd3696</t>
  </si>
  <si>
    <t>6b62b6a7afd6</t>
  </si>
  <si>
    <t>bad2830f27d00a6c50cf447c1b10e9ea68a8a4aa3c796c69c76612158f6e8b87</t>
  </si>
  <si>
    <t>635efd427c74</t>
  </si>
  <si>
    <t>ae0e05b3f847c409189e0aec925db2d649de875adc506cfde4b8ae44f90fb255</t>
  </si>
  <si>
    <t>3e599942d61e</t>
  </si>
  <si>
    <t>a7e6be3c6c847a5328baa0736f21bd15ef39875cb8076f368ed08979d16bb9d3</t>
  </si>
  <si>
    <t>44b75279e934</t>
  </si>
  <si>
    <t>07daaece4a34b318b4448786653dae6ef24b28ed8a42c7690360aedbc4262301</t>
  </si>
  <si>
    <t>1f802730cc39</t>
  </si>
  <si>
    <t>5c5243d9af0c700e09aa700461aa4ae0b3ab331ce5cc329d819a66ca56aee715</t>
  </si>
  <si>
    <t>bda76ee54965</t>
  </si>
  <si>
    <t>8caf9d8da0cafc62cc486db8d5db44e5f4556cf2f893a294dbd3a67eba2753ed</t>
  </si>
  <si>
    <t>d6b41acace1b</t>
  </si>
  <si>
    <t>e7f06d3e2a9bf231cda87eab8262f6d01baf9839b8c4b6fb407c76be085d889f</t>
  </si>
  <si>
    <t>9fb9d72d3097</t>
  </si>
  <si>
    <t>dbcce002fa8483dda33ba458f295a9529b14d112c0cfd22e018887e412564d58</t>
  </si>
  <si>
    <t>54670a310552</t>
  </si>
  <si>
    <t>58618f41394bcb89ff565f815d56045e96f310f3cf9e59dd323f4c4cc9bb829c</t>
  </si>
  <si>
    <t>9474782d92ed</t>
  </si>
  <si>
    <t>EnvironmentStation</t>
  </si>
  <si>
    <t>e62c2516ef6d827939152d98eca634fade9b984e943ce9ce819a5be9c423cc13</t>
  </si>
  <si>
    <t>ce50988c4a49</t>
  </si>
  <si>
    <t>3f2f190eea0efc3da05b4e2ec4ae6f7516c443e220560429cf2e9b0b0c5c35b3</t>
  </si>
  <si>
    <t>84870a108ca7</t>
  </si>
  <si>
    <t>35c653a54e61a765fd4bdf7e8cbaf740d6abf678f05d6f26beca0a0e29fc7dc4</t>
  </si>
  <si>
    <t>1d30d61a594f</t>
  </si>
  <si>
    <t>5115d6d48410d98cfe24b2cae0f90c384caa439299b0ba4bb5c44091faa66e9b</t>
  </si>
  <si>
    <t>6dc78943ac40</t>
  </si>
  <si>
    <t>1045204a6a7e16bd3669c93d34100ccafcd7694e5f4500ebe82b29bb9ecc726e</t>
  </si>
  <si>
    <t>1f2a8893c650</t>
  </si>
  <si>
    <t>4305c8db9ad3b2a4aa15f826dac2957a8ed592e55f13e7d2b05610399f5ac4c3</t>
  </si>
  <si>
    <t>025225bcdffe</t>
  </si>
  <si>
    <t>0f994cc7e067fb837dd7c8a6fc0a1296f3e61eccdd5257e4477730b3d317053f</t>
  </si>
  <si>
    <t>a72839e79e41</t>
  </si>
  <si>
    <t>aeb4819b90c51de69447b5e170e63dc37be5e35951d881762c82e2152892ab0b</t>
  </si>
  <si>
    <t>a61e455f39d1</t>
  </si>
  <si>
    <t>4418990406dd2d800f93c4083ce867e140b709d407e6295b6c102122e11cc0cb</t>
  </si>
  <si>
    <t>357711006d1d</t>
  </si>
  <si>
    <t>c736db4aa6474b1c2ddcc12d9337195e270b0d60d9d84b4c48b6124ceadd9654</t>
  </si>
  <si>
    <t>a1190c37190b</t>
  </si>
  <si>
    <t>2d934477eafbaa0ff9be2e15cd482ffa2ca6eb14475cc8f6b15636de0028bc54</t>
  </si>
  <si>
    <t>15ec4ab59e10</t>
  </si>
  <si>
    <t>aebdbdb0a231353290705977325863b82aec04d8e8b59b9ac8efebe514aa40da</t>
  </si>
  <si>
    <t>fa3c2f414977</t>
  </si>
  <si>
    <t>7206a85fb7f870e1468be4c804277d405aa740d5e95efa65ce650d220b7a0fa8</t>
  </si>
  <si>
    <t>84a854e00960</t>
  </si>
  <si>
    <t>a2a007fc9a167311ed96871d7bec55df6af366fed39d208b7a676bdddd7b4445</t>
  </si>
  <si>
    <t>858663063a61</t>
  </si>
  <si>
    <t>e5361845f5d592711dac1a80489d5da27c5227371ac927305a8c9a2f38ece4f1</t>
  </si>
  <si>
    <t>987ee5899134</t>
  </si>
  <si>
    <t>5a4b78334fa220d1b27351ccbcd8944740662f5e5a63b73515efe48c78edd745</t>
  </si>
  <si>
    <t>f5cfebda15e0</t>
  </si>
  <si>
    <t>1f35d379178196b2b768e58deb95de9402d9793c95f02ef2b780ffd41eb55d61</t>
  </si>
  <si>
    <t>0edc094ec1b6</t>
  </si>
  <si>
    <t>a6cbb7a5e5895fa7f0a0317997cbff38d680c8554c3978e924cdc20e533a3d4f</t>
  </si>
  <si>
    <t>6500c300cfe1</t>
  </si>
  <si>
    <t>aa7b0a9d79b7ad8491c4d3ec3f9f613941c7c0213aefdf8568d78a1193aab0d2</t>
  </si>
  <si>
    <t>5e52992987ae</t>
  </si>
  <si>
    <t>da707896c6f236ed48fdccac17a70767a5340c2e6529d05f6121c5a32ee67f4f</t>
  </si>
  <si>
    <t>59398c87a562</t>
  </si>
  <si>
    <t>259f04af185ed4e206b0eb914336222ab0c4fd65d98480ee96f6921f84d98985</t>
  </si>
  <si>
    <t>c579603b5bdd</t>
  </si>
  <si>
    <t>8a4acee184a215769f50274f4b16cfbf9ea1ce978572d61cc0a1381cb27cf60c</t>
  </si>
  <si>
    <t>8b05ebe7eb69</t>
  </si>
  <si>
    <t>763c43a5c7f35c272288ed92c795fe7ab37866b91e621d18d67daf7181656213</t>
  </si>
  <si>
    <t>c4b921776217</t>
  </si>
  <si>
    <t>11575bac4280982e38c39436724e27064553bf5cb185ab3a0f6804e36a5ccba7</t>
  </si>
  <si>
    <t>a8ef7677d214</t>
  </si>
  <si>
    <t>9a19f900f8324f8c7379f9ed35e4448b1ccb46e9d0ef127eaa13bd48e9707884</t>
  </si>
  <si>
    <t>d3a2dd4849d1</t>
  </si>
  <si>
    <t>d8efe9e84758b73ca886dd02803f1648d65f022e91cea157be581fd7b91f3c37</t>
  </si>
  <si>
    <t>bd0c7d156da7</t>
  </si>
  <si>
    <t>a46a5b710dceb695798cf35b14bd63b5928ee533901df8fe796d52142e22ee46</t>
  </si>
  <si>
    <t>809e53deb9ff</t>
  </si>
  <si>
    <t>b3508031a1324113e75f06f897874dfaa832b129e756bf9622e0da5cb0ac9d18</t>
  </si>
  <si>
    <t>7fcd5c953252</t>
  </si>
  <si>
    <t>6f41b6d4968eeada70298725fdf71be1905aede5c5100ff881ccbec4609aa07c</t>
  </si>
  <si>
    <t>2f74171df20c</t>
  </si>
  <si>
    <t>df17041bc07f870158dd7ec7aca6a2b68e88d90ae75ff68649a6e883d941d63d</t>
  </si>
  <si>
    <t>aadcea0d4f05</t>
  </si>
  <si>
    <t>de7a42b21acd3483c0a5ce91c75e9104a533ff3748f4d3f9ac9fffd10caf4207</t>
  </si>
  <si>
    <t>67fc731da5d3</t>
  </si>
  <si>
    <t>31a0c99d688e617ef9415db8da104789f0ea5afebf7e64063e52eaac3cf87a59</t>
  </si>
  <si>
    <t>cbe2500d0848</t>
  </si>
  <si>
    <t>d7b7409ade0a783cbfeb538ed7d6eedee398eb0e40db9f42f629aee32143efb6</t>
  </si>
  <si>
    <t>fe167c6c1608</t>
  </si>
  <si>
    <t>49887568b089812ab47cb3f6b78a308928498a367060414e798936612ec8cbfa</t>
  </si>
  <si>
    <t>ee09638ad722</t>
  </si>
  <si>
    <t>bf6a19658706c58576af7699f8051ec4c6f39a41be4128c81d89e0da1010992a</t>
  </si>
  <si>
    <t>a9f325f354ac</t>
  </si>
  <si>
    <t>1bc39645db650fcc0e94d31c1e312ea990ec299401aca6177ee83deaef73f397</t>
  </si>
  <si>
    <t>26ad71e35bd2</t>
  </si>
  <si>
    <t>a91c0efcd6ff423e0692dea06ef6416b02ee8db1eb0ebc73875e415deb54ac29</t>
  </si>
  <si>
    <t>512136ff72a8</t>
  </si>
  <si>
    <t>e08b2623b36285b169d00d4370f573a337644bba40cb7a3a2d58e72de0ab0de3</t>
  </si>
  <si>
    <t>597e171af6bb</t>
  </si>
  <si>
    <t>ea333041e9651d00be9a35ef3fafad8d7394b57abbd5d002c51d1018b2eb22f9</t>
  </si>
  <si>
    <t>23cbf001d564</t>
  </si>
  <si>
    <t>b08efcef28e88a5cc3e81cde6ec231543ef0f197464d3888ff6bdbd9686a2cae</t>
  </si>
  <si>
    <t>972028709010</t>
  </si>
  <si>
    <t>4079fe5a0ae497d07bc9a54f7156326570eca95a74414706db04e164a8336c6c</t>
  </si>
  <si>
    <t>3ab853b83372</t>
  </si>
  <si>
    <t>156ab61739777cc1fa3e4e841f46a887ddf8873959a966e2df9d1c4f0aea95b7</t>
  </si>
  <si>
    <t>16c963687b96</t>
  </si>
  <si>
    <t>985e0c06b134fd71a4c4ea5b4393fff633577f7190be0ffb65fba766ce28a11b</t>
  </si>
  <si>
    <t>dccff59529be</t>
  </si>
  <si>
    <t>22e986a95cc5fb0621f4615dc561d5401aa6904ba20d5f0432ac614320f2ad38</t>
  </si>
  <si>
    <t>8f7d7b2c4cdd</t>
  </si>
  <si>
    <t>13177281919eee56c7da6c4da665203d9110c76cb876acb969d00b177722513b</t>
  </si>
  <si>
    <t>f2d5fe9483a8</t>
  </si>
  <si>
    <t>4c8eff1a1ac4bf563e8f91e714f7f0658bc2cabd8b1f34627054ae82ceda11c1</t>
  </si>
  <si>
    <t>8e0602c459ab</t>
  </si>
  <si>
    <t>4e0d5ae8ace1b4e1d0c8d058a70767506f5783c67233182c18b6c0b275b2ec20</t>
  </si>
  <si>
    <t>4901cc5b6eb7</t>
  </si>
  <si>
    <t>5c116e6ffc4212d89b55d62d5c3d2ee68b38434342d7d8eea18a602a669033ee</t>
  </si>
  <si>
    <t>bd045cd095ce</t>
  </si>
  <si>
    <t>077b2d39e3dac4d8e45b196fb93a9209c7e7021182a912f866cf0a48bc998414</t>
  </si>
  <si>
    <t>2948a00c5224</t>
  </si>
  <si>
    <t>09644f1db9ec3d5d659e566d28c37f6021d19c497d8284656eb3bebc353553c5</t>
  </si>
  <si>
    <t>96ad3bcae739</t>
  </si>
  <si>
    <t>a6a1830f6ccc7206ccda9b314a1fd6f24a58a3aba42c148d81f0ce1c6a8a161f</t>
  </si>
  <si>
    <t>5c887e4bde39</t>
  </si>
  <si>
    <t>5ba0eb81f64093cd9ccce2158d2f357bb7bf023fde6e19e9ac7c1605dc162691</t>
  </si>
  <si>
    <t>65c854486814</t>
  </si>
  <si>
    <t>163b7dcc51b736d3ff63645faf7d5cb1b122ab12eceb03e8529a659c2d9ee156</t>
  </si>
  <si>
    <t>52097cb5d5ea</t>
  </si>
  <si>
    <t>ea8392ded0d364d75c00514af6b0b339cdaeed8362d9f9b764b2a559347f2e06</t>
  </si>
  <si>
    <t>e57d6d42fa52</t>
  </si>
  <si>
    <t>04eaa3c998a2a7346c51598811951323db191d9e38b641c6bca384ff661e7380</t>
  </si>
  <si>
    <t>a5fbc7b0ea01</t>
  </si>
  <si>
    <t>50d572abd2dc36ede12e10ea196d2cc190c03d6a0f169dd63ce92c5c5fa3bdc1</t>
  </si>
  <si>
    <t>e451b25187f4</t>
  </si>
  <si>
    <t>0f15dfa85d8b28819ba68984bbb83a251f44fe9b740dbf83f01b1201086db1ae</t>
  </si>
  <si>
    <t>cf0615fe138a</t>
  </si>
  <si>
    <t>be923aac5950eb6b86292586793f31e1bcd10366bf4bc8b74aeb6da1284c86d6</t>
  </si>
  <si>
    <t>3ad6a8624369</t>
  </si>
  <si>
    <t>c98e796db4f23f4fb99eb8edb54ab48b4241ea626ca96e3f3d71df39c264bdd7</t>
  </si>
  <si>
    <t>16ec7a26c3be</t>
  </si>
  <si>
    <t>f760b2ee0542d8bc76a8b92853f19439dc81f049ab075f8ec5565b010c09632e</t>
  </si>
  <si>
    <t>19d7b5c2526b</t>
  </si>
  <si>
    <t>8ae56671a12ae833c38626b8b71be1055aed996bc85d2c8bd190a2a3b97a209c</t>
  </si>
  <si>
    <t>3eee5f2c1bfa</t>
  </si>
  <si>
    <t>f168e76fce59e5584d7018b165bc5ab82920c55f33395a60cd8f5b0b2cc66d0f</t>
  </si>
  <si>
    <t>ad3d4b194866</t>
  </si>
  <si>
    <t>d22a73c075c0b11413245fa8dcd2c77b8370b582354c6225064ad48f9c624d55</t>
  </si>
  <si>
    <t>d4ba6aa187cf</t>
  </si>
  <si>
    <t>0e233712e946d46449daa4bf42bbbf388470fa81bfcdfee2a58d37a2e94b2db8</t>
  </si>
  <si>
    <t>457fceeeed7a</t>
  </si>
  <si>
    <t>37c1ab44d6b2bfdc154a444eb9a063ee3e0979b01f8e332c8a5aef9f27617f28</t>
  </si>
  <si>
    <t>5d0fd0c24580</t>
  </si>
  <si>
    <t>344883763f080a183204d88c05d668eba4c754f571a14622ab6a1a6fdf4e1c3d</t>
  </si>
  <si>
    <t>d60b3d588a39</t>
  </si>
  <si>
    <t>1db0d8d51977bd9501d0cca3c3a835927eee05e5d7c1b50289a39002ba5a9692</t>
  </si>
  <si>
    <t>9cf4ffebaf70</t>
  </si>
  <si>
    <t>1729c1e0034f5db4f196aacafb75ceb9329f43370fab65b41ff00a37c208234e</t>
  </si>
  <si>
    <t>ff9499eb7d92</t>
  </si>
  <si>
    <t>ac6962834b267dfa7c46a36f0661a3b9184d9f7d9fc7a4525dd776e83cec96eb</t>
  </si>
  <si>
    <t>2404db87efd2</t>
  </si>
  <si>
    <t>21211fb45e0087a2a23c3ff7d7e6357338536529fc9c7aafdfdbec6631586146</t>
  </si>
  <si>
    <t>a2936d6dd196</t>
  </si>
  <si>
    <t>aae347e3864ad77434d1797740451e4f8b81df850843e0363a5052b81ea88d65</t>
  </si>
  <si>
    <t>d7d8a8a8e24b</t>
  </si>
  <si>
    <t>33b3da122fb60a50813ac1ac2b6dc2fd8442a785fe0a4e7e7da4582d05e2afc4</t>
  </si>
  <si>
    <t>e05d4884caf0</t>
  </si>
  <si>
    <t>00cd4ad9346b33e03d8234d9a9494df6a50a5cf6bda33fa6858b6b7a19550491</t>
  </si>
  <si>
    <t>ef43b901fc5f</t>
  </si>
  <si>
    <t>e40ba1ef60317cb9ecbaed6109a55980acafd858d379d9414a0e86d55c780e74</t>
  </si>
  <si>
    <t>4e2f3c43982c</t>
  </si>
  <si>
    <t>07c2072e93f77eb2c759d2d1709f3096b1e7b5253778b65d786962a5bf9b0157</t>
  </si>
  <si>
    <t>4eac813fb6dc</t>
  </si>
  <si>
    <t>3c2275cc310d0cf49f0754ceecf4793f431f41b3cacad2f3a29f384c6563e700</t>
  </si>
  <si>
    <t>a7184a7537e7</t>
  </si>
  <si>
    <t>b2a9ececed2307d4a0b27c9cdf8a0b68131b2fcc1ecf5789ee4daeb62d102fa7</t>
  </si>
  <si>
    <t>2ef220ef74c4</t>
  </si>
  <si>
    <t>aad14d62d35e98fefda997b296da07336bb6d5ebc250348c1dccf1839247fc7f</t>
  </si>
  <si>
    <t>f46b097ae9bc</t>
  </si>
  <si>
    <t>4855b6f542308622aa58508b1d8fa6c5eee46ea4eac12594cc1540e8d0f70710</t>
  </si>
  <si>
    <t>33452832d63d</t>
  </si>
  <si>
    <t>c35ce3ced52fd1124dcf0afbf56246361fabb61077eeef3c6eb272563f2a0076</t>
  </si>
  <si>
    <t>8dee1c4ec8b1</t>
  </si>
  <si>
    <t>f160f26acab2dd9ca003f6b96923ca93d582b4abf6a8af3a86ad06c64ec481f9</t>
  </si>
  <si>
    <t>055f721240b5</t>
  </si>
  <si>
    <t>d64081f57dc24906760991cc5295f6c916329a8612bb9c402de5f5f506ef0887</t>
  </si>
  <si>
    <t>8264194d6047</t>
  </si>
  <si>
    <t>66b75be90c0565eb16bb00914c2cfe4599944f7495686ca01389de2a07daff7c</t>
  </si>
  <si>
    <t>c2db11903ee1</t>
  </si>
  <si>
    <t>b1d9e65240c4420891465c49add3a832a6983cb032d66ae57fa47ed5831f183b</t>
  </si>
  <si>
    <t>8de9ce243e4d</t>
  </si>
  <si>
    <t>aa398f18c5346cca52b75d4a5da1aecd40b3c3f1e59aa6975df04b9c5e174e0b</t>
  </si>
  <si>
    <t>92b4064599bd</t>
  </si>
  <si>
    <t>8cd830e09bce8a9e1a34cfaed31a22e58fe05b569df09412401d67f6ebaa8187</t>
  </si>
  <si>
    <t>8102a5391cf1</t>
  </si>
  <si>
    <t>b16dfb077b8d9585fda937be57697650f8b4468570f24617dca8cbaa82ad59cf</t>
  </si>
  <si>
    <t>64fa6372e9f6</t>
  </si>
  <si>
    <t>f10e3ea9385c9097ce8ac59247a7dbfef91dafe31a56a2a05cbc883f163d61d1</t>
  </si>
  <si>
    <t>0144e88540b6</t>
  </si>
  <si>
    <t>6977690a0fe0ca17fb4a75694199d72cfced85c0fa79f3b3b1dd1d5f03430575</t>
  </si>
  <si>
    <t>6746d92f17b7</t>
  </si>
  <si>
    <t>e7e4aa1b603fda61fee7ec765476d7089f8177e68cca7a8ae69f67c968f1b795</t>
  </si>
  <si>
    <t>2da28e11a7d3</t>
  </si>
  <si>
    <t>f90779f5cc9c5ae596b70fb877a05fdfd716ae078aebc7769e42ca80a55c7987</t>
  </si>
  <si>
    <t>3d4b8dd074e3</t>
  </si>
  <si>
    <t>741febee248e1207609114e54949291e6b4c4249979484d5ae63377ee65b9690</t>
  </si>
  <si>
    <t>71291144a42c</t>
  </si>
  <si>
    <t>6b97930fe6aec3c2b3289cbec9a8f19b96f721b13e264cdb2991760adf2d1bf7</t>
  </si>
  <si>
    <t>c7639128480c</t>
  </si>
  <si>
    <t>3d81a3e4915c1c33ae883fef239d4761866d2f0917bdc26e996ff579c620260e</t>
  </si>
  <si>
    <t>6ebb0af4165e</t>
  </si>
  <si>
    <t>563dc8cfb0965aa0c98d3773219bdd8729c9aa1f4206c9d0a959ecb3f504e167</t>
  </si>
  <si>
    <t>9276a265bdd0</t>
  </si>
  <si>
    <t>2a5d9483fe0c2e1b9f615cac738bd32095e070950e12727fde1809a1d8f856cd</t>
  </si>
  <si>
    <t>c33ab6672ada</t>
  </si>
  <si>
    <t>eb57b100be10541f46beaa0f1b169871013d2b6335918c874e7847ccb3574a0b</t>
  </si>
  <si>
    <t>e9f6724419c4</t>
  </si>
  <si>
    <t>da03e69366c777362d2b9477a6fdfdac8e887d49badfd339bacd2e970b79a8ae</t>
  </si>
  <si>
    <t>22049142efb4</t>
  </si>
  <si>
    <t>62083e8278b2bf07eea6a89130dadfa6c842c1236ff7c3ffe6eda0cb2c1cdd14</t>
  </si>
  <si>
    <t>1d119927003e</t>
  </si>
  <si>
    <t>95d4d5c7974eb4910ec7ea392238ee5758b78454bd5e17e15e757eb51b52a001</t>
  </si>
  <si>
    <t>f763904d618b</t>
  </si>
  <si>
    <t>68ba1520f89fedde98bf8722e9e1a8aff67148ea8f81003148e809c98b0930c5</t>
  </si>
  <si>
    <t>76c32082ef3b</t>
  </si>
  <si>
    <t>82c610e473622c2ea4661ca07840b08e2af8b42b2881f900fcb60568265be5e8</t>
  </si>
  <si>
    <t>aba256390da0</t>
  </si>
  <si>
    <t>f599bc2e65a81830fde753675ed9182ca1ae63b69da07b13f5b61c4be4cc95c4</t>
  </si>
  <si>
    <t>9410f8043c42</t>
  </si>
  <si>
    <t>f16036a2609db5aeb6c45fda506948d750e9bb4213f504f37c9ec08ea60c2eac</t>
  </si>
  <si>
    <t>f1e0bf2c3273</t>
  </si>
  <si>
    <t>6a5d0b5a8f21b9e230f30b5715ecb0e38e873d19e5b645b0a78534c90a3cb235</t>
  </si>
  <si>
    <t>2620bff305e0</t>
  </si>
  <si>
    <t>4b9bbe83c467a2e2179bff56f18062c8e59e33893c90dbfab8ebe8388cbaf08f</t>
  </si>
  <si>
    <t>32148cc1d587</t>
  </si>
  <si>
    <t>4076d872dfe1f5acf0a37cffaabdc3792822e41c622445596b96c3c711d917a7</t>
  </si>
  <si>
    <t>3e14328dd6b6</t>
  </si>
  <si>
    <t>3e8800ef949fa0676774f9e87e03e330bf3d5a60054a26fbb3f210a486be7e90</t>
  </si>
  <si>
    <t>2f620e329ad6</t>
  </si>
  <si>
    <t>40cb3e407083c38d7c44451c62d492b8ecd7d56edac47e2789cb798d64ffab9b</t>
  </si>
  <si>
    <t>4fa8f5097e39</t>
  </si>
  <si>
    <t>e1fd3e3dd4ea3b4ea15204d4798d3b8ca455501d826b86b447dc09dc0435a1e3</t>
  </si>
  <si>
    <t>fefcd9992a54</t>
  </si>
  <si>
    <t>02a26a1cf5c4ac6b908bd14113be409811cc728018ef7834b8c7d2030743598b</t>
  </si>
  <si>
    <t>c8f7271f00b3</t>
  </si>
  <si>
    <t>8ae7871e83bf914a13c07f2d2c81d274a23f2c4be35f5f9f2d597896db0282cd</t>
  </si>
  <si>
    <t>732f971e5aac</t>
  </si>
  <si>
    <t>bf602b3950f636bc2beff9fa6bd8cd6db173eccf4eab9d6da93c5b8a7e802492</t>
  </si>
  <si>
    <t>48e7b3ca87e3</t>
  </si>
  <si>
    <t>0154873e7852549a038df6c80aa775cd1dbf9ba72e1809c6edf61d4c5d76cf5e</t>
  </si>
  <si>
    <t>79c2ddc38930</t>
  </si>
  <si>
    <t>f5a8212b25d663faa9c481733150ce2547a1c9da27081fbd744d327ddbdc8f1a</t>
  </si>
  <si>
    <t>9f0d670c35a5</t>
  </si>
  <si>
    <t>bc4fe7514bbe9f9552c4350f9eca46da43534b9600455d3d91302b2022effbdc</t>
  </si>
  <si>
    <t>2f7de7b5cd81</t>
  </si>
  <si>
    <t>5d7f77ec38d73cdd4cecb4cda51b23d2d1011e8a0b9e1ca9caffacb72a998008</t>
  </si>
  <si>
    <t>6aee29d01e5c</t>
  </si>
  <si>
    <t>4fdc41677eac01c5947d077f22fb9ee77aab5a12c6f891f0179ccb7577679f5b</t>
  </si>
  <si>
    <t>2e9a46790fd9</t>
  </si>
  <si>
    <t>ca14ef3c01ea2358ec9e18d01b0bf680823f6284e2e936e9fd0d9821d9e8d35d</t>
  </si>
  <si>
    <t>de10598c2d9c</t>
  </si>
  <si>
    <t>536e39b56e2747c4197681b620939aecf23b1cd2da34107f668d42c76ed96e97</t>
  </si>
  <si>
    <t>cd588cff19ed</t>
  </si>
  <si>
    <t>fa1028bdd370d90e4877b7fb9df7a34f8119e3af338d80fb2ac815bf3eee1d79</t>
  </si>
  <si>
    <t>06a7fcde7757</t>
  </si>
  <si>
    <t>94f1241170e4e5c3a05eda40e42583b8f6900ce57afc8952259e82b06ec46929</t>
  </si>
  <si>
    <t>9a9f89dbbfb7</t>
  </si>
  <si>
    <t>d8bc8610c131bf89e731c6bf2920bed187bd8ea1fb076df4c4774e5e6a447294</t>
  </si>
  <si>
    <t>87d4d7f095dd</t>
  </si>
  <si>
    <t>7020032495ba3d7920d154fd9c38890268435f5fc665b8cb2ec73cc6f3dbf534</t>
  </si>
  <si>
    <t>196e9f5128ec</t>
  </si>
  <si>
    <t>6574ea572ce0bc28b81433db040aec66e0c49092712bb9f27afad0398e159d10</t>
  </si>
  <si>
    <t>a1336fb1c6cd</t>
  </si>
  <si>
    <t>d10bf917cd76376b52de6c0e67d38ed498591c77ca7ed0d4c62fbf868ff79953</t>
  </si>
  <si>
    <t>5caeb31f7360</t>
  </si>
  <si>
    <t>cb7d30ffceea60401d7703f2a9784fed8e346dda64991a533be4355ee0b1ec28</t>
  </si>
  <si>
    <t>8126f1246250</t>
  </si>
  <si>
    <t>c5eb31e98124ee3b6bdc703c5959755bea1dd289475eb2136ef360b85023ad46</t>
  </si>
  <si>
    <t>ae2f7e620df7</t>
  </si>
  <si>
    <t>825b57cfbcf2353de0c021dad5f0209f2e3a23e2cbcbc26d5224c3d9637c3571</t>
  </si>
  <si>
    <t>7b0d94ee4631</t>
  </si>
  <si>
    <t>0bf8246a374befd42b6d47151d100433b5d634290f4aa5be4ee9894c5586e8cf</t>
  </si>
  <si>
    <t>9e777fb329d7</t>
  </si>
  <si>
    <t>01da214013e5cf0041eb9fc94b16c3fd9d7a621c67d02253e84f8401026d0f28</t>
  </si>
  <si>
    <t>1a1f2ef4447b</t>
  </si>
  <si>
    <t>6419e73d415e2af8b365b0973523016372c0e9ab2638c06c77a8f6b033258d9d</t>
  </si>
  <si>
    <t>cca755650ad8</t>
  </si>
  <si>
    <t>06c525298bc109ce216f24fb627c7e311adc52912e29c8c595fb23c10e69523e</t>
  </si>
  <si>
    <t>61079a14f39c</t>
  </si>
  <si>
    <t>54e76d267d34d58bf107e68b2918a72751dba20b07877902e4564badcbaf53d9</t>
  </si>
  <si>
    <t>14e6992c82a3</t>
  </si>
  <si>
    <t>5de55dc5f7fcd372e568d323733407e75849eecb4dcb803b4758cef8d8b87b5e</t>
  </si>
  <si>
    <t>2481427d230a</t>
  </si>
  <si>
    <t>5cc90be18d5cb6bd2cdea518adc1556d19b5349cbf6576c0bd5737ee86aeef8a</t>
  </si>
  <si>
    <t>4ba3edb0a670</t>
  </si>
  <si>
    <t>cb0e463cd6f07a202e40edc6fbb81ee5b2cd09b59b68c197ca6dc46a7bed27a2</t>
  </si>
  <si>
    <t>08b0328946c2</t>
  </si>
  <si>
    <t>aff4e9557395bc440e494cc6a77735f1356e61db47e35d5f12298f3c6c6e7e61</t>
  </si>
  <si>
    <t>84e6e1bee53a</t>
  </si>
  <si>
    <t>c9c33ac0fbee937a1b492d6f933e9b71e94070ae6d82c04c66074783b6041826</t>
  </si>
  <si>
    <t>44990321e3be</t>
  </si>
  <si>
    <t>af7d33caf1be8ae83e329b219348a6d61c42a2f1f08e08afe4bbaad02e5b4221</t>
  </si>
  <si>
    <t>f578b914982e</t>
  </si>
  <si>
    <t>ef8aa4b6669e0abd99ee1e74fe1b3373674d07f39db87ade47c7e11f076729e8</t>
  </si>
  <si>
    <t>1d07c8ea0b03</t>
  </si>
  <si>
    <t>399f83794d8c90e25a8dcda998736e24ce9354ee5a3e29317279b4aa513db556</t>
  </si>
  <si>
    <t>54baafec08d6</t>
  </si>
  <si>
    <t>169fca9a1d49abe31dcdd95c8e41707a0e1460eb46054ecaf7de765f0e42c595</t>
  </si>
  <si>
    <t>9ece7a16f94c</t>
  </si>
  <si>
    <t>8597a16bef5adef44a635f1443ece50ab31f8fc32444c4b96acb1271ff95c74d</t>
  </si>
  <si>
    <t>56193c029324</t>
  </si>
  <si>
    <t>4870008bcaded1b0f0a6c746bb460c85ece839b6451df1f7d30c992333823938</t>
  </si>
  <si>
    <t>1246d3549fd6</t>
  </si>
  <si>
    <t>5008dd28cdcb68b50dc0762e3f8bf2c0f6ce659709f8cc9baa42c2d3de07484e</t>
  </si>
  <si>
    <t>e68601a1e563</t>
  </si>
  <si>
    <t>65c7fd99f20900053c5f6648172f9de86fd4959be051cd877551b72548ea78ae</t>
  </si>
  <si>
    <t>ddab64cc329b</t>
  </si>
  <si>
    <t>6646a0428b4e96b19fe5f9a50ae6d8b2671320ca699f3668a0f6884270fce307</t>
  </si>
  <si>
    <t>522ab0b5384c</t>
  </si>
  <si>
    <t>5a28389fbac71ccdff96add6a9ba4749050b7f05f7603c66ffc1fdbc9f40288c</t>
  </si>
  <si>
    <t>74da9e11b0c6</t>
  </si>
  <si>
    <t>68568b52430d5243c3bac19cdd42be7e09b94e5047fbedc8f6aad596dc23f255</t>
  </si>
  <si>
    <t>80674b5d2c97</t>
  </si>
  <si>
    <t>b7b95e14f184c94d30c956a8ce9417514d9e5b3ed8f264dbc9eaf5d4081d4a49</t>
  </si>
  <si>
    <t>d19157ad88af</t>
  </si>
  <si>
    <t>ab9b08e9dd9ca18afc99b0f11fca3fe60c281b5223336bc471a01a5e0e7a3b3c</t>
  </si>
  <si>
    <t>13614ae5b036</t>
  </si>
  <si>
    <t>25b6bbbf759fa6c39dfc794faefd1ef8612401f3f4d034584ee5b9fa2607b1ac</t>
  </si>
  <si>
    <t>00ee500a179e</t>
  </si>
  <si>
    <t>5f6c120ce64b97de895e0122d788c6a90f3b704c123ce3b7486ebff17728a146</t>
  </si>
  <si>
    <t>b173e7d5623f</t>
  </si>
  <si>
    <t>b15126357e03123885d0f028b2b01a26e87384da615ba36aaf8077e892ad02cd</t>
  </si>
  <si>
    <t>43e4588d6ce9</t>
  </si>
  <si>
    <t>189d89c236a526a3a488df92cb330666163fd9e0934d9d797be3e8988a8d30f0</t>
  </si>
  <si>
    <t>cb8dc2d18c5f</t>
  </si>
  <si>
    <t>79e0eb23e14d674517afbcc0c3809ec89ab7bf65da824f1aa063934a7e8b7944</t>
  </si>
  <si>
    <t>4d859532e5ca</t>
  </si>
  <si>
    <t>290a6fe7377d011f37b9dd979eee55728f7161c8d46f26c82b89264955888177</t>
  </si>
  <si>
    <t>90e8237f4745</t>
  </si>
  <si>
    <t>3f1b351da78f351ed7525cc14a6470b2eaf1aae2b40b76b6ca134f9afa383a55</t>
  </si>
  <si>
    <t>baf06fad66d3</t>
  </si>
  <si>
    <t>1b184e52713dba1379e3fee47c457bf6645cc6223cdfcd0b8442cc0169ca761b</t>
  </si>
  <si>
    <t>8529e8476476</t>
  </si>
  <si>
    <t>816ad927ecb43d8b15fed5ad505575a6b586ec465bb96c05228c86bd622c4cbc</t>
  </si>
  <si>
    <t>42452f9d9a0f</t>
  </si>
  <si>
    <t>1efe7a690847320a864b8b4daa74ebf6e7bc93e177e3775f4e284b644a8813a6</t>
  </si>
  <si>
    <t>45e0f629a276</t>
  </si>
  <si>
    <t>e54be0b539d70bfa45985da35a03a7232c38fecee80bd11ebfb1a2164bed978b</t>
  </si>
  <si>
    <t>e4dba3e61f2d</t>
  </si>
  <si>
    <t>5f73314813e43adbf02b8ec958f2b73d1b4133862709d36874f7206f4ec75afe</t>
  </si>
  <si>
    <t>27e4c9f84e0d</t>
  </si>
  <si>
    <t>a91e8972c4f13b69efbb1818b30d871bb0960c27e5c187198457d8728de65209</t>
  </si>
  <si>
    <t>54f94d58d4fb</t>
  </si>
  <si>
    <t>9a6702361869c863a3a37a1d66cd86ee45e743a5f495e57424ef6f943c02ad7f</t>
  </si>
  <si>
    <t>3d607e87dd58</t>
  </si>
  <si>
    <t>68a4ecbe3dd9fc389ae876198d05e091f3aa2ad9ad3d01efb5edaccc6395c9e6</t>
  </si>
  <si>
    <t>dc9a3f8ed9da</t>
  </si>
  <si>
    <t>d8b76d2a20b72b9474b909e27163743416b43b7e6aa3533239d092787482f3ad</t>
  </si>
  <si>
    <t>14e4789fa28b</t>
  </si>
  <si>
    <t>f32184eeae311c4b13eed7c6b6f41e5ef905f5d4543b47782a9b4bca48d9f2b2</t>
  </si>
  <si>
    <t>ef4c6cd70ec1</t>
  </si>
  <si>
    <t>15cb3080b3f0bbf0159136c37745b6ef6ac34a9eae2b9e47a7bcd15a8961045f</t>
  </si>
  <si>
    <t>9bc41e3d151d</t>
  </si>
  <si>
    <t>e8d736018616ae12952a3adf575fd459abfce5e6057d2e3c36ebbc30c7d9ae99</t>
  </si>
  <si>
    <t>c9a74ff11be0</t>
  </si>
  <si>
    <t>9d534cc19e4a251ea77fa1b407f1e456deb9e12eda1c299fab821879b96f94da</t>
  </si>
  <si>
    <t>24d4c9937b90</t>
  </si>
  <si>
    <t>ecb73d6317523a7292aabe4e6ebd43236e9f7f2ebe9e14d9355bbe288c6615f1</t>
  </si>
  <si>
    <t>dc8372c05611</t>
  </si>
  <si>
    <t>ca8213f27e8d3cb3bdb7900d890fd936ca275d21a85142e865d33ab6a83bb1cb</t>
  </si>
  <si>
    <t>404ba1aaaac0</t>
  </si>
  <si>
    <t>1383465c1a2faebd9dd68d7cf4384a49fb30871dc15738e8368216c229d0d9f3</t>
  </si>
  <si>
    <t>969f5cca3277</t>
  </si>
  <si>
    <t>eee004b5b8b3b941548886221f4e0223b7eb1e6770a2ae842ac8421ef31664c6</t>
  </si>
  <si>
    <t>cbef0e481c54</t>
  </si>
  <si>
    <t>b02417c3fc2addd79e33f30bc7aa3645e59d614a9cf31ecfe78ee712dae266cf</t>
  </si>
  <si>
    <t>5d0507ce2b4f</t>
  </si>
  <si>
    <t>c317aef3c34bfae3bb98c2181f8492df1a138d9d46869d3b0a1d57b607d77350</t>
  </si>
  <si>
    <t>37dbae620f63</t>
  </si>
  <si>
    <t>bc244da8e3c903870bc4396e5afd13fd9a5d4667d31c4fd924a6652ce483358e</t>
  </si>
  <si>
    <t>16ee42fb0267</t>
  </si>
  <si>
    <t>3b2413ac7808c629e51efb97b628c9f624077f61ab88d117faa2323a2501d597</t>
  </si>
  <si>
    <t>7e2972d009c9</t>
  </si>
  <si>
    <t>a696ac5da45fc002c46f3496982d091bc12f69006e40dc00172affac1facbe88</t>
  </si>
  <si>
    <t>92a77cdb721b</t>
  </si>
  <si>
    <t>57964361694c1b72445c67e3288d2893d7472f9f501ce78c8a4e275c575fe1ca</t>
  </si>
  <si>
    <t>c128881ecd57</t>
  </si>
  <si>
    <t>8038eec9e011d8168cef8d0222c9906c4b4e3fab182804affc5d3f9a1b88fe7a</t>
  </si>
  <si>
    <t>92dbb32cca57</t>
  </si>
  <si>
    <t>3be43381c6cbd80f44d5c1c858eedb9fa602567d3b7913bbddae96c9f58e40be</t>
  </si>
  <si>
    <t>a265b871ae84</t>
  </si>
  <si>
    <t>73d8e7664d03e6155226fbd96eda788bd0f823744c12dd3ccb95f08e4ffa86d7</t>
  </si>
  <si>
    <t>474da906a06d</t>
  </si>
  <si>
    <t>516885a59d8e09eddff9b880bddea0218e589a956da5af6545607993e4a155e9</t>
  </si>
  <si>
    <t>a13dca13323d</t>
  </si>
  <si>
    <t>6f0d5792cc1074d5decc20043bfe65a9da086b34d887c5c131ba62bd1060a20e</t>
  </si>
  <si>
    <t>00c508a0fd40</t>
  </si>
  <si>
    <t>a42f18fe5dc55e8d5edc0b016acb255e718ac37e0c689d8831cb4b423fcf8349</t>
  </si>
  <si>
    <t>c93041b4811c</t>
  </si>
  <si>
    <t>7e48c4b8ae1e69a6bfca7d5c5180a7dfd898af9f213ae86cfcc491362b9ed6fe</t>
  </si>
  <si>
    <t>755753127409</t>
  </si>
  <si>
    <t>9784304ac1928bcc05260292323bc8ea3cdc9ae6bcf98e8fdc4bf3483eebb39d</t>
  </si>
  <si>
    <t>0bc868176e3f</t>
  </si>
  <si>
    <t>b8570c785672b3937bf7769752cc0a8adb9a9d5ab001ac545b22416f41420eca</t>
  </si>
  <si>
    <t>a432a9b4a3e0</t>
  </si>
  <si>
    <t>f7ebad5031f6b825bb0152841240851e40a69a658fa1fedd10b8d4b96d1e1d69</t>
  </si>
  <si>
    <t>b65082e75531</t>
  </si>
  <si>
    <t>0ed6283997f8f9b781033a4b681d5c22776b1f06160443d7d4378c6ef07715cb</t>
  </si>
  <si>
    <t>80cf37296137</t>
  </si>
  <si>
    <t>265e752f10724f3358d65488bce8bb064cccec96e4a524813240626318b5a721</t>
  </si>
  <si>
    <t>057c3d4a04e8</t>
  </si>
  <si>
    <t>df040344c7d90244fc841fceba85bc99a05d3257cd9ae3cb49aa7b4f71f19474</t>
  </si>
  <si>
    <t>d3d6441b8f92</t>
  </si>
  <si>
    <t>c18373803f4bf25385f45628bedd749b123c12f5b52673824550ff0ae67cc71e</t>
  </si>
  <si>
    <t>cd81d0248e20</t>
  </si>
  <si>
    <t>cfb3ff21b70d63bd93622e6e7397757ce926f8a432b351e42033e12a8f45ce9b</t>
  </si>
  <si>
    <t>6422316a9db8</t>
  </si>
  <si>
    <t>7cbf71d8a6b37dda0f5f7271aea49738da454a5495ac53a80105240ce92f5574</t>
  </si>
  <si>
    <t>b28675059c4f</t>
  </si>
  <si>
    <t>409a5a52f4dfbd10239e049915f42ca36439668a96753e9cd6d3de6d473e71d6</t>
  </si>
  <si>
    <t>0f4ec2c14847</t>
  </si>
  <si>
    <t>f9c3c4c575d5f42d93fc1fd086bb371a8cc5ba44a5ec1b9b69d38af03fd02022</t>
  </si>
  <si>
    <t>30ee049c6a26</t>
  </si>
  <si>
    <t>eed3bb85650d01d7034eccabad775aff115b17dbbc2ce149d1de1f652e65e335</t>
  </si>
  <si>
    <t>f84bd1ea1d01</t>
  </si>
  <si>
    <t>3b2d2504279256238cb5626ba165bdfc981d6fa88dc460d58b403895dc5a4937</t>
  </si>
  <si>
    <t>607a1bb6eda1</t>
  </si>
  <si>
    <t>30873e9ff934117ca4a25a5e8a0c4ae6b7530d422bb70c817d5519664d8a024a</t>
  </si>
  <si>
    <t>2eb963480131</t>
  </si>
  <si>
    <t>1bfb530e83457aa61645f4bc03f3df23b157a5ba59f16192869ca6dc9fb7c8be</t>
  </si>
  <si>
    <t>3303741c0cb0</t>
  </si>
  <si>
    <t>b64c7b2c4258e73dad3dd615055e079040698766430499ed00622c2fcbe60f7d</t>
  </si>
  <si>
    <t>68d54049082f</t>
  </si>
  <si>
    <t>4b1c730471cd0ffac44b11c4e2b71d56c1197d7b55b93d1c797f75d6af0a0248</t>
  </si>
  <si>
    <t>cb279012e02c</t>
  </si>
  <si>
    <t>1871b8294641dcb4439239785a72025f3fb57d7ec21fc3a010c19ee3bb76a80e</t>
  </si>
  <si>
    <t>f9ed2c98f239</t>
  </si>
  <si>
    <t>8a89c9f8b645a7717f6d191875240165394cb7d9e2795bdbd722d87e76f8fc51</t>
  </si>
  <si>
    <t>96f62f6e3c52</t>
  </si>
  <si>
    <t>670c27fdf1ca689b53ed2b9e7996bb65e39098278263ebab6aa7a228219ec75c</t>
  </si>
  <si>
    <t>d846d23d9a55</t>
  </si>
  <si>
    <t>a1f76d23037e89b06917a415b1a21c29a2f0bba06d642eeeb89ffe55dd234839</t>
  </si>
  <si>
    <t>003da0ddd684</t>
  </si>
  <si>
    <t>6f2ae8ffa96af360867a1adc17f496f0c8dfbae257f9495b558d6f030eb1e360</t>
  </si>
  <si>
    <t>65e5a351ee39</t>
  </si>
  <si>
    <t>60a634bd8acb225a2d2bdf97553aef4417a6686f87134975f8f0215ee573fdfa</t>
  </si>
  <si>
    <t>cd97d8d3d13f</t>
  </si>
  <si>
    <t>f5dbb9fd32d5a0f0075ee611bac984d76f4b03f13fddf22763585b50e7db4408</t>
  </si>
  <si>
    <t>39c4e30729eb</t>
  </si>
  <si>
    <t>01e1d8ee87b6cf6e6ae81d59c13e7759ee9ce556b9e4e97234ca18c61d450d34</t>
  </si>
  <si>
    <t>b1f693fc128b</t>
  </si>
  <si>
    <t>6d27912ece43c3b6a2dba6455668c14310831aed14232c79c84fe45e868bd73f</t>
  </si>
  <si>
    <t>fc2dd2e48af6</t>
  </si>
  <si>
    <t>6a0b2a092ed86db36e9c7700fee1c66f5fc743fb52002ba0083de93b567a3529</t>
  </si>
  <si>
    <t>78554aeb2d4c</t>
  </si>
  <si>
    <t>c01e8ce491b0c1cd5f3dd7c53fba8492193de37a55d1448220e16b5001deaf55</t>
  </si>
  <si>
    <t>bea0eada3cd8</t>
  </si>
  <si>
    <t>e139f6420f8dd9ebc84ab11d5239f17d3f7740e233c5923ca668a7bba26e6656</t>
  </si>
  <si>
    <t>19a2f4f61458</t>
  </si>
  <si>
    <t>88a2fda60081c1a0957bb6c136bfcda2b0e2dd4acaad87d9f10c3566ed496951</t>
  </si>
  <si>
    <t>d09b7cc37bd4</t>
  </si>
  <si>
    <t>8ce58d9fa255f0390c0693bfe98c309e471a6e53112e5d464cfba5e4db29ead6</t>
  </si>
  <si>
    <t>1fb0cc2dcc9f</t>
  </si>
  <si>
    <t>50a395f9d01373f3c78210a52693789eb6c453b0dfd27c29690d9bb07d0be30d</t>
  </si>
  <si>
    <t>052d22a0ddfc</t>
  </si>
  <si>
    <t>d3d5ddc0ef8d921cba62f404af346b9187e64590d8ed4a8ccff78529180180e2</t>
  </si>
  <si>
    <t>a51360c1f2fb</t>
  </si>
  <si>
    <t>87c50d826ce61d5f9a5e12190d52e60e8f9ca6d8c03f41456987f03753ea37c3</t>
  </si>
  <si>
    <t>33d3b3704d15</t>
  </si>
  <si>
    <t>6e9d9d93d32608e495f8334a123d1c3c07f54dfa36745593b71eb3f4ecd241fc</t>
  </si>
  <si>
    <t>2c2b79b890bb</t>
  </si>
  <si>
    <t>90bfb27e301bd2ec40dc60735e622b04ed90d0341bffd2939a3d0267c9b61109</t>
  </si>
  <si>
    <t>b0054ec34ed6</t>
  </si>
  <si>
    <t>5a3c9e3fa51ae20e767cee872f6098a6f6c7b5b84fb7a9cd9b85bd3e7053214b</t>
  </si>
  <si>
    <t>98ee19e419ac</t>
  </si>
  <si>
    <t>ba1d4f81a29c98ecd1d12ff49e15672c4062fa89eb8364076c6bfbe775ae2bd7</t>
  </si>
  <si>
    <t>0169202aae45</t>
  </si>
  <si>
    <t>f0febb9c4ded03c2ee63d540ffa2802c73ffa936c99e6b351fa9dc3d6b697389</t>
  </si>
  <si>
    <t>ddc5d14ab83b</t>
  </si>
  <si>
    <t>4cb3a8fdf2e509498279c90eca35432c71ee250d9e2be7634f49bb605520ae32</t>
  </si>
  <si>
    <t>a66d9228f852</t>
  </si>
  <si>
    <t>1cf2f99ab038e094e8f0f7edb98455332aec6b32c343690cc4c4ebd06ef987c5</t>
  </si>
  <si>
    <t>8778de8db4f1</t>
  </si>
  <si>
    <t>4df709916b2620b20afd6913fd66face43c7edcf143903e4bf0ca2daf72d4287</t>
  </si>
  <si>
    <t>70e263f0f981</t>
  </si>
  <si>
    <t>5a80d624d2215567e2617accf808f964c9d808641ead51b3c67413d214dccace</t>
  </si>
  <si>
    <t>f970a3f621f1</t>
  </si>
  <si>
    <t>20d9265923d22f0beddc88f646c5d407a55d34519eb8c76ae0b1ff5bf588f949</t>
  </si>
  <si>
    <t>0745d22a7423</t>
  </si>
  <si>
    <t>02d2232c00d3ffe9b07c025adf3432de60532b9b1e12c10a46e731b23bcd0536</t>
  </si>
  <si>
    <t>9eeddbb7de74</t>
  </si>
  <si>
    <t>262504bf201c0969c9069882fffd9ca278c4d4408c19ba16308a505da0b488a7</t>
  </si>
  <si>
    <t>66b86579eb12</t>
  </si>
  <si>
    <t>06d2520211f4509d19b4702d5630799c8cdf4b17122b54f8f1a59826878d58bc</t>
  </si>
  <si>
    <t>37010566b46f</t>
  </si>
  <si>
    <t>7bb28099f7f1eb0e93dc5b803729b9ae2aff96928e8fabb56eea7ab18e4f5f92</t>
  </si>
  <si>
    <t>0266f4e0b15f</t>
  </si>
  <si>
    <t>f8d98b5ec39fe61cfa3993e9a919261ec0e07fccd9191140406c2f2236c2e657</t>
  </si>
  <si>
    <t>f77a7fa4343f</t>
  </si>
  <si>
    <t>ee5144586404d71309ea9020685a25c77d91bea3989dba53531a14b7a2ed6263</t>
  </si>
  <si>
    <t>dcd679d9ff82</t>
  </si>
  <si>
    <t>e8bd37cfbe364e2be792954429d37f926f0067d2bc7624ee6479ad7d3f065e98</t>
  </si>
  <si>
    <t>d2b87ac81c5b</t>
  </si>
  <si>
    <t>5aeae183a2a56ab4434b23294ee673d7665cf7dc54e99384e98a2cf1b30f455c</t>
  </si>
  <si>
    <t>971a59d4ea52</t>
  </si>
  <si>
    <t>a12222992d18b8dd6d73ec8b6b7600761fc2b4b345f93417265251729e958914</t>
  </si>
  <si>
    <t>a88a8851357c</t>
  </si>
  <si>
    <t>f3f5c64f248b224be5f78539d28eb2e91df6a4467fdaa7d910d3a9fe25af2ca2</t>
  </si>
  <si>
    <t>a592f7ffe8ae</t>
  </si>
  <si>
    <t>03e3ab6fedfe5eff0fe701c2d5a80ee1e234be4decd3491150026f5f20417e07</t>
  </si>
  <si>
    <t>dc53ecb0b1b7</t>
  </si>
  <si>
    <t>53e1d62ee33741f21cba0d1542198a531960eb4048fdeab7ab693334086c6470</t>
  </si>
  <si>
    <t>b8b9d2ac3297</t>
  </si>
  <si>
    <t>7d4d3ebdaf407c3a132405457b263d4a900429906d129c60a2175289f48003f5</t>
  </si>
  <si>
    <t>ee2934370d0d</t>
  </si>
  <si>
    <t>fbe832503452ee707ca70db152a5d0aa3bbbcf5ea0ada92bc9a6724ca14d76a8</t>
  </si>
  <si>
    <t>e471e9779c2b</t>
  </si>
  <si>
    <t>cbc5ad5aec5b8c24e72b03e6d8b864afc9c7db6578de2e2282c185d99bdd3d68</t>
  </si>
  <si>
    <t>db24ab3d49f1</t>
  </si>
  <si>
    <t>52ac1d7df003c0c4c3d0c510b5837c389a0e03c4fb79776b4e715e7b720310c2</t>
  </si>
  <si>
    <t>94e7d28b1db1</t>
  </si>
  <si>
    <t>849ffe4960b9b3e7f387b06711f25f41b1d26e6b3ff9213791b00d7bd226f2ee</t>
  </si>
  <si>
    <t>e7e8f37bb9f2</t>
  </si>
  <si>
    <t>87589b9428cfad3e20f57615668331bd39c6a33f7b23c9966119a149407e77c5</t>
  </si>
  <si>
    <t>c3febb222bfd</t>
  </si>
  <si>
    <t>b061cde91165d04f38affbf66bb3f4eece0e4503f6de9e942de5e431f829b699</t>
  </si>
  <si>
    <t>807f36746a70</t>
  </si>
  <si>
    <t>43bbce9752159a6042553188a77a5fd6daa425d1713a1761c7223e57a7ee30a6</t>
  </si>
  <si>
    <t>d7cbca35a905</t>
  </si>
  <si>
    <t>7b7696b797b2e0c4567293fe784bed8ce48bba002de019e62d648bfeffbc4673</t>
  </si>
  <si>
    <t>b208f82c330f</t>
  </si>
  <si>
    <t>abbb0170b0dd13657b6ed69e606a993b8fa7872643f7f48d11c8a1157c3cddcf</t>
  </si>
  <si>
    <t>28deaef59eed</t>
  </si>
  <si>
    <t>01bf82fdf2da15163b5e6d78cd7aa70da3f66bc2f0c99dffe7f648fff737484f</t>
  </si>
  <si>
    <t>9433f9da1eb8</t>
  </si>
  <si>
    <t>2a6481bf2b065d2c5e6bb425e727c98599690dc81e34afd3af8c8896bb55504e</t>
  </si>
  <si>
    <t>987f3bd45d0c</t>
  </si>
  <si>
    <t>11ce9aef395907dca9c2522a69cb92bf1016060474a5aeeddc94b65882ba8b90</t>
  </si>
  <si>
    <t>2329304c5463</t>
  </si>
  <si>
    <t>6b4b6fd2dc31e9db12a46c6efd239a77f80eafcc6dafa6dcc446d700538d76e0</t>
  </si>
  <si>
    <t>98085725723b</t>
  </si>
  <si>
    <t>f473a0fbe8622fd65c04359645b9fb1ba862d54b2c095d262a3129c462c51df4</t>
  </si>
  <si>
    <t>3ed753beddd5</t>
  </si>
  <si>
    <t>3aeb84c694b343f83a059db2adf598e971d48e37f645784f8e30cbcbf9b12693</t>
  </si>
  <si>
    <t>2d39bcdce45b</t>
  </si>
  <si>
    <t>f9fd60bd7412563d3315fabfa41b861f5b560d9638e767148ee30921bae86613</t>
  </si>
  <si>
    <t>82ceee63cdfd</t>
  </si>
  <si>
    <t>42ae58555c3d094e1f65665c307fae51c1b2aead659df0bf1233a8ed2f2ee0a6</t>
  </si>
  <si>
    <t>applies_to</t>
  </si>
  <si>
    <t>area</t>
  </si>
  <si>
    <t>check</t>
  </si>
  <si>
    <t>severity</t>
  </si>
  <si>
    <t>All</t>
  </si>
  <si>
    <t>Identity</t>
  </si>
  <si>
    <t>Asset ID and filename match manifest</t>
  </si>
  <si>
    <t>Style</t>
  </si>
  <si>
    <t>Matches approved Stylized Heroic Fantasy</t>
  </si>
  <si>
    <t>Silhouette</t>
  </si>
  <si>
    <t>Readable at mobile gameplay distance</t>
  </si>
  <si>
    <t>Scale/Pivot</t>
  </si>
  <si>
    <t>Correct scale, +Z front, Y-up and pivot</t>
  </si>
  <si>
    <t>No accidental fusion, fragments or hidden shells</t>
  </si>
  <si>
    <t>Topology</t>
  </si>
  <si>
    <t>Target polycount and usable topology</t>
  </si>
  <si>
    <t>No severe seams, text or baked background</t>
  </si>
  <si>
    <t>Rig and sockets validate</t>
  </si>
  <si>
    <t>Grid</t>
  </si>
  <si>
    <t>Structural module snaps to 4 m grid</t>
  </si>
  <si>
    <t>Unity</t>
  </si>
  <si>
    <t>Prefab, collider and LOD tested in scene</t>
  </si>
  <si>
    <t>reason_code</t>
  </si>
  <si>
    <t>description</t>
  </si>
  <si>
    <t>STYLE_DRIFT</t>
  </si>
  <si>
    <t>Style or faction mismatch</t>
  </si>
  <si>
    <t>SILHOUETTE_WEAK</t>
  </si>
  <si>
    <t>Unreadable silhouette</t>
  </si>
  <si>
    <t>ANATOMY_ERROR</t>
  </si>
  <si>
    <t>Anatomy or limb error</t>
  </si>
  <si>
    <t>PROP_FUSED</t>
  </si>
  <si>
    <t>Separate prop fused to body</t>
  </si>
  <si>
    <t>POLYCOUNT_HIGH</t>
  </si>
  <si>
    <t>Exceeds budget</t>
  </si>
  <si>
    <t>TOPOLOGY_BAD</t>
  </si>
  <si>
    <t>Unsuitable topology</t>
  </si>
  <si>
    <t>UV_TEXTURE_ERROR</t>
  </si>
  <si>
    <t>UV or texture artifact</t>
  </si>
  <si>
    <t>SCALE_PIVOT_ERROR</t>
  </si>
  <si>
    <t>Scale, orientation or pivot error</t>
  </si>
  <si>
    <t>GRID_SNAP_ERROR</t>
  </si>
  <si>
    <t>Modular grid failure</t>
  </si>
  <si>
    <t>BAKED_VFX</t>
  </si>
  <si>
    <t>VFX baked into model</t>
  </si>
  <si>
    <t>RIG_FAIL</t>
  </si>
  <si>
    <t>Rig validation failed</t>
  </si>
  <si>
    <t>MOBILE_READ_FAIL</t>
  </si>
  <si>
    <t>Fails mobile camera read</t>
  </si>
  <si>
    <t>OTHER</t>
  </si>
  <si>
    <t>Describe in notes</t>
  </si>
  <si>
    <t>IDLE MEDIEVAL LEGENDS — MESHY OPERATIONS DASHBOARD</t>
  </si>
  <si>
    <t>KPI</t>
  </si>
  <si>
    <t>Valor</t>
  </si>
  <si>
    <t>Assets</t>
  </si>
  <si>
    <t>Prompts</t>
  </si>
  <si>
    <t>Créditos planejados</t>
  </si>
  <si>
    <t>Créditos consumidos</t>
  </si>
  <si>
    <t>Assets aprovados</t>
  </si>
  <si>
    <t>Taxa de aprovação</t>
  </si>
  <si>
    <t>Tentativas</t>
  </si>
  <si>
    <t>Créditos por aprovado</t>
  </si>
  <si>
    <t>Prompts/Characters/ConceptArt/enemy_goblin_scavenger_001_concept_sheet.txt</t>
  </si>
  <si>
    <t>Prompts/Characters/ConceptArt/hero_paladin_001_concept_sheet.txt</t>
  </si>
  <si>
    <t>Prompts/Characters/ConceptArt/hero_archer_001_concept_sheet.txt</t>
  </si>
  <si>
    <t>Prompts/Characters/ConceptArt/hero_mage_001_concept_sheet.txt</t>
  </si>
  <si>
    <t>Prompts/Characters/ConceptArt/enemy_goblin_archer_001_concept_sheet.txt</t>
  </si>
  <si>
    <t>Prompts/Characters/ConceptArt/enemy_goblin_shaman_001_concept_sheet.txt</t>
  </si>
  <si>
    <t>Prompts/Characters/ConceptArt/enemy_goblin_warrior_001_concept_sheet.txt</t>
  </si>
  <si>
    <t>Prompts/Characters/ConceptArt/boss_goblin_chieftain_001_concept_sheet.txt</t>
  </si>
  <si>
    <t>Prompts/Characters/ConceptArt/boss_goblin_king_001_concept_sheet.txt</t>
  </si>
  <si>
    <t>Prompts/Characters/ConceptArt/enemy_goblin_high_shaman_001_concept_sheet.txt</t>
  </si>
  <si>
    <t>Prompts/Characters/ConceptArt/enemy_goblin_ranger_001_concept_sheet.txt</t>
  </si>
  <si>
    <t>Prompts/Characters/ConceptArt/enemy_hobgoblin_knight_001_concept_sheet.txt</t>
  </si>
  <si>
    <t>Prompts/Characters/Meshy/enemy_goblin_scavenger_001_meshy_character.txt</t>
  </si>
  <si>
    <t>Prompts/Characters/Meshy/hero_paladin_001_meshy_character.txt</t>
  </si>
  <si>
    <t>Prompts/Characters/Meshy/hero_archer_001_meshy_character.txt</t>
  </si>
  <si>
    <t>Prompts/Characters/Meshy/hero_mage_001_meshy_character.txt</t>
  </si>
  <si>
    <t>Prompts/Characters/Meshy/enemy_goblin_archer_001_meshy_character.txt</t>
  </si>
  <si>
    <t>Prompts/Characters/Meshy/enemy_goblin_shaman_001_meshy_character.txt</t>
  </si>
  <si>
    <t>Prompts/Characters/Meshy/enemy_goblin_warrior_001_meshy_character.txt</t>
  </si>
  <si>
    <t>Prompts/Characters/Meshy/boss_goblin_chieftain_001_meshy_character.txt</t>
  </si>
  <si>
    <t>Prompts/Characters/Meshy/boss_goblin_king_001_meshy_character.txt</t>
  </si>
  <si>
    <t>Prompts/Characters/Meshy/enemy_goblin_high_shaman_001_meshy_character.txt</t>
  </si>
  <si>
    <t>Prompts/Characters/Meshy/enemy_goblin_ranger_001_meshy_character.txt</t>
  </si>
  <si>
    <t>Prompts/Characters/Meshy/enemy_hobgoblin_knight_001_meshy_character.txt</t>
  </si>
  <si>
    <t>Prompts/Characters/Texture/enemy_goblin_scavenger_001_texture.txt</t>
  </si>
  <si>
    <t>Prompts/Characters/Texture/hero_paladin_001_texture.txt</t>
  </si>
  <si>
    <t>Prompts/Characters/Texture/hero_archer_001_texture.txt</t>
  </si>
  <si>
    <t>Prompts/Characters/Texture/hero_mage_001_texture.txt</t>
  </si>
  <si>
    <t>Prompts/Characters/Texture/enemy_goblin_archer_001_texture.txt</t>
  </si>
  <si>
    <t>Prompts/Characters/Texture/enemy_goblin_shaman_001_texture.txt</t>
  </si>
  <si>
    <t>Prompts/Characters/Texture/enemy_goblin_warrior_001_texture.txt</t>
  </si>
  <si>
    <t>Prompts/Characters/Texture/boss_goblin_chieftain_001_texture.txt</t>
  </si>
  <si>
    <t>Prompts/Characters/Texture/boss_goblin_king_001_texture.txt</t>
  </si>
  <si>
    <t>Prompts/Characters/Texture/enemy_goblin_high_shaman_001_texture.txt</t>
  </si>
  <si>
    <t>Prompts/Characters/Texture/enemy_goblin_ranger_001_texture.txt</t>
  </si>
  <si>
    <t>Prompts/Characters/Texture/enemy_hobgoblin_knight_001_texture.txt</t>
  </si>
  <si>
    <t>Prompts/Equipment/ConceptArt/equipment_amulet_t01_base_concept_sheet.txt</t>
  </si>
  <si>
    <t>Prompts/Equipment/ConceptArt/equipment_amulet_t02_base_concept_sheet.txt</t>
  </si>
  <si>
    <t>Prompts/Equipment/ConceptArt/equipment_amulet_t03_base_concept_sheet.txt</t>
  </si>
  <si>
    <t>Prompts/Equipment/ConceptArt/equipment_amulet_t04_base_concept_sheet.txt</t>
  </si>
  <si>
    <t>Prompts/Equipment/ConceptArt/equipment_amulet_t05_base_concept_sheet.txt</t>
  </si>
  <si>
    <t>Prompts/Equipment/ConceptArt/equipment_amulet_t06_base_concept_sheet.txt</t>
  </si>
  <si>
    <t>Prompts/Equipment/ConceptArt/equipment_amulet_t07_base_concept_sheet.txt</t>
  </si>
  <si>
    <t>Prompts/Equipment/ConceptArt/equipment_amulet_t08_base_concept_sheet.txt</t>
  </si>
  <si>
    <t>Prompts/Equipment/ConceptArt/equipment_amulet_t09_base_concept_sheet.txt</t>
  </si>
  <si>
    <t>Prompts/Equipment/ConceptArt/equipment_cloth_boots_t01_base_concept_sheet.txt</t>
  </si>
  <si>
    <t>Prompts/Equipment/ConceptArt/equipment_cloth_boots_t02_base_concept_sheet.txt</t>
  </si>
  <si>
    <t>Prompts/Equipment/ConceptArt/equipment_cloth_boots_t03_base_concept_sheet.txt</t>
  </si>
  <si>
    <t>Prompts/Equipment/ConceptArt/equipment_cloth_boots_t04_base_concept_sheet.txt</t>
  </si>
  <si>
    <t>Prompts/Equipment/ConceptArt/equipment_cloth_boots_t05_base_concept_sheet.txt</t>
  </si>
  <si>
    <t>Prompts/Equipment/ConceptArt/equipment_cloth_boots_t06_base_concept_sheet.txt</t>
  </si>
  <si>
    <t>Prompts/Equipment/ConceptArt/equipment_cloth_boots_t07_base_concept_sheet.txt</t>
  </si>
  <si>
    <t>Prompts/Equipment/ConceptArt/equipment_cloth_boots_t08_base_concept_sheet.txt</t>
  </si>
  <si>
    <t>Prompts/Equipment/ConceptArt/equipment_cloth_boots_t09_base_concept_sheet.txt</t>
  </si>
  <si>
    <t>Prompts/Equipment/ConceptArt/equipment_cloth_gloves_t01_base_concept_sheet.txt</t>
  </si>
  <si>
    <t>Prompts/Equipment/ConceptArt/equipment_cloth_gloves_t02_base_concept_sheet.txt</t>
  </si>
  <si>
    <t>Prompts/Equipment/ConceptArt/equipment_cloth_gloves_t03_base_concept_sheet.txt</t>
  </si>
  <si>
    <t>Prompts/Equipment/ConceptArt/equipment_cloth_gloves_t04_base_concept_sheet.txt</t>
  </si>
  <si>
    <t>Prompts/Equipment/ConceptArt/equipment_cloth_gloves_t05_base_concept_sheet.txt</t>
  </si>
  <si>
    <t>Prompts/Equipment/ConceptArt/equipment_cloth_gloves_t06_base_concept_sheet.txt</t>
  </si>
  <si>
    <t>Prompts/Equipment/ConceptArt/equipment_cloth_gloves_t07_base_concept_sheet.txt</t>
  </si>
  <si>
    <t>Prompts/Equipment/ConceptArt/equipment_cloth_gloves_t08_base_concept_sheet.txt</t>
  </si>
  <si>
    <t>Prompts/Equipment/ConceptArt/equipment_cloth_gloves_t09_base_concept_sheet.txt</t>
  </si>
  <si>
    <t>Prompts/Equipment/ConceptArt/equipment_cloth_hood_t01_base_concept_sheet.txt</t>
  </si>
  <si>
    <t>Prompts/Equipment/ConceptArt/equipment_cloth_hood_t02_base_concept_sheet.txt</t>
  </si>
  <si>
    <t>Prompts/Equipment/ConceptArt/equipment_cloth_hood_t03_base_concept_sheet.txt</t>
  </si>
  <si>
    <t>Prompts/Equipment/ConceptArt/equipment_cloth_hood_t04_base_concept_sheet.txt</t>
  </si>
  <si>
    <t>Prompts/Equipment/ConceptArt/equipment_cloth_hood_t05_base_concept_sheet.txt</t>
  </si>
  <si>
    <t>Prompts/Equipment/ConceptArt/equipment_cloth_hood_t06_base_concept_sheet.txt</t>
  </si>
  <si>
    <t>Prompts/Equipment/ConceptArt/equipment_cloth_hood_t07_base_concept_sheet.txt</t>
  </si>
  <si>
    <t>Prompts/Equipment/ConceptArt/equipment_cloth_hood_t08_base_concept_sheet.txt</t>
  </si>
  <si>
    <t>Prompts/Equipment/ConceptArt/equipment_cloth_hood_t09_base_concept_sheet.txt</t>
  </si>
  <si>
    <t>Prompts/Equipment/ConceptArt/equipment_cloth_robe_t01_base_concept_sheet.txt</t>
  </si>
  <si>
    <t>Prompts/Equipment/ConceptArt/equipment_cloth_robe_t02_base_concept_sheet.txt</t>
  </si>
  <si>
    <t>Prompts/Equipment/ConceptArt/equipment_cloth_robe_t03_base_concept_sheet.txt</t>
  </si>
  <si>
    <t>Prompts/Equipment/ConceptArt/equipment_cloth_robe_t04_base_concept_sheet.txt</t>
  </si>
  <si>
    <t>Prompts/Equipment/ConceptArt/equipment_cloth_robe_t05_base_concept_sheet.txt</t>
  </si>
  <si>
    <t>Prompts/Equipment/ConceptArt/equipment_cloth_robe_t06_base_concept_sheet.txt</t>
  </si>
  <si>
    <t>Prompts/Equipment/ConceptArt/equipment_cloth_robe_t07_base_concept_sheet.txt</t>
  </si>
  <si>
    <t>Prompts/Equipment/ConceptArt/equipment_cloth_robe_t08_base_concept_sheet.txt</t>
  </si>
  <si>
    <t>Prompts/Equipment/ConceptArt/equipment_cloth_robe_t09_base_concept_sheet.txt</t>
  </si>
  <si>
    <t>Prompts/Equipment/ConceptArt/equipment_heavy_boots_t01_base_concept_sheet.txt</t>
  </si>
  <si>
    <t>Prompts/Equipment/ConceptArt/equipment_heavy_boots_t02_base_concept_sheet.txt</t>
  </si>
  <si>
    <t>Prompts/Equipment/ConceptArt/equipment_heavy_boots_t03_base_concept_sheet.txt</t>
  </si>
  <si>
    <t>Prompts/Equipment/ConceptArt/equipment_heavy_boots_t04_base_concept_sheet.txt</t>
  </si>
  <si>
    <t>Prompts/Equipment/ConceptArt/equipment_heavy_boots_t05_base_concept_sheet.txt</t>
  </si>
  <si>
    <t>Prompts/Equipment/ConceptArt/equipment_heavy_boots_t06_base_concept_sheet.txt</t>
  </si>
  <si>
    <t>Prompts/Equipment/ConceptArt/equipment_heavy_boots_t07_base_concept_sheet.txt</t>
  </si>
  <si>
    <t>Prompts/Equipment/ConceptArt/equipment_heavy_boots_t08_base_concept_sheet.txt</t>
  </si>
  <si>
    <t>Prompts/Equipment/ConceptArt/equipment_heavy_boots_t09_base_concept_sheet.txt</t>
  </si>
  <si>
    <t>Prompts/Equipment/ConceptArt/equipment_heavy_chest_t01_base_concept_sheet.txt</t>
  </si>
  <si>
    <t>Prompts/Equipment/ConceptArt/equipment_heavy_chest_t02_base_concept_sheet.txt</t>
  </si>
  <si>
    <t>Prompts/Equipment/ConceptArt/equipment_heavy_chest_t03_base_concept_sheet.txt</t>
  </si>
  <si>
    <t>Prompts/Equipment/ConceptArt/equipment_heavy_chest_t04_base_concept_sheet.txt</t>
  </si>
  <si>
    <t>Prompts/Equipment/ConceptArt/equipment_heavy_chest_t05_base_concept_sheet.txt</t>
  </si>
  <si>
    <t>Prompts/Equipment/ConceptArt/equipment_heavy_chest_t06_base_concept_sheet.txt</t>
  </si>
  <si>
    <t>Prompts/Equipment/ConceptArt/equipment_heavy_chest_t07_base_concept_sheet.txt</t>
  </si>
  <si>
    <t>Prompts/Equipment/ConceptArt/equipment_heavy_chest_t08_base_concept_sheet.txt</t>
  </si>
  <si>
    <t>Prompts/Equipment/ConceptArt/equipment_heavy_chest_t09_base_concept_sheet.txt</t>
  </si>
  <si>
    <t>Prompts/Equipment/ConceptArt/equipment_heavy_gloves_t01_base_concept_sheet.txt</t>
  </si>
  <si>
    <t>Prompts/Equipment/ConceptArt/equipment_heavy_gloves_t02_base_concept_sheet.txt</t>
  </si>
  <si>
    <t>Prompts/Equipment/ConceptArt/equipment_heavy_gloves_t03_base_concept_sheet.txt</t>
  </si>
  <si>
    <t>Prompts/Equipment/ConceptArt/equipment_heavy_gloves_t04_base_concept_sheet.txt</t>
  </si>
  <si>
    <t>Prompts/Equipment/ConceptArt/equipment_heavy_gloves_t05_base_concept_sheet.txt</t>
  </si>
  <si>
    <t>Prompts/Equipment/ConceptArt/equipment_heavy_gloves_t06_base_concept_sheet.txt</t>
  </si>
  <si>
    <t>Prompts/Equipment/ConceptArt/equipment_heavy_gloves_t07_base_concept_sheet.txt</t>
  </si>
  <si>
    <t>Prompts/Equipment/ConceptArt/equipment_heavy_gloves_t08_base_concept_sheet.txt</t>
  </si>
  <si>
    <t>Prompts/Equipment/ConceptArt/equipment_heavy_gloves_t09_base_concept_sheet.txt</t>
  </si>
  <si>
    <t>Prompts/Equipment/ConceptArt/equipment_heavy_helmet_t01_base_concept_sheet.txt</t>
  </si>
  <si>
    <t>Prompts/Equipment/ConceptArt/equipment_heavy_helmet_t02_base_concept_sheet.txt</t>
  </si>
  <si>
    <t>Prompts/Equipment/ConceptArt/equipment_heavy_helmet_t03_base_concept_sheet.txt</t>
  </si>
  <si>
    <t>Prompts/Equipment/ConceptArt/equipment_heavy_helmet_t04_base_concept_sheet.txt</t>
  </si>
  <si>
    <t>Prompts/Equipment/ConceptArt/equipment_heavy_helmet_t05_base_concept_sheet.txt</t>
  </si>
  <si>
    <t>Prompts/Equipment/ConceptArt/equipment_heavy_helmet_t06_base_concept_sheet.txt</t>
  </si>
  <si>
    <t>Prompts/Equipment/ConceptArt/equipment_heavy_helmet_t07_base_concept_sheet.txt</t>
  </si>
  <si>
    <t>Prompts/Equipment/ConceptArt/equipment_heavy_helmet_t08_base_concept_sheet.txt</t>
  </si>
  <si>
    <t>Prompts/Equipment/ConceptArt/equipment_heavy_helmet_t09_base_concept_sheet.txt</t>
  </si>
  <si>
    <t>Prompts/Equipment/ConceptArt/equipment_light_boots_t01_base_concept_sheet.txt</t>
  </si>
  <si>
    <t>Prompts/Equipment/ConceptArt/equipment_light_boots_t02_base_concept_sheet.txt</t>
  </si>
  <si>
    <t>Prompts/Equipment/ConceptArt/equipment_light_boots_t03_base_concept_sheet.txt</t>
  </si>
  <si>
    <t>Prompts/Equipment/ConceptArt/equipment_light_boots_t04_base_concept_sheet.txt</t>
  </si>
  <si>
    <t>Prompts/Equipment/ConceptArt/equipment_light_boots_t05_base_concept_sheet.txt</t>
  </si>
  <si>
    <t>Prompts/Equipment/ConceptArt/equipment_light_boots_t06_base_concept_sheet.txt</t>
  </si>
  <si>
    <t>Prompts/Equipment/ConceptArt/equipment_light_boots_t07_base_concept_sheet.txt</t>
  </si>
  <si>
    <t>Prompts/Equipment/ConceptArt/equipment_light_boots_t08_base_concept_sheet.txt</t>
  </si>
  <si>
    <t>Prompts/Equipment/ConceptArt/equipment_light_boots_t09_base_concept_sheet.txt</t>
  </si>
  <si>
    <t>Prompts/Equipment/ConceptArt/equipment_light_chest_t01_base_concept_sheet.txt</t>
  </si>
  <si>
    <t>Prompts/Equipment/ConceptArt/equipment_light_chest_t02_base_concept_sheet.txt</t>
  </si>
  <si>
    <t>Prompts/Equipment/ConceptArt/equipment_light_chest_t03_base_concept_sheet.txt</t>
  </si>
  <si>
    <t>Prompts/Equipment/ConceptArt/equipment_light_chest_t04_base_concept_sheet.txt</t>
  </si>
  <si>
    <t>Prompts/Equipment/ConceptArt/equipment_light_chest_t05_base_concept_sheet.txt</t>
  </si>
  <si>
    <t>Prompts/Equipment/ConceptArt/equipment_light_chest_t06_base_concept_sheet.txt</t>
  </si>
  <si>
    <t>Prompts/Equipment/ConceptArt/equipment_light_chest_t07_base_concept_sheet.txt</t>
  </si>
  <si>
    <t>Prompts/Equipment/ConceptArt/equipment_light_chest_t08_base_concept_sheet.txt</t>
  </si>
  <si>
    <t>Prompts/Equipment/ConceptArt/equipment_light_chest_t09_base_concept_sheet.txt</t>
  </si>
  <si>
    <t>Prompts/Equipment/ConceptArt/equipment_light_gloves_t01_base_concept_sheet.txt</t>
  </si>
  <si>
    <t>Prompts/Equipment/ConceptArt/equipment_light_gloves_t02_base_concept_sheet.txt</t>
  </si>
  <si>
    <t>Prompts/Equipment/ConceptArt/equipment_light_gloves_t03_base_concept_sheet.txt</t>
  </si>
  <si>
    <t>Prompts/Equipment/ConceptArt/equipment_light_gloves_t04_base_concept_sheet.txt</t>
  </si>
  <si>
    <t>Prompts/Equipment/ConceptArt/equipment_light_gloves_t05_base_concept_sheet.txt</t>
  </si>
  <si>
    <t>Prompts/Equipment/ConceptArt/equipment_light_gloves_t06_base_concept_sheet.txt</t>
  </si>
  <si>
    <t>Prompts/Equipment/ConceptArt/equipment_light_gloves_t07_base_concept_sheet.txt</t>
  </si>
  <si>
    <t>Prompts/Equipment/ConceptArt/equipment_light_gloves_t08_base_concept_sheet.txt</t>
  </si>
  <si>
    <t>Prompts/Equipment/ConceptArt/equipment_light_gloves_t09_base_concept_sheet.txt</t>
  </si>
  <si>
    <t>Prompts/Equipment/ConceptArt/equipment_light_hood_t01_base_concept_sheet.txt</t>
  </si>
  <si>
    <t>Prompts/Equipment/ConceptArt/equipment_light_hood_t02_base_concept_sheet.txt</t>
  </si>
  <si>
    <t>Prompts/Equipment/ConceptArt/equipment_light_hood_t03_base_concept_sheet.txt</t>
  </si>
  <si>
    <t>Prompts/Equipment/ConceptArt/equipment_light_hood_t04_base_concept_sheet.txt</t>
  </si>
  <si>
    <t>Prompts/Equipment/ConceptArt/equipment_light_hood_t05_base_concept_sheet.txt</t>
  </si>
  <si>
    <t>Prompts/Equipment/ConceptArt/equipment_light_hood_t06_base_concept_sheet.txt</t>
  </si>
  <si>
    <t>Prompts/Equipment/ConceptArt/equipment_light_hood_t07_base_concept_sheet.txt</t>
  </si>
  <si>
    <t>Prompts/Equipment/ConceptArt/equipment_light_hood_t08_base_concept_sheet.txt</t>
  </si>
  <si>
    <t>Prompts/Equipment/ConceptArt/equipment_light_hood_t09_base_concept_sheet.txt</t>
  </si>
  <si>
    <t>Prompts/Equipment/ConceptArt/equipment_longbow_t01_base_concept_sheet.txt</t>
  </si>
  <si>
    <t>Prompts/Equipment/ConceptArt/equipment_longbow_t02_base_concept_sheet.txt</t>
  </si>
  <si>
    <t>Prompts/Equipment/ConceptArt/equipment_longbow_t03_base_concept_sheet.txt</t>
  </si>
  <si>
    <t>Prompts/Equipment/ConceptArt/equipment_longbow_t04_base_concept_sheet.txt</t>
  </si>
  <si>
    <t>Prompts/Equipment/ConceptArt/equipment_longbow_t05_base_concept_sheet.txt</t>
  </si>
  <si>
    <t>Prompts/Equipment/ConceptArt/equipment_longbow_t06_base_concept_sheet.txt</t>
  </si>
  <si>
    <t>Prompts/Equipment/ConceptArt/equipment_longbow_t07_base_concept_sheet.txt</t>
  </si>
  <si>
    <t>Prompts/Equipment/ConceptArt/equipment_longbow_t08_base_concept_sheet.txt</t>
  </si>
  <si>
    <t>Prompts/Equipment/ConceptArt/equipment_longbow_t09_base_concept_sheet.txt</t>
  </si>
  <si>
    <t>Prompts/Equipment/ConceptArt/equipment_ring_t01_base_concept_sheet.txt</t>
  </si>
  <si>
    <t>Prompts/Equipment/ConceptArt/equipment_ring_t02_base_concept_sheet.txt</t>
  </si>
  <si>
    <t>Prompts/Equipment/ConceptArt/equipment_ring_t03_base_concept_sheet.txt</t>
  </si>
  <si>
    <t>Prompts/Equipment/ConceptArt/equipment_ring_t04_base_concept_sheet.txt</t>
  </si>
  <si>
    <t>Prompts/Equipment/ConceptArt/equipment_ring_t05_base_concept_sheet.txt</t>
  </si>
  <si>
    <t>Prompts/Equipment/ConceptArt/equipment_ring_t06_base_concept_sheet.txt</t>
  </si>
  <si>
    <t>Prompts/Equipment/ConceptArt/equipment_ring_t07_base_concept_sheet.txt</t>
  </si>
  <si>
    <t>Prompts/Equipment/ConceptArt/equipment_ring_t08_base_concept_sheet.txt</t>
  </si>
  <si>
    <t>Prompts/Equipment/ConceptArt/equipment_ring_t09_base_concept_sheet.txt</t>
  </si>
  <si>
    <t>Prompts/Equipment/ConceptArt/equipment_shield_t01_base_concept_sheet.txt</t>
  </si>
  <si>
    <t>Prompts/Equipment/ConceptArt/equipment_shield_t02_base_concept_sheet.txt</t>
  </si>
  <si>
    <t>Prompts/Equipment/ConceptArt/equipment_shield_t03_base_concept_sheet.txt</t>
  </si>
  <si>
    <t>Prompts/Equipment/ConceptArt/equipment_shield_t04_base_concept_sheet.txt</t>
  </si>
  <si>
    <t>Prompts/Equipment/ConceptArt/equipment_shield_t05_base_concept_sheet.txt</t>
  </si>
  <si>
    <t>Prompts/Equipment/ConceptArt/equipment_shield_t06_base_concept_sheet.txt</t>
  </si>
  <si>
    <t>Prompts/Equipment/ConceptArt/equipment_shield_t07_base_concept_sheet.txt</t>
  </si>
  <si>
    <t>Prompts/Equipment/ConceptArt/equipment_shield_t08_base_concept_sheet.txt</t>
  </si>
  <si>
    <t>Prompts/Equipment/ConceptArt/equipment_shield_t09_base_concept_sheet.txt</t>
  </si>
  <si>
    <t>Prompts/Equipment/ConceptArt/equipment_staff_t01_base_concept_sheet.txt</t>
  </si>
  <si>
    <t>Prompts/Equipment/ConceptArt/equipment_staff_t02_base_concept_sheet.txt</t>
  </si>
  <si>
    <t>Prompts/Equipment/ConceptArt/equipment_staff_t03_base_concept_sheet.txt</t>
  </si>
  <si>
    <t>Prompts/Equipment/ConceptArt/equipment_staff_t04_base_concept_sheet.txt</t>
  </si>
  <si>
    <t>Prompts/Equipment/ConceptArt/equipment_staff_t05_base_concept_sheet.txt</t>
  </si>
  <si>
    <t>Prompts/Equipment/ConceptArt/equipment_staff_t06_base_concept_sheet.txt</t>
  </si>
  <si>
    <t>Prompts/Equipment/ConceptArt/equipment_staff_t07_base_concept_sheet.txt</t>
  </si>
  <si>
    <t>Prompts/Equipment/ConceptArt/equipment_staff_t08_base_concept_sheet.txt</t>
  </si>
  <si>
    <t>Prompts/Equipment/ConceptArt/equipment_staff_t09_base_concept_sheet.txt</t>
  </si>
  <si>
    <t>Prompts/Equipment/ConceptArt/equipment_sword_1h_t01_base_concept_sheet.txt</t>
  </si>
  <si>
    <t>Prompts/Equipment/ConceptArt/equipment_sword_1h_t02_base_concept_sheet.txt</t>
  </si>
  <si>
    <t>Prompts/Equipment/ConceptArt/equipment_sword_1h_t03_base_concept_sheet.txt</t>
  </si>
  <si>
    <t>Prompts/Equipment/ConceptArt/equipment_sword_1h_t04_base_concept_sheet.txt</t>
  </si>
  <si>
    <t>Prompts/Equipment/ConceptArt/equipment_sword_1h_t05_base_concept_sheet.txt</t>
  </si>
  <si>
    <t>Prompts/Equipment/ConceptArt/equipment_sword_1h_t06_base_concept_sheet.txt</t>
  </si>
  <si>
    <t>Prompts/Equipment/ConceptArt/equipment_sword_1h_t07_base_concept_sheet.txt</t>
  </si>
  <si>
    <t>Prompts/Equipment/ConceptArt/equipment_sword_1h_t08_base_concept_sheet.txt</t>
  </si>
  <si>
    <t>Prompts/Equipment/ConceptArt/equipment_sword_1h_t09_base_concept_sheet.txt</t>
  </si>
  <si>
    <t>Prompts/Equipment/Meshy/BaseGeometry/equipment_amulet_t01_base_geometry.txt</t>
  </si>
  <si>
    <t>Prompts/Equipment/Meshy/BaseGeometry/equipment_amulet_t02_base_geometry.txt</t>
  </si>
  <si>
    <t>Prompts/Equipment/Meshy/BaseGeometry/equipment_amulet_t03_base_geometry.txt</t>
  </si>
  <si>
    <t>Prompts/Equipment/Meshy/BaseGeometry/equipment_amulet_t04_base_geometry.txt</t>
  </si>
  <si>
    <t>Prompts/Equipment/Meshy/BaseGeometry/equipment_amulet_t05_base_geometry.txt</t>
  </si>
  <si>
    <t>Prompts/Equipment/Meshy/BaseGeometry/equipment_amulet_t06_base_geometry.txt</t>
  </si>
  <si>
    <t>Prompts/Equipment/Meshy/BaseGeometry/equipment_amulet_t07_base_geometry.txt</t>
  </si>
  <si>
    <t>Prompts/Equipment/Meshy/BaseGeometry/equipment_amulet_t08_base_geometry.txt</t>
  </si>
  <si>
    <t>Prompts/Equipment/Meshy/BaseGeometry/equipment_amulet_t09_base_geometry.txt</t>
  </si>
  <si>
    <t>Prompts/Equipment/Meshy/BaseGeometry/equipment_cloth_boots_t01_base_geometry.txt</t>
  </si>
  <si>
    <t>Prompts/Equipment/Meshy/BaseGeometry/equipment_cloth_boots_t02_base_geometry.txt</t>
  </si>
  <si>
    <t>Prompts/Equipment/Meshy/BaseGeometry/equipment_cloth_boots_t03_base_geometry.txt</t>
  </si>
  <si>
    <t>Prompts/Equipment/Meshy/BaseGeometry/equipment_cloth_boots_t04_base_geometry.txt</t>
  </si>
  <si>
    <t>Prompts/Equipment/Meshy/BaseGeometry/equipment_cloth_boots_t05_base_geometry.txt</t>
  </si>
  <si>
    <t>Prompts/Equipment/Meshy/BaseGeometry/equipment_cloth_boots_t06_base_geometry.txt</t>
  </si>
  <si>
    <t>Prompts/Equipment/Meshy/BaseGeometry/equipment_cloth_boots_t07_base_geometry.txt</t>
  </si>
  <si>
    <t>Prompts/Equipment/Meshy/BaseGeometry/equipment_cloth_boots_t08_base_geometry.txt</t>
  </si>
  <si>
    <t>Prompts/Equipment/Meshy/BaseGeometry/equipment_cloth_boots_t09_base_geometry.txt</t>
  </si>
  <si>
    <t>Prompts/Equipment/Meshy/BaseGeometry/equipment_cloth_gloves_t01_base_geometry.txt</t>
  </si>
  <si>
    <t>Prompts/Equipment/Meshy/BaseGeometry/equipment_cloth_gloves_t02_base_geometry.txt</t>
  </si>
  <si>
    <t>Prompts/Equipment/Meshy/BaseGeometry/equipment_cloth_gloves_t03_base_geometry.txt</t>
  </si>
  <si>
    <t>Prompts/Equipment/Meshy/BaseGeometry/equipment_cloth_gloves_t04_base_geometry.txt</t>
  </si>
  <si>
    <t>Prompts/Equipment/Meshy/BaseGeometry/equipment_cloth_gloves_t05_base_geometry.txt</t>
  </si>
  <si>
    <t>Prompts/Equipment/Meshy/BaseGeometry/equipment_cloth_gloves_t06_base_geometry.txt</t>
  </si>
  <si>
    <t>Prompts/Equipment/Meshy/BaseGeometry/equipment_cloth_gloves_t07_base_geometry.txt</t>
  </si>
  <si>
    <t>Prompts/Equipment/Meshy/BaseGeometry/equipment_cloth_gloves_t08_base_geometry.txt</t>
  </si>
  <si>
    <t>Prompts/Equipment/Meshy/BaseGeometry/equipment_cloth_gloves_t09_base_geometry.txt</t>
  </si>
  <si>
    <t>Prompts/Equipment/Meshy/BaseGeometry/equipment_cloth_hood_t01_base_geometry.txt</t>
  </si>
  <si>
    <t>Prompts/Equipment/Meshy/BaseGeometry/equipment_cloth_hood_t02_base_geometry.txt</t>
  </si>
  <si>
    <t>Prompts/Equipment/Meshy/BaseGeometry/equipment_cloth_hood_t03_base_geometry.txt</t>
  </si>
  <si>
    <t>Prompts/Equipment/Meshy/BaseGeometry/equipment_cloth_hood_t04_base_geometry.txt</t>
  </si>
  <si>
    <t>Prompts/Equipment/Meshy/BaseGeometry/equipment_cloth_hood_t05_base_geometry.txt</t>
  </si>
  <si>
    <t>Prompts/Equipment/Meshy/BaseGeometry/equipment_cloth_hood_t06_base_geometry.txt</t>
  </si>
  <si>
    <t>Prompts/Equipment/Meshy/BaseGeometry/equipment_cloth_hood_t07_base_geometry.txt</t>
  </si>
  <si>
    <t>Prompts/Equipment/Meshy/BaseGeometry/equipment_cloth_hood_t08_base_geometry.txt</t>
  </si>
  <si>
    <t>Prompts/Equipment/Meshy/BaseGeometry/equipment_cloth_hood_t09_base_geometry.txt</t>
  </si>
  <si>
    <t>Prompts/Equipment/Meshy/BaseGeometry/equipment_cloth_robe_t01_base_geometry.txt</t>
  </si>
  <si>
    <t>Prompts/Equipment/Meshy/BaseGeometry/equipment_cloth_robe_t02_base_geometry.txt</t>
  </si>
  <si>
    <t>Prompts/Equipment/Meshy/BaseGeometry/equipment_cloth_robe_t03_base_geometry.txt</t>
  </si>
  <si>
    <t>Prompts/Equipment/Meshy/BaseGeometry/equipment_cloth_robe_t04_base_geometry.txt</t>
  </si>
  <si>
    <t>Prompts/Equipment/Meshy/BaseGeometry/equipment_cloth_robe_t05_base_geometry.txt</t>
  </si>
  <si>
    <t>Prompts/Equipment/Meshy/BaseGeometry/equipment_cloth_robe_t06_base_geometry.txt</t>
  </si>
  <si>
    <t>Prompts/Equipment/Meshy/BaseGeometry/equipment_cloth_robe_t07_base_geometry.txt</t>
  </si>
  <si>
    <t>Prompts/Equipment/Meshy/BaseGeometry/equipment_cloth_robe_t08_base_geometry.txt</t>
  </si>
  <si>
    <t>Prompts/Equipment/Meshy/BaseGeometry/equipment_cloth_robe_t09_base_geometry.txt</t>
  </si>
  <si>
    <t>Prompts/Equipment/Meshy/BaseGeometry/equipment_heavy_boots_t01_base_geometry.txt</t>
  </si>
  <si>
    <t>Prompts/Equipment/Meshy/BaseGeometry/equipment_heavy_boots_t02_base_geometry.txt</t>
  </si>
  <si>
    <t>Prompts/Equipment/Meshy/BaseGeometry/equipment_heavy_boots_t03_base_geometry.txt</t>
  </si>
  <si>
    <t>Prompts/Equipment/Meshy/BaseGeometry/equipment_heavy_boots_t04_base_geometry.txt</t>
  </si>
  <si>
    <t>Prompts/Equipment/Meshy/BaseGeometry/equipment_heavy_boots_t05_base_geometry.txt</t>
  </si>
  <si>
    <t>Prompts/Equipment/Meshy/BaseGeometry/equipment_heavy_boots_t06_base_geometry.txt</t>
  </si>
  <si>
    <t>Prompts/Equipment/Meshy/BaseGeometry/equipment_heavy_boots_t07_base_geometry.txt</t>
  </si>
  <si>
    <t>Prompts/Equipment/Meshy/BaseGeometry/equipment_heavy_boots_t08_base_geometry.txt</t>
  </si>
  <si>
    <t>Prompts/Equipment/Meshy/BaseGeometry/equipment_heavy_boots_t09_base_geometry.txt</t>
  </si>
  <si>
    <t>Prompts/Equipment/Meshy/BaseGeometry/equipment_heavy_chest_t01_base_geometry.txt</t>
  </si>
  <si>
    <t>Prompts/Equipment/Meshy/BaseGeometry/equipment_heavy_chest_t02_base_geometry.txt</t>
  </si>
  <si>
    <t>Prompts/Equipment/Meshy/BaseGeometry/equipment_heavy_chest_t03_base_geometry.txt</t>
  </si>
  <si>
    <t>Prompts/Equipment/Meshy/BaseGeometry/equipment_heavy_chest_t04_base_geometry.txt</t>
  </si>
  <si>
    <t>Prompts/Equipment/Meshy/BaseGeometry/equipment_heavy_chest_t05_base_geometry.txt</t>
  </si>
  <si>
    <t>Prompts/Equipment/Meshy/BaseGeometry/equipment_heavy_chest_t06_base_geometry.txt</t>
  </si>
  <si>
    <t>Prompts/Equipment/Meshy/BaseGeometry/equipment_heavy_chest_t07_base_geometry.txt</t>
  </si>
  <si>
    <t>Prompts/Equipment/Meshy/BaseGeometry/equipment_heavy_chest_t08_base_geometry.txt</t>
  </si>
  <si>
    <t>Prompts/Equipment/Meshy/BaseGeometry/equipment_heavy_chest_t09_base_geometry.txt</t>
  </si>
  <si>
    <t>Prompts/Equipment/Meshy/BaseGeometry/equipment_heavy_gloves_t01_base_geometry.txt</t>
  </si>
  <si>
    <t>Prompts/Equipment/Meshy/BaseGeometry/equipment_heavy_gloves_t02_base_geometry.txt</t>
  </si>
  <si>
    <t>Prompts/Equipment/Meshy/BaseGeometry/equipment_heavy_gloves_t03_base_geometry.txt</t>
  </si>
  <si>
    <t>Prompts/Equipment/Meshy/BaseGeometry/equipment_heavy_gloves_t04_base_geometry.txt</t>
  </si>
  <si>
    <t>Prompts/Equipment/Meshy/BaseGeometry/equipment_heavy_gloves_t05_base_geometry.txt</t>
  </si>
  <si>
    <t>Prompts/Equipment/Meshy/BaseGeometry/equipment_heavy_gloves_t06_base_geometry.txt</t>
  </si>
  <si>
    <t>Prompts/Equipment/Meshy/BaseGeometry/equipment_heavy_gloves_t07_base_geometry.txt</t>
  </si>
  <si>
    <t>Prompts/Equipment/Meshy/BaseGeometry/equipment_heavy_gloves_t08_base_geometry.txt</t>
  </si>
  <si>
    <t>Prompts/Equipment/Meshy/BaseGeometry/equipment_heavy_gloves_t09_base_geometry.txt</t>
  </si>
  <si>
    <t>Prompts/Equipment/Meshy/BaseGeometry/equipment_heavy_helmet_t01_base_geometry.txt</t>
  </si>
  <si>
    <t>Prompts/Equipment/Meshy/BaseGeometry/equipment_heavy_helmet_t02_base_geometry.txt</t>
  </si>
  <si>
    <t>Prompts/Equipment/Meshy/BaseGeometry/equipment_heavy_helmet_t03_base_geometry.txt</t>
  </si>
  <si>
    <t>Prompts/Equipment/Meshy/BaseGeometry/equipment_heavy_helmet_t04_base_geometry.txt</t>
  </si>
  <si>
    <t>Prompts/Equipment/Meshy/BaseGeometry/equipment_heavy_helmet_t05_base_geometry.txt</t>
  </si>
  <si>
    <t>Prompts/Equipment/Meshy/BaseGeometry/equipment_heavy_helmet_t06_base_geometry.txt</t>
  </si>
  <si>
    <t>Prompts/Equipment/Meshy/BaseGeometry/equipment_heavy_helmet_t07_base_geometry.txt</t>
  </si>
  <si>
    <t>Prompts/Equipment/Meshy/BaseGeometry/equipment_heavy_helmet_t08_base_geometry.txt</t>
  </si>
  <si>
    <t>Prompts/Equipment/Meshy/BaseGeometry/equipment_heavy_helmet_t09_base_geometry.txt</t>
  </si>
  <si>
    <t>Prompts/Equipment/Meshy/BaseGeometry/equipment_light_boots_t01_base_geometry.txt</t>
  </si>
  <si>
    <t>Prompts/Equipment/Meshy/BaseGeometry/equipment_light_boots_t02_base_geometry.txt</t>
  </si>
  <si>
    <t>Prompts/Equipment/Meshy/BaseGeometry/equipment_light_boots_t03_base_geometry.txt</t>
  </si>
  <si>
    <t>Prompts/Equipment/Meshy/BaseGeometry/equipment_light_boots_t04_base_geometry.txt</t>
  </si>
  <si>
    <t>Prompts/Equipment/Meshy/BaseGeometry/equipment_light_boots_t05_base_geometry.txt</t>
  </si>
  <si>
    <t>Prompts/Equipment/Meshy/BaseGeometry/equipment_light_boots_t06_base_geometry.txt</t>
  </si>
  <si>
    <t>Prompts/Equipment/Meshy/BaseGeometry/equipment_light_boots_t07_base_geometry.txt</t>
  </si>
  <si>
    <t>Prompts/Equipment/Meshy/BaseGeometry/equipment_light_boots_t08_base_geometry.txt</t>
  </si>
  <si>
    <t>Prompts/Equipment/Meshy/BaseGeometry/equipment_light_boots_t09_base_geometry.txt</t>
  </si>
  <si>
    <t>Prompts/Equipment/Meshy/BaseGeometry/equipment_light_chest_t01_base_geometry.txt</t>
  </si>
  <si>
    <t>Prompts/Equipment/Meshy/BaseGeometry/equipment_light_chest_t02_base_geometry.txt</t>
  </si>
  <si>
    <t>Prompts/Equipment/Meshy/BaseGeometry/equipment_light_chest_t03_base_geometry.txt</t>
  </si>
  <si>
    <t>Prompts/Equipment/Meshy/BaseGeometry/equipment_light_chest_t04_base_geometry.txt</t>
  </si>
  <si>
    <t>Prompts/Equipment/Meshy/BaseGeometry/equipment_light_chest_t05_base_geometry.txt</t>
  </si>
  <si>
    <t>Prompts/Equipment/Meshy/BaseGeometry/equipment_light_chest_t06_base_geometry.txt</t>
  </si>
  <si>
    <t>Prompts/Equipment/Meshy/BaseGeometry/equipment_light_chest_t07_base_geometry.txt</t>
  </si>
  <si>
    <t>Prompts/Equipment/Meshy/BaseGeometry/equipment_light_chest_t08_base_geometry.txt</t>
  </si>
  <si>
    <t>Prompts/Equipment/Meshy/BaseGeometry/equipment_light_chest_t09_base_geometry.txt</t>
  </si>
  <si>
    <t>Prompts/Equipment/Meshy/BaseGeometry/equipment_light_gloves_t01_base_geometry.txt</t>
  </si>
  <si>
    <t>Prompts/Equipment/Meshy/BaseGeometry/equipment_light_gloves_t02_base_geometry.txt</t>
  </si>
  <si>
    <t>Prompts/Equipment/Meshy/BaseGeometry/equipment_light_gloves_t03_base_geometry.txt</t>
  </si>
  <si>
    <t>Prompts/Equipment/Meshy/BaseGeometry/equipment_light_gloves_t04_base_geometry.txt</t>
  </si>
  <si>
    <t>Prompts/Equipment/Meshy/BaseGeometry/equipment_light_gloves_t05_base_geometry.txt</t>
  </si>
  <si>
    <t>Prompts/Equipment/Meshy/BaseGeometry/equipment_light_gloves_t06_base_geometry.txt</t>
  </si>
  <si>
    <t>Prompts/Equipment/Meshy/BaseGeometry/equipment_light_gloves_t07_base_geometry.txt</t>
  </si>
  <si>
    <t>Prompts/Equipment/Meshy/BaseGeometry/equipment_light_gloves_t08_base_geometry.txt</t>
  </si>
  <si>
    <t>Prompts/Equipment/Meshy/BaseGeometry/equipment_light_gloves_t09_base_geometry.txt</t>
  </si>
  <si>
    <t>Prompts/Equipment/Meshy/BaseGeometry/equipment_light_hood_t01_base_geometry.txt</t>
  </si>
  <si>
    <t>Prompts/Equipment/Meshy/BaseGeometry/equipment_light_hood_t02_base_geometry.txt</t>
  </si>
  <si>
    <t>Prompts/Equipment/Meshy/BaseGeometry/equipment_light_hood_t03_base_geometry.txt</t>
  </si>
  <si>
    <t>Prompts/Equipment/Meshy/BaseGeometry/equipment_light_hood_t04_base_geometry.txt</t>
  </si>
  <si>
    <t>Prompts/Equipment/Meshy/BaseGeometry/equipment_light_hood_t05_base_geometry.txt</t>
  </si>
  <si>
    <t>Prompts/Equipment/Meshy/BaseGeometry/equipment_light_hood_t06_base_geometry.txt</t>
  </si>
  <si>
    <t>Prompts/Equipment/Meshy/BaseGeometry/equipment_light_hood_t07_base_geometry.txt</t>
  </si>
  <si>
    <t>Prompts/Equipment/Meshy/BaseGeometry/equipment_light_hood_t08_base_geometry.txt</t>
  </si>
  <si>
    <t>Prompts/Equipment/Meshy/BaseGeometry/equipment_light_hood_t09_base_geometry.txt</t>
  </si>
  <si>
    <t>Prompts/Equipment/Meshy/BaseGeometry/equipment_longbow_t01_base_geometry.txt</t>
  </si>
  <si>
    <t>Prompts/Equipment/Meshy/BaseGeometry/equipment_longbow_t02_base_geometry.txt</t>
  </si>
  <si>
    <t>Prompts/Equipment/Meshy/BaseGeometry/equipment_longbow_t03_base_geometry.txt</t>
  </si>
  <si>
    <t>Prompts/Equipment/Meshy/BaseGeometry/equipment_longbow_t04_base_geometry.txt</t>
  </si>
  <si>
    <t>Prompts/Equipment/Meshy/BaseGeometry/equipment_longbow_t05_base_geometry.txt</t>
  </si>
  <si>
    <t>Prompts/Equipment/Meshy/BaseGeometry/equipment_longbow_t06_base_geometry.txt</t>
  </si>
  <si>
    <t>Prompts/Equipment/Meshy/BaseGeometry/equipment_longbow_t07_base_geometry.txt</t>
  </si>
  <si>
    <t>Prompts/Equipment/Meshy/BaseGeometry/equipment_longbow_t08_base_geometry.txt</t>
  </si>
  <si>
    <t>Prompts/Equipment/Meshy/BaseGeometry/equipment_longbow_t09_base_geometry.txt</t>
  </si>
  <si>
    <t>Prompts/Equipment/Meshy/BaseGeometry/equipment_ring_t01_base_geometry.txt</t>
  </si>
  <si>
    <t>Prompts/Equipment/Meshy/BaseGeometry/equipment_ring_t02_base_geometry.txt</t>
  </si>
  <si>
    <t>Prompts/Equipment/Meshy/BaseGeometry/equipment_ring_t03_base_geometry.txt</t>
  </si>
  <si>
    <t>Prompts/Equipment/Meshy/BaseGeometry/equipment_ring_t04_base_geometry.txt</t>
  </si>
  <si>
    <t>Prompts/Equipment/Meshy/BaseGeometry/equipment_ring_t05_base_geometry.txt</t>
  </si>
  <si>
    <t>Prompts/Equipment/Meshy/BaseGeometry/equipment_ring_t06_base_geometry.txt</t>
  </si>
  <si>
    <t>Prompts/Equipment/Meshy/BaseGeometry/equipment_ring_t07_base_geometry.txt</t>
  </si>
  <si>
    <t>Prompts/Equipment/Meshy/BaseGeometry/equipment_ring_t08_base_geometry.txt</t>
  </si>
  <si>
    <t>Prompts/Equipment/Meshy/BaseGeometry/equipment_ring_t09_base_geometry.txt</t>
  </si>
  <si>
    <t>Prompts/Equipment/Meshy/BaseGeometry/equipment_shield_t01_base_geometry.txt</t>
  </si>
  <si>
    <t>Prompts/Equipment/Meshy/BaseGeometry/equipment_shield_t02_base_geometry.txt</t>
  </si>
  <si>
    <t>Prompts/Equipment/Meshy/BaseGeometry/equipment_shield_t03_base_geometry.txt</t>
  </si>
  <si>
    <t>Prompts/Equipment/Meshy/BaseGeometry/equipment_shield_t04_base_geometry.txt</t>
  </si>
  <si>
    <t>Prompts/Equipment/Meshy/BaseGeometry/equipment_shield_t05_base_geometry.txt</t>
  </si>
  <si>
    <t>Prompts/Equipment/Meshy/BaseGeometry/equipment_shield_t06_base_geometry.txt</t>
  </si>
  <si>
    <t>Prompts/Equipment/Meshy/BaseGeometry/equipment_shield_t07_base_geometry.txt</t>
  </si>
  <si>
    <t>Prompts/Equipment/Meshy/BaseGeometry/equipment_shield_t08_base_geometry.txt</t>
  </si>
  <si>
    <t>Prompts/Equipment/Meshy/BaseGeometry/equipment_shield_t09_base_geometry.txt</t>
  </si>
  <si>
    <t>Prompts/Equipment/Meshy/BaseGeometry/equipment_staff_t01_base_geometry.txt</t>
  </si>
  <si>
    <t>Prompts/Equipment/Meshy/BaseGeometry/equipment_staff_t02_base_geometry.txt</t>
  </si>
  <si>
    <t>Prompts/Equipment/Meshy/BaseGeometry/equipment_staff_t03_base_geometry.txt</t>
  </si>
  <si>
    <t>Prompts/Equipment/Meshy/BaseGeometry/equipment_staff_t04_base_geometry.txt</t>
  </si>
  <si>
    <t>Prompts/Equipment/Meshy/BaseGeometry/equipment_staff_t05_base_geometry.txt</t>
  </si>
  <si>
    <t>Prompts/Equipment/Meshy/BaseGeometry/equipment_staff_t06_base_geometry.txt</t>
  </si>
  <si>
    <t>Prompts/Equipment/Meshy/BaseGeometry/equipment_staff_t07_base_geometry.txt</t>
  </si>
  <si>
    <t>Prompts/Equipment/Meshy/BaseGeometry/equipment_staff_t08_base_geometry.txt</t>
  </si>
  <si>
    <t>Prompts/Equipment/Meshy/BaseGeometry/equipment_staff_t09_base_geometry.txt</t>
  </si>
  <si>
    <t>Prompts/Equipment/Meshy/BaseGeometry/equipment_sword_1h_t01_base_geometry.txt</t>
  </si>
  <si>
    <t>Prompts/Equipment/Meshy/BaseGeometry/equipment_sword_1h_t02_base_geometry.txt</t>
  </si>
  <si>
    <t>Prompts/Equipment/Meshy/BaseGeometry/equipment_sword_1h_t03_base_geometry.txt</t>
  </si>
  <si>
    <t>Prompts/Equipment/Meshy/BaseGeometry/equipment_sword_1h_t04_base_geometry.txt</t>
  </si>
  <si>
    <t>Prompts/Equipment/Meshy/BaseGeometry/equipment_sword_1h_t05_base_geometry.txt</t>
  </si>
  <si>
    <t>Prompts/Equipment/Meshy/BaseGeometry/equipment_sword_1h_t06_base_geometry.txt</t>
  </si>
  <si>
    <t>Prompts/Equipment/Meshy/BaseGeometry/equipment_sword_1h_t07_base_geometry.txt</t>
  </si>
  <si>
    <t>Prompts/Equipment/Meshy/BaseGeometry/equipment_sword_1h_t08_base_geometry.txt</t>
  </si>
  <si>
    <t>Prompts/Equipment/Meshy/BaseGeometry/equipment_sword_1h_t09_base_geometry.txt</t>
  </si>
  <si>
    <t>Prompts/Equipment/TextureVariants/equipment_amulet_t01_base_rarity_variants.txt</t>
  </si>
  <si>
    <t>Prompts/Equipment/TextureVariants/equipment_amulet_t02_base_rarity_variants.txt</t>
  </si>
  <si>
    <t>Prompts/Equipment/TextureVariants/equipment_amulet_t03_base_rarity_variants.txt</t>
  </si>
  <si>
    <t>Prompts/Equipment/TextureVariants/equipment_amulet_t04_base_rarity_variants.txt</t>
  </si>
  <si>
    <t>Prompts/Equipment/TextureVariants/equipment_amulet_t05_base_rarity_variants.txt</t>
  </si>
  <si>
    <t>Prompts/Equipment/TextureVariants/equipment_amulet_t06_base_rarity_variants.txt</t>
  </si>
  <si>
    <t>Prompts/Equipment/TextureVariants/equipment_amulet_t07_base_rarity_variants.txt</t>
  </si>
  <si>
    <t>Prompts/Equipment/TextureVariants/equipment_amulet_t08_base_rarity_variants.txt</t>
  </si>
  <si>
    <t>Prompts/Equipment/TextureVariants/equipment_amulet_t09_base_rarity_variants.txt</t>
  </si>
  <si>
    <t>Prompts/Equipment/TextureVariants/equipment_cloth_boots_t01_base_rarity_variants.txt</t>
  </si>
  <si>
    <t>Prompts/Equipment/TextureVariants/equipment_cloth_boots_t02_base_rarity_variants.txt</t>
  </si>
  <si>
    <t>Prompts/Equipment/TextureVariants/equipment_cloth_boots_t03_base_rarity_variants.txt</t>
  </si>
  <si>
    <t>Prompts/Equipment/TextureVariants/equipment_cloth_boots_t04_base_rarity_variants.txt</t>
  </si>
  <si>
    <t>Prompts/Equipment/TextureVariants/equipment_cloth_boots_t05_base_rarity_variants.txt</t>
  </si>
  <si>
    <t>Prompts/Equipment/TextureVariants/equipment_cloth_boots_t06_base_rarity_variants.txt</t>
  </si>
  <si>
    <t>Prompts/Equipment/TextureVariants/equipment_cloth_boots_t07_base_rarity_variants.txt</t>
  </si>
  <si>
    <t>Prompts/Equipment/TextureVariants/equipment_cloth_boots_t08_base_rarity_variants.txt</t>
  </si>
  <si>
    <t>Prompts/Equipment/TextureVariants/equipment_cloth_boots_t09_base_rarity_variants.txt</t>
  </si>
  <si>
    <t>Prompts/Equipment/TextureVariants/equipment_cloth_gloves_t01_base_rarity_variants.txt</t>
  </si>
  <si>
    <t>Prompts/Equipment/TextureVariants/equipment_cloth_gloves_t02_base_rarity_variants.txt</t>
  </si>
  <si>
    <t>Prompts/Equipment/TextureVariants/equipment_cloth_gloves_t03_base_rarity_variants.txt</t>
  </si>
  <si>
    <t>Prompts/Equipment/TextureVariants/equipment_cloth_gloves_t04_base_rarity_variants.txt</t>
  </si>
  <si>
    <t>Prompts/Equipment/TextureVariants/equipment_cloth_gloves_t05_base_rarity_variants.txt</t>
  </si>
  <si>
    <t>Prompts/Equipment/TextureVariants/equipment_cloth_gloves_t06_base_rarity_variants.txt</t>
  </si>
  <si>
    <t>Prompts/Equipment/TextureVariants/equipment_cloth_gloves_t07_base_rarity_variants.txt</t>
  </si>
  <si>
    <t>Prompts/Equipment/TextureVariants/equipment_cloth_gloves_t08_base_rarity_variants.txt</t>
  </si>
  <si>
    <t>Prompts/Equipment/TextureVariants/equipment_cloth_gloves_t09_base_rarity_variants.txt</t>
  </si>
  <si>
    <t>Prompts/Equipment/TextureVariants/equipment_cloth_hood_t01_base_rarity_variants.txt</t>
  </si>
  <si>
    <t>Prompts/Equipment/TextureVariants/equipment_cloth_hood_t02_base_rarity_variants.txt</t>
  </si>
  <si>
    <t>Prompts/Equipment/TextureVariants/equipment_cloth_hood_t03_base_rarity_variants.txt</t>
  </si>
  <si>
    <t>Prompts/Equipment/TextureVariants/equipment_cloth_hood_t04_base_rarity_variants.txt</t>
  </si>
  <si>
    <t>Prompts/Equipment/TextureVariants/equipment_cloth_hood_t05_base_rarity_variants.txt</t>
  </si>
  <si>
    <t>Prompts/Equipment/TextureVariants/equipment_cloth_hood_t06_base_rarity_variants.txt</t>
  </si>
  <si>
    <t>Prompts/Equipment/TextureVariants/equipment_cloth_hood_t07_base_rarity_variants.txt</t>
  </si>
  <si>
    <t>Prompts/Equipment/TextureVariants/equipment_cloth_hood_t08_base_rarity_variants.txt</t>
  </si>
  <si>
    <t>Prompts/Equipment/TextureVariants/equipment_cloth_hood_t09_base_rarity_variants.txt</t>
  </si>
  <si>
    <t>Prompts/Equipment/TextureVariants/equipment_cloth_robe_t01_base_rarity_variants.txt</t>
  </si>
  <si>
    <t>Prompts/Equipment/TextureVariants/equipment_cloth_robe_t02_base_rarity_variants.txt</t>
  </si>
  <si>
    <t>Prompts/Equipment/TextureVariants/equipment_cloth_robe_t03_base_rarity_variants.txt</t>
  </si>
  <si>
    <t>Prompts/Equipment/TextureVariants/equipment_cloth_robe_t04_base_rarity_variants.txt</t>
  </si>
  <si>
    <t>Prompts/Equipment/TextureVariants/equipment_cloth_robe_t05_base_rarity_variants.txt</t>
  </si>
  <si>
    <t>Prompts/Equipment/TextureVariants/equipment_cloth_robe_t06_base_rarity_variants.txt</t>
  </si>
  <si>
    <t>Prompts/Equipment/TextureVariants/equipment_cloth_robe_t07_base_rarity_variants.txt</t>
  </si>
  <si>
    <t>Prompts/Equipment/TextureVariants/equipment_cloth_robe_t08_base_rarity_variants.txt</t>
  </si>
  <si>
    <t>Prompts/Equipment/TextureVariants/equipment_cloth_robe_t09_base_rarity_variants.txt</t>
  </si>
  <si>
    <t>Prompts/Equipment/TextureVariants/equipment_heavy_boots_t01_base_rarity_variants.txt</t>
  </si>
  <si>
    <t>Prompts/Equipment/TextureVariants/equipment_heavy_boots_t02_base_rarity_variants.txt</t>
  </si>
  <si>
    <t>Prompts/Equipment/TextureVariants/equipment_heavy_boots_t03_base_rarity_variants.txt</t>
  </si>
  <si>
    <t>Prompts/Equipment/TextureVariants/equipment_heavy_boots_t04_base_rarity_variants.txt</t>
  </si>
  <si>
    <t>Prompts/Equipment/TextureVariants/equipment_heavy_boots_t05_base_rarity_variants.txt</t>
  </si>
  <si>
    <t>Prompts/Equipment/TextureVariants/equipment_heavy_boots_t06_base_rarity_variants.txt</t>
  </si>
  <si>
    <t>Prompts/Equipment/TextureVariants/equipment_heavy_boots_t07_base_rarity_variants.txt</t>
  </si>
  <si>
    <t>Prompts/Equipment/TextureVariants/equipment_heavy_boots_t08_base_rarity_variants.txt</t>
  </si>
  <si>
    <t>Prompts/Equipment/TextureVariants/equipment_heavy_boots_t09_base_rarity_variants.txt</t>
  </si>
  <si>
    <t>Prompts/Equipment/TextureVariants/equipment_heavy_chest_t01_base_rarity_variants.txt</t>
  </si>
  <si>
    <t>Prompts/Equipment/TextureVariants/equipment_heavy_chest_t02_base_rarity_variants.txt</t>
  </si>
  <si>
    <t>Prompts/Equipment/TextureVariants/equipment_heavy_chest_t03_base_rarity_variants.txt</t>
  </si>
  <si>
    <t>Prompts/Equipment/TextureVariants/equipment_heavy_chest_t04_base_rarity_variants.txt</t>
  </si>
  <si>
    <t>Prompts/Equipment/TextureVariants/equipment_heavy_chest_t05_base_rarity_variants.txt</t>
  </si>
  <si>
    <t>Prompts/Equipment/TextureVariants/equipment_heavy_chest_t06_base_rarity_variants.txt</t>
  </si>
  <si>
    <t>Prompts/Equipment/TextureVariants/equipment_heavy_chest_t07_base_rarity_variants.txt</t>
  </si>
  <si>
    <t>Prompts/Equipment/TextureVariants/equipment_heavy_chest_t08_base_rarity_variants.txt</t>
  </si>
  <si>
    <t>Prompts/Equipment/TextureVariants/equipment_heavy_chest_t09_base_rarity_variants.txt</t>
  </si>
  <si>
    <t>Prompts/Equipment/TextureVariants/equipment_heavy_gloves_t01_base_rarity_variants.txt</t>
  </si>
  <si>
    <t>Prompts/Equipment/TextureVariants/equipment_heavy_gloves_t02_base_rarity_variants.txt</t>
  </si>
  <si>
    <t>Prompts/Equipment/TextureVariants/equipment_heavy_gloves_t03_base_rarity_variants.txt</t>
  </si>
  <si>
    <t>Prompts/Equipment/TextureVariants/equipment_heavy_gloves_t04_base_rarity_variants.txt</t>
  </si>
  <si>
    <t>Prompts/Equipment/TextureVariants/equipment_heavy_gloves_t05_base_rarity_variants.txt</t>
  </si>
  <si>
    <t>Prompts/Equipment/TextureVariants/equipment_heavy_gloves_t06_base_rarity_variants.txt</t>
  </si>
  <si>
    <t>Prompts/Equipment/TextureVariants/equipment_heavy_gloves_t07_base_rarity_variants.txt</t>
  </si>
  <si>
    <t>Prompts/Equipment/TextureVariants/equipment_heavy_gloves_t08_base_rarity_variants.txt</t>
  </si>
  <si>
    <t>Prompts/Equipment/TextureVariants/equipment_heavy_gloves_t09_base_rarity_variants.txt</t>
  </si>
  <si>
    <t>Prompts/Equipment/TextureVariants/equipment_heavy_helmet_t01_base_rarity_variants.txt</t>
  </si>
  <si>
    <t>Prompts/Equipment/TextureVariants/equipment_heavy_helmet_t02_base_rarity_variants.txt</t>
  </si>
  <si>
    <t>Prompts/Equipment/TextureVariants/equipment_heavy_helmet_t03_base_rarity_variants.txt</t>
  </si>
  <si>
    <t>Prompts/Equipment/TextureVariants/equipment_heavy_helmet_t04_base_rarity_variants.txt</t>
  </si>
  <si>
    <t>Prompts/Equipment/TextureVariants/equipment_heavy_helmet_t05_base_rarity_variants.txt</t>
  </si>
  <si>
    <t>Prompts/Equipment/TextureVariants/equipment_heavy_helmet_t06_base_rarity_variants.txt</t>
  </si>
  <si>
    <t>Prompts/Equipment/TextureVariants/equipment_heavy_helmet_t07_base_rarity_variants.txt</t>
  </si>
  <si>
    <t>Prompts/Equipment/TextureVariants/equipment_heavy_helmet_t08_base_rarity_variants.txt</t>
  </si>
  <si>
    <t>Prompts/Equipment/TextureVariants/equipment_heavy_helmet_t09_base_rarity_variants.txt</t>
  </si>
  <si>
    <t>Prompts/Equipment/TextureVariants/equipment_light_boots_t01_base_rarity_variants.txt</t>
  </si>
  <si>
    <t>Prompts/Equipment/TextureVariants/equipment_light_boots_t02_base_rarity_variants.txt</t>
  </si>
  <si>
    <t>Prompts/Equipment/TextureVariants/equipment_light_boots_t03_base_rarity_variants.txt</t>
  </si>
  <si>
    <t>Prompts/Equipment/TextureVariants/equipment_light_boots_t04_base_rarity_variants.txt</t>
  </si>
  <si>
    <t>Prompts/Equipment/TextureVariants/equipment_light_boots_t05_base_rarity_variants.txt</t>
  </si>
  <si>
    <t>Prompts/Equipment/TextureVariants/equipment_light_boots_t06_base_rarity_variants.txt</t>
  </si>
  <si>
    <t>Prompts/Equipment/TextureVariants/equipment_light_boots_t07_base_rarity_variants.txt</t>
  </si>
  <si>
    <t>Prompts/Equipment/TextureVariants/equipment_light_boots_t08_base_rarity_variants.txt</t>
  </si>
  <si>
    <t>Prompts/Equipment/TextureVariants/equipment_light_boots_t09_base_rarity_variants.txt</t>
  </si>
  <si>
    <t>Prompts/Equipment/TextureVariants/equipment_light_chest_t01_base_rarity_variants.txt</t>
  </si>
  <si>
    <t>Prompts/Equipment/TextureVariants/equipment_light_chest_t02_base_rarity_variants.txt</t>
  </si>
  <si>
    <t>Prompts/Equipment/TextureVariants/equipment_light_chest_t03_base_rarity_variants.txt</t>
  </si>
  <si>
    <t>Prompts/Equipment/TextureVariants/equipment_light_chest_t04_base_rarity_variants.txt</t>
  </si>
  <si>
    <t>Prompts/Equipment/TextureVariants/equipment_light_chest_t05_base_rarity_variants.txt</t>
  </si>
  <si>
    <t>Prompts/Equipment/TextureVariants/equipment_light_chest_t06_base_rarity_variants.txt</t>
  </si>
  <si>
    <t>Prompts/Equipment/TextureVariants/equipment_light_chest_t07_base_rarity_variants.txt</t>
  </si>
  <si>
    <t>Prompts/Equipment/TextureVariants/equipment_light_chest_t08_base_rarity_variants.txt</t>
  </si>
  <si>
    <t>Prompts/Equipment/TextureVariants/equipment_light_chest_t09_base_rarity_variants.txt</t>
  </si>
  <si>
    <t>Prompts/Equipment/TextureVariants/equipment_light_gloves_t01_base_rarity_variants.txt</t>
  </si>
  <si>
    <t>Prompts/Equipment/TextureVariants/equipment_light_gloves_t02_base_rarity_variants.txt</t>
  </si>
  <si>
    <t>Prompts/Equipment/TextureVariants/equipment_light_gloves_t03_base_rarity_variants.txt</t>
  </si>
  <si>
    <t>Prompts/Equipment/TextureVariants/equipment_light_gloves_t04_base_rarity_variants.txt</t>
  </si>
  <si>
    <t>Prompts/Equipment/TextureVariants/equipment_light_gloves_t05_base_rarity_variants.txt</t>
  </si>
  <si>
    <t>Prompts/Equipment/TextureVariants/equipment_light_gloves_t06_base_rarity_variants.txt</t>
  </si>
  <si>
    <t>Prompts/Equipment/TextureVariants/equipment_light_gloves_t07_base_rarity_variants.txt</t>
  </si>
  <si>
    <t>Prompts/Equipment/TextureVariants/equipment_light_gloves_t08_base_rarity_variants.txt</t>
  </si>
  <si>
    <t>Prompts/Equipment/TextureVariants/equipment_light_gloves_t09_base_rarity_variants.txt</t>
  </si>
  <si>
    <t>Prompts/Equipment/TextureVariants/equipment_light_hood_t01_base_rarity_variants.txt</t>
  </si>
  <si>
    <t>Prompts/Equipment/TextureVariants/equipment_light_hood_t02_base_rarity_variants.txt</t>
  </si>
  <si>
    <t>Prompts/Equipment/TextureVariants/equipment_light_hood_t03_base_rarity_variants.txt</t>
  </si>
  <si>
    <t>Prompts/Equipment/TextureVariants/equipment_light_hood_t04_base_rarity_variants.txt</t>
  </si>
  <si>
    <t>Prompts/Equipment/TextureVariants/equipment_light_hood_t05_base_rarity_variants.txt</t>
  </si>
  <si>
    <t>Prompts/Equipment/TextureVariants/equipment_light_hood_t06_base_rarity_variants.txt</t>
  </si>
  <si>
    <t>Prompts/Equipment/TextureVariants/equipment_light_hood_t07_base_rarity_variants.txt</t>
  </si>
  <si>
    <t>Prompts/Equipment/TextureVariants/equipment_light_hood_t08_base_rarity_variants.txt</t>
  </si>
  <si>
    <t>Prompts/Equipment/TextureVariants/equipment_light_hood_t09_base_rarity_variants.txt</t>
  </si>
  <si>
    <t>Prompts/Equipment/TextureVariants/equipment_longbow_t01_base_rarity_variants.txt</t>
  </si>
  <si>
    <t>Prompts/Equipment/TextureVariants/equipment_longbow_t02_base_rarity_variants.txt</t>
  </si>
  <si>
    <t>Prompts/Equipment/TextureVariants/equipment_longbow_t03_base_rarity_variants.txt</t>
  </si>
  <si>
    <t>Prompts/Equipment/TextureVariants/equipment_longbow_t04_base_rarity_variants.txt</t>
  </si>
  <si>
    <t>Prompts/Equipment/TextureVariants/equipment_longbow_t05_base_rarity_variants.txt</t>
  </si>
  <si>
    <t>Prompts/Equipment/TextureVariants/equipment_longbow_t06_base_rarity_variants.txt</t>
  </si>
  <si>
    <t>Prompts/Equipment/TextureVariants/equipment_longbow_t07_base_rarity_variants.txt</t>
  </si>
  <si>
    <t>Prompts/Equipment/TextureVariants/equipment_longbow_t08_base_rarity_variants.txt</t>
  </si>
  <si>
    <t>Prompts/Equipment/TextureVariants/equipment_longbow_t09_base_rarity_variants.txt</t>
  </si>
  <si>
    <t>Prompts/Equipment/TextureVariants/equipment_ring_t01_base_rarity_variants.txt</t>
  </si>
  <si>
    <t>Prompts/Equipment/TextureVariants/equipment_ring_t02_base_rarity_variants.txt</t>
  </si>
  <si>
    <t>Prompts/Equipment/TextureVariants/equipment_ring_t03_base_rarity_variants.txt</t>
  </si>
  <si>
    <t>Prompts/Equipment/TextureVariants/equipment_ring_t04_base_rarity_variants.txt</t>
  </si>
  <si>
    <t>Prompts/Equipment/TextureVariants/equipment_ring_t05_base_rarity_variants.txt</t>
  </si>
  <si>
    <t>Prompts/Equipment/TextureVariants/equipment_ring_t06_base_rarity_variants.txt</t>
  </si>
  <si>
    <t>Prompts/Equipment/TextureVariants/equipment_ring_t07_base_rarity_variants.txt</t>
  </si>
  <si>
    <t>Prompts/Equipment/TextureVariants/equipment_ring_t08_base_rarity_variants.txt</t>
  </si>
  <si>
    <t>Prompts/Equipment/TextureVariants/equipment_ring_t09_base_rarity_variants.txt</t>
  </si>
  <si>
    <t>Prompts/Equipment/TextureVariants/equipment_shield_t01_base_rarity_variants.txt</t>
  </si>
  <si>
    <t>Prompts/Equipment/TextureVariants/equipment_shield_t02_base_rarity_variants.txt</t>
  </si>
  <si>
    <t>Prompts/Equipment/TextureVariants/equipment_shield_t03_base_rarity_variants.txt</t>
  </si>
  <si>
    <t>Prompts/Equipment/TextureVariants/equipment_shield_t04_base_rarity_variants.txt</t>
  </si>
  <si>
    <t>Prompts/Equipment/TextureVariants/equipment_shield_t05_base_rarity_variants.txt</t>
  </si>
  <si>
    <t>Prompts/Equipment/TextureVariants/equipment_shield_t06_base_rarity_variants.txt</t>
  </si>
  <si>
    <t>Prompts/Equipment/TextureVariants/equipment_shield_t07_base_rarity_variants.txt</t>
  </si>
  <si>
    <t>Prompts/Equipment/TextureVariants/equipment_shield_t08_base_rarity_variants.txt</t>
  </si>
  <si>
    <t>Prompts/Equipment/TextureVariants/equipment_shield_t09_base_rarity_variants.txt</t>
  </si>
  <si>
    <t>Prompts/Equipment/TextureVariants/equipment_staff_t01_base_rarity_variants.txt</t>
  </si>
  <si>
    <t>Prompts/Equipment/TextureVariants/equipment_staff_t02_base_rarity_variants.txt</t>
  </si>
  <si>
    <t>Prompts/Equipment/TextureVariants/equipment_staff_t03_base_rarity_variants.txt</t>
  </si>
  <si>
    <t>Prompts/Equipment/TextureVariants/equipment_staff_t04_base_rarity_variants.txt</t>
  </si>
  <si>
    <t>Prompts/Equipment/TextureVariants/equipment_staff_t05_base_rarity_variants.txt</t>
  </si>
  <si>
    <t>Prompts/Equipment/TextureVariants/equipment_staff_t06_base_rarity_variants.txt</t>
  </si>
  <si>
    <t>Prompts/Equipment/TextureVariants/equipment_staff_t07_base_rarity_variants.txt</t>
  </si>
  <si>
    <t>Prompts/Equipment/TextureVariants/equipment_staff_t08_base_rarity_variants.txt</t>
  </si>
  <si>
    <t>Prompts/Equipment/TextureVariants/equipment_staff_t09_base_rarity_variants.txt</t>
  </si>
  <si>
    <t>Prompts/Equipment/TextureVariants/equipment_sword_1h_t01_base_rarity_variants.txt</t>
  </si>
  <si>
    <t>Prompts/Equipment/TextureVariants/equipment_sword_1h_t02_base_rarity_variants.txt</t>
  </si>
  <si>
    <t>Prompts/Equipment/TextureVariants/equipment_sword_1h_t03_base_rarity_variants.txt</t>
  </si>
  <si>
    <t>Prompts/Equipment/TextureVariants/equipment_sword_1h_t04_base_rarity_variants.txt</t>
  </si>
  <si>
    <t>Prompts/Equipment/TextureVariants/equipment_sword_1h_t05_base_rarity_variants.txt</t>
  </si>
  <si>
    <t>Prompts/Equipment/TextureVariants/equipment_sword_1h_t06_base_rarity_variants.txt</t>
  </si>
  <si>
    <t>Prompts/Equipment/TextureVariants/equipment_sword_1h_t07_base_rarity_variants.txt</t>
  </si>
  <si>
    <t>Prompts/Equipment/TextureVariants/equipment_sword_1h_t08_base_rarity_variants.txt</t>
  </si>
  <si>
    <t>Prompts/Equipment/TextureVariants/equipment_sword_1h_t09_base_rarity_variants.txt</t>
  </si>
  <si>
    <t>Prompts/EnvironmentStations/BiomeOverview/biome_goblin_mine_kit_overview.txt</t>
  </si>
  <si>
    <t>Prompts/EnvironmentStations/BiomeOverview/biome_infernal_fortress_kit_overview.txt</t>
  </si>
  <si>
    <t>Prompts/EnvironmentStations/BiomeOverview/biome_undead_crypt_kit_overview.txt</t>
  </si>
  <si>
    <t>Prompts/EnvironmentStations/ConceptArt/env_goblin_mine_camp_gate_001_concept_sheet.txt</t>
  </si>
  <si>
    <t>Prompts/EnvironmentStations/ConceptArt/env_goblin_mine_goblin_barrel_001_concept_sheet.txt</t>
  </si>
  <si>
    <t>Prompts/EnvironmentStations/ConceptArt/env_goblin_mine_goblin_crate_001_concept_sheet.txt</t>
  </si>
  <si>
    <t>Prompts/EnvironmentStations/ConceptArt/env_goblin_mine_goblin_king_throne_001_concept_sheet.txt</t>
  </si>
  <si>
    <t>Prompts/EnvironmentStations/ConceptArt/env_goblin_mine_goblin_tent_001_concept_sheet.txt</t>
  </si>
  <si>
    <t>Prompts/EnvironmentStations/ConceptArt/env_goblin_mine_ground_dirt_tile_001_concept_sheet.txt</t>
  </si>
  <si>
    <t>Prompts/EnvironmentStations/ConceptArt/env_goblin_mine_ground_stone_tile_001_concept_sheet.txt</t>
  </si>
  <si>
    <t>Prompts/EnvironmentStations/ConceptArt/env_goblin_mine_mine_arch_001_concept_sheet.txt</t>
  </si>
  <si>
    <t>Prompts/EnvironmentStations/ConceptArt/env_goblin_mine_mine_cart_001_concept_sheet.txt</t>
  </si>
  <si>
    <t>Prompts/EnvironmentStations/ConceptArt/env_goblin_mine_mine_track_curve_001_concept_sheet.txt</t>
  </si>
  <si>
    <t>Prompts/EnvironmentStations/ConceptArt/env_goblin_mine_mine_track_straight_001_concept_sheet.txt</t>
  </si>
  <si>
    <t>Prompts/EnvironmentStations/ConceptArt/env_goblin_mine_mine_wall_corner_001_concept_sheet.txt</t>
  </si>
  <si>
    <t>Prompts/EnvironmentStations/ConceptArt/env_goblin_mine_mine_wall_straight_001_concept_sheet.txt</t>
  </si>
  <si>
    <t>Prompts/EnvironmentStations/ConceptArt/env_goblin_mine_ore_pile_001_concept_sheet.txt</t>
  </si>
  <si>
    <t>Prompts/EnvironmentStations/ConceptArt/env_goblin_mine_rope_bridge_001_concept_sheet.txt</t>
  </si>
  <si>
    <t>Prompts/EnvironmentStations/ConceptArt/env_goblin_mine_scrap_barricade_001_concept_sheet.txt</t>
  </si>
  <si>
    <t>Prompts/EnvironmentStations/ConceptArt/env_goblin_mine_wall_torch_001_concept_sheet.txt</t>
  </si>
  <si>
    <t>Prompts/EnvironmentStations/ConceptArt/env_goblin_mine_watchtower_001_concept_sheet.txt</t>
  </si>
  <si>
    <t>Prompts/EnvironmentStations/ConceptArt/env_goblin_mine_wood_cage_001_concept_sheet.txt</t>
  </si>
  <si>
    <t>Prompts/EnvironmentStations/ConceptArt/env_goblin_mine_wood_support_beam_001_concept_sheet.txt</t>
  </si>
  <si>
    <t>Prompts/EnvironmentStations/ConceptArt/env_infernal_fortress_basalt_floor_tile_001_concept_sheet.txt</t>
  </si>
  <si>
    <t>Prompts/EnvironmentStations/ConceptArt/env_infernal_fortress_demon_lord_throne_001_concept_sheet.txt</t>
  </si>
  <si>
    <t>Prompts/EnvironmentStations/ConceptArt/env_infernal_fortress_demon_weapon_rack_001_concept_sheet.txt</t>
  </si>
  <si>
    <t>Prompts/EnvironmentStations/ConceptArt/env_infernal_fortress_demonic_pillar_001_concept_sheet.txt</t>
  </si>
  <si>
    <t>Prompts/EnvironmentStations/ConceptArt/env_infernal_fortress_infernal_arch_001_concept_sheet.txt</t>
  </si>
  <si>
    <t>Prompts/EnvironmentStations/ConceptArt/env_infernal_fortress_infernal_arena_ring_001_concept_sheet.txt</t>
  </si>
  <si>
    <t>Prompts/EnvironmentStations/ConceptArt/env_infernal_fortress_infernal_brazier_001_concept_sheet.txt</t>
  </si>
  <si>
    <t>Prompts/EnvironmentStations/ConceptArt/env_infernal_fortress_infernal_bridge_001_concept_sheet.txt</t>
  </si>
  <si>
    <t>Prompts/EnvironmentStations/ConceptArt/env_infernal_fortress_infernal_cage_001_concept_sheet.txt</t>
  </si>
  <si>
    <t>Prompts/EnvironmentStations/ConceptArt/env_infernal_fortress_infernal_chain_001_concept_sheet.txt</t>
  </si>
  <si>
    <t>Prompts/EnvironmentStations/ConceptArt/env_infernal_fortress_infernal_crystal_001_concept_sheet.txt</t>
  </si>
  <si>
    <t>Prompts/EnvironmentStations/ConceptArt/env_infernal_fortress_infernal_gate_001_concept_sheet.txt</t>
  </si>
  <si>
    <t>Prompts/EnvironmentStations/ConceptArt/env_infernal_fortress_infernal_platform_001_concept_sheet.txt</t>
  </si>
  <si>
    <t>Prompts/EnvironmentStations/ConceptArt/env_infernal_fortress_infernal_portal_001_concept_sheet.txt</t>
  </si>
  <si>
    <t>Prompts/EnvironmentStations/ConceptArt/env_infernal_fortress_infernal_wall_corner_001_concept_sheet.txt</t>
  </si>
  <si>
    <t>Prompts/EnvironmentStations/ConceptArt/env_infernal_fortress_infernal_wall_straight_001_concept_sheet.txt</t>
  </si>
  <si>
    <t>Prompts/EnvironmentStations/ConceptArt/env_infernal_fortress_lava_channel_bend_001_concept_sheet.txt</t>
  </si>
  <si>
    <t>Prompts/EnvironmentStations/ConceptArt/env_infernal_fortress_lava_channel_straight_001_concept_sheet.txt</t>
  </si>
  <si>
    <t>Prompts/EnvironmentStations/ConceptArt/env_infernal_fortress_lava_fall_001_concept_sheet.txt</t>
  </si>
  <si>
    <t>Prompts/EnvironmentStations/ConceptArt/env_infernal_fortress_spike_barricade_001_concept_sheet.txt</t>
  </si>
  <si>
    <t>Prompts/EnvironmentStations/ConceptArt/env_undead_crypt_bone_pile_001_concept_sheet.txt</t>
  </si>
  <si>
    <t>Prompts/EnvironmentStations/ConceptArt/env_undead_crypt_broken_statue_001_concept_sheet.txt</t>
  </si>
  <si>
    <t>Prompts/EnvironmentStations/ConceptArt/env_undead_crypt_coffin_001_concept_sheet.txt</t>
  </si>
  <si>
    <t>Prompts/EnvironmentStations/ConceptArt/env_undead_crypt_crypt_arch_001_concept_sheet.txt</t>
  </si>
  <si>
    <t>Prompts/EnvironmentStations/ConceptArt/env_undead_crypt_crypt_column_001_concept_sheet.txt</t>
  </si>
  <si>
    <t>Prompts/EnvironmentStations/ConceptArt/env_undead_crypt_crypt_door_001_concept_sheet.txt</t>
  </si>
  <si>
    <t>Prompts/EnvironmentStations/ConceptArt/env_undead_crypt_crypt_floor_tile_001_concept_sheet.txt</t>
  </si>
  <si>
    <t>Prompts/EnvironmentStations/ConceptArt/env_undead_crypt_crypt_iron_gate_001_concept_sheet.txt</t>
  </si>
  <si>
    <t>Prompts/EnvironmentStations/ConceptArt/env_undead_crypt_crypt_wall_corner_001_concept_sheet.txt</t>
  </si>
  <si>
    <t>Prompts/EnvironmentStations/ConceptArt/env_undead_crypt_crypt_wall_straight_001_concept_sheet.txt</t>
  </si>
  <si>
    <t>Prompts/EnvironmentStations/ConceptArt/env_undead_crypt_grave_marker_001_concept_sheet.txt</t>
  </si>
  <si>
    <t>Prompts/EnvironmentStations/ConceptArt/env_undead_crypt_hanging_chain_001_concept_sheet.txt</t>
  </si>
  <si>
    <t>Prompts/EnvironmentStations/ConceptArt/env_undead_crypt_lich_throne_001_concept_sheet.txt</t>
  </si>
  <si>
    <t>Prompts/EnvironmentStations/ConceptArt/env_undead_crypt_necromantic_crystal_001_concept_sheet.txt</t>
  </si>
  <si>
    <t>Prompts/EnvironmentStations/ConceptArt/env_undead_crypt_necromantic_portal_001_concept_sheet.txt</t>
  </si>
  <si>
    <t>Prompts/EnvironmentStations/ConceptArt/env_undead_crypt_ossuary_001_concept_sheet.txt</t>
  </si>
  <si>
    <t>Prompts/EnvironmentStations/ConceptArt/env_undead_crypt_ritual_altar_001_concept_sheet.txt</t>
  </si>
  <si>
    <t>Prompts/EnvironmentStations/ConceptArt/env_undead_crypt_sarcophagus_001_concept_sheet.txt</t>
  </si>
  <si>
    <t>Prompts/EnvironmentStations/ConceptArt/env_undead_crypt_spectral_brazier_001_concept_sheet.txt</t>
  </si>
  <si>
    <t>Prompts/EnvironmentStations/ConceptArt/env_undead_crypt_spectral_candle_001_concept_sheet.txt</t>
  </si>
  <si>
    <t>Prompts/EnvironmentStations/ConceptArt/station_alchemist_t01_001_concept_sheet.txt</t>
  </si>
  <si>
    <t>Prompts/EnvironmentStations/ConceptArt/station_alchemist_t03_001_concept_sheet.txt</t>
  </si>
  <si>
    <t>Prompts/EnvironmentStations/ConceptArt/station_alchemist_t05_001_concept_sheet.txt</t>
  </si>
  <si>
    <t>Prompts/EnvironmentStations/ConceptArt/station_alchemist_t07_001_concept_sheet.txt</t>
  </si>
  <si>
    <t>Prompts/EnvironmentStations/ConceptArt/station_alchemist_t09_001_concept_sheet.txt</t>
  </si>
  <si>
    <t>Prompts/EnvironmentStations/ConceptArt/station_blacksmith_t01_001_concept_sheet.txt</t>
  </si>
  <si>
    <t>Prompts/EnvironmentStations/ConceptArt/station_blacksmith_t03_001_concept_sheet.txt</t>
  </si>
  <si>
    <t>Prompts/EnvironmentStations/ConceptArt/station_blacksmith_t05_001_concept_sheet.txt</t>
  </si>
  <si>
    <t>Prompts/EnvironmentStations/ConceptArt/station_blacksmith_t07_001_concept_sheet.txt</t>
  </si>
  <si>
    <t>Prompts/EnvironmentStations/ConceptArt/station_blacksmith_t09_001_concept_sheet.txt</t>
  </si>
  <si>
    <t>Prompts/EnvironmentStations/ConceptArt/station_enchanter_t01_001_concept_sheet.txt</t>
  </si>
  <si>
    <t>Prompts/EnvironmentStations/ConceptArt/station_enchanter_t03_001_concept_sheet.txt</t>
  </si>
  <si>
    <t>Prompts/EnvironmentStations/ConceptArt/station_enchanter_t05_001_concept_sheet.txt</t>
  </si>
  <si>
    <t>Prompts/EnvironmentStations/ConceptArt/station_enchanter_t07_001_concept_sheet.txt</t>
  </si>
  <si>
    <t>Prompts/EnvironmentStations/ConceptArt/station_enchanter_t09_001_concept_sheet.txt</t>
  </si>
  <si>
    <t>Prompts/EnvironmentStations/ConceptArt/station_gatherer_t01_001_concept_sheet.txt</t>
  </si>
  <si>
    <t>Prompts/EnvironmentStations/ConceptArt/station_gatherer_t03_001_concept_sheet.txt</t>
  </si>
  <si>
    <t>Prompts/EnvironmentStations/ConceptArt/station_gatherer_t05_001_concept_sheet.txt</t>
  </si>
  <si>
    <t>Prompts/EnvironmentStations/ConceptArt/station_gatherer_t07_001_concept_sheet.txt</t>
  </si>
  <si>
    <t>Prompts/EnvironmentStations/ConceptArt/station_gatherer_t09_001_concept_sheet.txt</t>
  </si>
  <si>
    <t>Prompts/EnvironmentStations/ConceptArt/station_tailor_t01_001_concept_sheet.txt</t>
  </si>
  <si>
    <t>Prompts/EnvironmentStations/ConceptArt/station_tailor_t03_001_concept_sheet.txt</t>
  </si>
  <si>
    <t>Prompts/EnvironmentStations/ConceptArt/station_tailor_t05_001_concept_sheet.txt</t>
  </si>
  <si>
    <t>Prompts/EnvironmentStations/ConceptArt/station_tailor_t07_001_concept_sheet.txt</t>
  </si>
  <si>
    <t>Prompts/EnvironmentStations/ConceptArt/station_tailor_t09_001_concept_sheet.txt</t>
  </si>
  <si>
    <t>Prompts/EnvironmentStations/Meshy/env_goblin_mine_camp_gate_001_geometry.txt</t>
  </si>
  <si>
    <t>Prompts/EnvironmentStations/Meshy/env_goblin_mine_goblin_barrel_001_geometry.txt</t>
  </si>
  <si>
    <t>Prompts/EnvironmentStations/Meshy/env_goblin_mine_goblin_crate_001_geometry.txt</t>
  </si>
  <si>
    <t>Prompts/EnvironmentStations/Meshy/env_goblin_mine_goblin_king_throne_001_geometry.txt</t>
  </si>
  <si>
    <t>Prompts/EnvironmentStations/Meshy/env_goblin_mine_goblin_tent_001_geometry.txt</t>
  </si>
  <si>
    <t>Prompts/EnvironmentStations/Meshy/env_goblin_mine_ground_dirt_tile_001_geometry.txt</t>
  </si>
  <si>
    <t>Prompts/EnvironmentStations/Meshy/env_goblin_mine_ground_stone_tile_001_geometry.txt</t>
  </si>
  <si>
    <t>Prompts/EnvironmentStations/Meshy/env_goblin_mine_mine_arch_001_geometry.txt</t>
  </si>
  <si>
    <t>Prompts/EnvironmentStations/Meshy/env_goblin_mine_mine_cart_001_geometry.txt</t>
  </si>
  <si>
    <t>Prompts/EnvironmentStations/Meshy/env_goblin_mine_mine_track_curve_001_geometry.txt</t>
  </si>
  <si>
    <t>Prompts/EnvironmentStations/Meshy/env_goblin_mine_mine_track_straight_001_geometry.txt</t>
  </si>
  <si>
    <t>Prompts/EnvironmentStations/Meshy/env_goblin_mine_mine_wall_corner_001_geometry.txt</t>
  </si>
  <si>
    <t>Prompts/EnvironmentStations/Meshy/env_goblin_mine_mine_wall_straight_001_geometry.txt</t>
  </si>
  <si>
    <t>Prompts/EnvironmentStations/Meshy/env_goblin_mine_ore_pile_001_geometry.txt</t>
  </si>
  <si>
    <t>Prompts/EnvironmentStations/Meshy/env_goblin_mine_rope_bridge_001_geometry.txt</t>
  </si>
  <si>
    <t>Prompts/EnvironmentStations/Meshy/env_goblin_mine_scrap_barricade_001_geometry.txt</t>
  </si>
  <si>
    <t>Prompts/EnvironmentStations/Meshy/env_goblin_mine_wall_torch_001_geometry.txt</t>
  </si>
  <si>
    <t>Prompts/EnvironmentStations/Meshy/env_goblin_mine_watchtower_001_geometry.txt</t>
  </si>
  <si>
    <t>Prompts/EnvironmentStations/Meshy/env_goblin_mine_wood_cage_001_geometry.txt</t>
  </si>
  <si>
    <t>Prompts/EnvironmentStations/Meshy/env_goblin_mine_wood_support_beam_001_geometry.txt</t>
  </si>
  <si>
    <t>Prompts/EnvironmentStations/Meshy/env_infernal_fortress_basalt_floor_tile_001_geometry.txt</t>
  </si>
  <si>
    <t>Prompts/EnvironmentStations/Meshy/env_infernal_fortress_demon_lord_throne_001_geometry.txt</t>
  </si>
  <si>
    <t>Prompts/EnvironmentStations/Meshy/env_infernal_fortress_demon_weapon_rack_001_geometry.txt</t>
  </si>
  <si>
    <t>Prompts/EnvironmentStations/Meshy/env_infernal_fortress_demonic_pillar_001_geometry.txt</t>
  </si>
  <si>
    <t>Prompts/EnvironmentStations/Meshy/env_infernal_fortress_infernal_arch_001_geometry.txt</t>
  </si>
  <si>
    <t>Prompts/EnvironmentStations/Meshy/env_infernal_fortress_infernal_arena_ring_001_geometry.txt</t>
  </si>
  <si>
    <t>Prompts/EnvironmentStations/Meshy/env_infernal_fortress_infernal_brazier_001_geometry.txt</t>
  </si>
  <si>
    <t>Prompts/EnvironmentStations/Meshy/env_infernal_fortress_infernal_bridge_001_geometry.txt</t>
  </si>
  <si>
    <t>Prompts/EnvironmentStations/Meshy/env_infernal_fortress_infernal_cage_001_geometry.txt</t>
  </si>
  <si>
    <t>Prompts/EnvironmentStations/Meshy/env_infernal_fortress_infernal_chain_001_geometry.txt</t>
  </si>
  <si>
    <t>Prompts/EnvironmentStations/Meshy/env_infernal_fortress_infernal_crystal_001_geometry.txt</t>
  </si>
  <si>
    <t>Prompts/EnvironmentStations/Meshy/env_infernal_fortress_infernal_gate_001_geometry.txt</t>
  </si>
  <si>
    <t>Prompts/EnvironmentStations/Meshy/env_infernal_fortress_infernal_platform_001_geometry.txt</t>
  </si>
  <si>
    <t>Prompts/EnvironmentStations/Meshy/env_infernal_fortress_infernal_portal_001_geometry.txt</t>
  </si>
  <si>
    <t>Prompts/EnvironmentStations/Meshy/env_infernal_fortress_infernal_wall_corner_001_geometry.txt</t>
  </si>
  <si>
    <t>Prompts/EnvironmentStations/Meshy/env_infernal_fortress_infernal_wall_straight_001_geometry.txt</t>
  </si>
  <si>
    <t>Prompts/EnvironmentStations/Meshy/env_infernal_fortress_lava_channel_bend_001_geometry.txt</t>
  </si>
  <si>
    <t>Prompts/EnvironmentStations/Meshy/env_infernal_fortress_lava_channel_straight_001_geometry.txt</t>
  </si>
  <si>
    <t>Prompts/EnvironmentStations/Meshy/env_infernal_fortress_lava_fall_001_geometry.txt</t>
  </si>
  <si>
    <t>Prompts/EnvironmentStations/Meshy/env_infernal_fortress_spike_barricade_001_geometry.txt</t>
  </si>
  <si>
    <t>Prompts/EnvironmentStations/Meshy/env_undead_crypt_bone_pile_001_geometry.txt</t>
  </si>
  <si>
    <t>Prompts/EnvironmentStations/Meshy/env_undead_crypt_broken_statue_001_geometry.txt</t>
  </si>
  <si>
    <t>Prompts/EnvironmentStations/Meshy/env_undead_crypt_coffin_001_geometry.txt</t>
  </si>
  <si>
    <t>Prompts/EnvironmentStations/Meshy/env_undead_crypt_crypt_arch_001_geometry.txt</t>
  </si>
  <si>
    <t>Prompts/EnvironmentStations/Meshy/env_undead_crypt_crypt_column_001_geometry.txt</t>
  </si>
  <si>
    <t>Prompts/EnvironmentStations/Meshy/env_undead_crypt_crypt_door_001_geometry.txt</t>
  </si>
  <si>
    <t>Prompts/EnvironmentStations/Meshy/env_undead_crypt_crypt_floor_tile_001_geometry.txt</t>
  </si>
  <si>
    <t>Prompts/EnvironmentStations/Meshy/env_undead_crypt_crypt_iron_gate_001_geometry.txt</t>
  </si>
  <si>
    <t>Prompts/EnvironmentStations/Meshy/env_undead_crypt_crypt_wall_corner_001_geometry.txt</t>
  </si>
  <si>
    <t>Prompts/EnvironmentStations/Meshy/env_undead_crypt_crypt_wall_straight_001_geometry.txt</t>
  </si>
  <si>
    <t>Prompts/EnvironmentStations/Meshy/env_undead_crypt_grave_marker_001_geometry.txt</t>
  </si>
  <si>
    <t>Prompts/EnvironmentStations/Meshy/env_undead_crypt_hanging_chain_001_geometry.txt</t>
  </si>
  <si>
    <t>Prompts/EnvironmentStations/Meshy/env_undead_crypt_lich_throne_001_geometry.txt</t>
  </si>
  <si>
    <t>Prompts/EnvironmentStations/Meshy/env_undead_crypt_necromantic_crystal_001_geometry.txt</t>
  </si>
  <si>
    <t>Prompts/EnvironmentStations/Meshy/env_undead_crypt_necromantic_portal_001_geometry.txt</t>
  </si>
  <si>
    <t>Prompts/EnvironmentStations/Meshy/env_undead_crypt_ossuary_001_geometry.txt</t>
  </si>
  <si>
    <t>Prompts/EnvironmentStations/Meshy/env_undead_crypt_ritual_altar_001_geometry.txt</t>
  </si>
  <si>
    <t>Prompts/EnvironmentStations/Meshy/env_undead_crypt_sarcophagus_001_geometry.txt</t>
  </si>
  <si>
    <t>Prompts/EnvironmentStations/Meshy/env_undead_crypt_spectral_brazier_001_geometry.txt</t>
  </si>
  <si>
    <t>Prompts/EnvironmentStations/Meshy/env_undead_crypt_spectral_candle_001_geometry.txt</t>
  </si>
  <si>
    <t>Prompts/EnvironmentStations/Meshy/station_alchemist_t01_001_geometry.txt</t>
  </si>
  <si>
    <t>Prompts/EnvironmentStations/Meshy/station_alchemist_t03_001_geometry.txt</t>
  </si>
  <si>
    <t>Prompts/EnvironmentStations/Meshy/station_alchemist_t05_001_geometry.txt</t>
  </si>
  <si>
    <t>Prompts/EnvironmentStations/Meshy/station_alchemist_t07_001_geometry.txt</t>
  </si>
  <si>
    <t>Prompts/EnvironmentStations/Meshy/station_alchemist_t09_001_geometry.txt</t>
  </si>
  <si>
    <t>Prompts/EnvironmentStations/Meshy/station_blacksmith_t01_001_geometry.txt</t>
  </si>
  <si>
    <t>Prompts/EnvironmentStations/Meshy/station_blacksmith_t03_001_geometry.txt</t>
  </si>
  <si>
    <t>Prompts/EnvironmentStations/Meshy/station_blacksmith_t05_001_geometry.txt</t>
  </si>
  <si>
    <t>Prompts/EnvironmentStations/Meshy/station_blacksmith_t07_001_geometry.txt</t>
  </si>
  <si>
    <t>Prompts/EnvironmentStations/Meshy/station_blacksmith_t09_001_geometry.txt</t>
  </si>
  <si>
    <t>Prompts/EnvironmentStations/Meshy/station_enchanter_t01_001_geometry.txt</t>
  </si>
  <si>
    <t>Prompts/EnvironmentStations/Meshy/station_enchanter_t03_001_geometry.txt</t>
  </si>
  <si>
    <t>Prompts/EnvironmentStations/Meshy/station_enchanter_t05_001_geometry.txt</t>
  </si>
  <si>
    <t>Prompts/EnvironmentStations/Meshy/station_enchanter_t07_001_geometry.txt</t>
  </si>
  <si>
    <t>Prompts/EnvironmentStations/Meshy/station_enchanter_t09_001_geometry.txt</t>
  </si>
  <si>
    <t>Prompts/EnvironmentStations/Meshy/station_gatherer_t01_001_geometry.txt</t>
  </si>
  <si>
    <t>Prompts/EnvironmentStations/Meshy/station_gatherer_t03_001_geometry.txt</t>
  </si>
  <si>
    <t>Prompts/EnvironmentStations/Meshy/station_gatherer_t05_001_geometry.txt</t>
  </si>
  <si>
    <t>Prompts/EnvironmentStations/Meshy/station_gatherer_t07_001_geometry.txt</t>
  </si>
  <si>
    <t>Prompts/EnvironmentStations/Meshy/station_gatherer_t09_001_geometry.txt</t>
  </si>
  <si>
    <t>Prompts/EnvironmentStations/Meshy/station_tailor_t01_001_geometry.txt</t>
  </si>
  <si>
    <t>Prompts/EnvironmentStations/Meshy/station_tailor_t03_001_geometry.txt</t>
  </si>
  <si>
    <t>Prompts/EnvironmentStations/Meshy/station_tailor_t05_001_geometry.txt</t>
  </si>
  <si>
    <t>Prompts/EnvironmentStations/Meshy/station_tailor_t07_001_geometry.txt</t>
  </si>
  <si>
    <t>Prompts/EnvironmentStations/Meshy/station_tailor_t09_001_geometry.txt</t>
  </si>
  <si>
    <t>Prompts/EnvironmentStations/StationEvolution/station_alchemist_t01_t09_evolution.txt</t>
  </si>
  <si>
    <t>Prompts/EnvironmentStations/StationEvolution/station_blacksmith_t01_t09_evolution.txt</t>
  </si>
  <si>
    <t>Prompts/EnvironmentStations/StationEvolution/station_enchanter_t01_t09_evolution.txt</t>
  </si>
  <si>
    <t>Prompts/EnvironmentStations/StationEvolution/station_gatherer_t01_t09_evolution.txt</t>
  </si>
  <si>
    <t>Prompts/EnvironmentStations/StationEvolution/station_tailor_t01_t09_evolution.txt</t>
  </si>
  <si>
    <t>Prompts/EnvironmentStations/Texture/env_goblin_mine_camp_gate_001_texture.txt</t>
  </si>
  <si>
    <t>Prompts/EnvironmentStations/Texture/env_goblin_mine_goblin_barrel_001_texture.txt</t>
  </si>
  <si>
    <t>Prompts/EnvironmentStations/Texture/env_goblin_mine_goblin_crate_001_texture.txt</t>
  </si>
  <si>
    <t>Prompts/EnvironmentStations/Texture/env_goblin_mine_goblin_king_throne_001_texture.txt</t>
  </si>
  <si>
    <t>Prompts/EnvironmentStations/Texture/env_goblin_mine_goblin_tent_001_texture.txt</t>
  </si>
  <si>
    <t>Prompts/EnvironmentStations/Texture/env_goblin_mine_ground_dirt_tile_001_texture.txt</t>
  </si>
  <si>
    <t>Prompts/EnvironmentStations/Texture/env_goblin_mine_ground_stone_tile_001_texture.txt</t>
  </si>
  <si>
    <t>Prompts/EnvironmentStations/Texture/env_goblin_mine_mine_arch_001_texture.txt</t>
  </si>
  <si>
    <t>Prompts/EnvironmentStations/Texture/env_goblin_mine_mine_cart_001_texture.txt</t>
  </si>
  <si>
    <t>Prompts/EnvironmentStations/Texture/env_goblin_mine_mine_track_curve_001_texture.txt</t>
  </si>
  <si>
    <t>Prompts/EnvironmentStations/Texture/env_goblin_mine_mine_track_straight_001_texture.txt</t>
  </si>
  <si>
    <t>Prompts/EnvironmentStations/Texture/env_goblin_mine_mine_wall_corner_001_texture.txt</t>
  </si>
  <si>
    <t>Prompts/EnvironmentStations/Texture/env_goblin_mine_mine_wall_straight_001_texture.txt</t>
  </si>
  <si>
    <t>Prompts/EnvironmentStations/Texture/env_goblin_mine_ore_pile_001_texture.txt</t>
  </si>
  <si>
    <t>Prompts/EnvironmentStations/Texture/env_goblin_mine_rope_bridge_001_texture.txt</t>
  </si>
  <si>
    <t>Prompts/EnvironmentStations/Texture/env_goblin_mine_scrap_barricade_001_texture.txt</t>
  </si>
  <si>
    <t>Prompts/EnvironmentStations/Texture/env_goblin_mine_wall_torch_001_texture.txt</t>
  </si>
  <si>
    <t>Prompts/EnvironmentStations/Texture/env_goblin_mine_watchtower_001_texture.txt</t>
  </si>
  <si>
    <t>Prompts/EnvironmentStations/Texture/env_goblin_mine_wood_cage_001_texture.txt</t>
  </si>
  <si>
    <t>Prompts/EnvironmentStations/Texture/env_goblin_mine_wood_support_beam_001_texture.txt</t>
  </si>
  <si>
    <t>Prompts/EnvironmentStations/Texture/env_infernal_fortress_basalt_floor_tile_001_texture.txt</t>
  </si>
  <si>
    <t>Prompts/EnvironmentStations/Texture/env_infernal_fortress_demon_lord_throne_001_texture.txt</t>
  </si>
  <si>
    <t>Prompts/EnvironmentStations/Texture/env_infernal_fortress_demon_weapon_rack_001_texture.txt</t>
  </si>
  <si>
    <t>Prompts/EnvironmentStations/Texture/env_infernal_fortress_demonic_pillar_001_texture.txt</t>
  </si>
  <si>
    <t>Prompts/EnvironmentStations/Texture/env_infernal_fortress_infernal_arch_001_texture.txt</t>
  </si>
  <si>
    <t>Prompts/EnvironmentStations/Texture/env_infernal_fortress_infernal_arena_ring_001_texture.txt</t>
  </si>
  <si>
    <t>Prompts/EnvironmentStations/Texture/env_infernal_fortress_infernal_brazier_001_texture.txt</t>
  </si>
  <si>
    <t>Prompts/EnvironmentStations/Texture/env_infernal_fortress_infernal_bridge_001_texture.txt</t>
  </si>
  <si>
    <t>Prompts/EnvironmentStations/Texture/env_infernal_fortress_infernal_cage_001_texture.txt</t>
  </si>
  <si>
    <t>Prompts/EnvironmentStations/Texture/env_infernal_fortress_infernal_chain_001_texture.txt</t>
  </si>
  <si>
    <t>Prompts/EnvironmentStations/Texture/env_infernal_fortress_infernal_crystal_001_texture.txt</t>
  </si>
  <si>
    <t>Prompts/EnvironmentStations/Texture/env_infernal_fortress_infernal_gate_001_texture.txt</t>
  </si>
  <si>
    <t>Prompts/EnvironmentStations/Texture/env_infernal_fortress_infernal_platform_001_texture.txt</t>
  </si>
  <si>
    <t>Prompts/EnvironmentStations/Texture/env_infernal_fortress_infernal_portal_001_texture.txt</t>
  </si>
  <si>
    <t>Prompts/EnvironmentStations/Texture/env_infernal_fortress_infernal_wall_corner_001_texture.txt</t>
  </si>
  <si>
    <t>Prompts/EnvironmentStations/Texture/env_infernal_fortress_infernal_wall_straight_001_texture.txt</t>
  </si>
  <si>
    <t>Prompts/EnvironmentStations/Texture/env_infernal_fortress_lava_channel_bend_001_texture.txt</t>
  </si>
  <si>
    <t>Prompts/EnvironmentStations/Texture/env_infernal_fortress_lava_channel_straight_001_texture.txt</t>
  </si>
  <si>
    <t>Prompts/EnvironmentStations/Texture/env_infernal_fortress_lava_fall_001_texture.txt</t>
  </si>
  <si>
    <t>Prompts/EnvironmentStations/Texture/env_infernal_fortress_spike_barricade_001_texture.txt</t>
  </si>
  <si>
    <t>Prompts/EnvironmentStations/Texture/env_undead_crypt_bone_pile_001_texture.txt</t>
  </si>
  <si>
    <t>Prompts/EnvironmentStations/Texture/env_undead_crypt_broken_statue_001_texture.txt</t>
  </si>
  <si>
    <t>Prompts/EnvironmentStations/Texture/env_undead_crypt_coffin_001_texture.txt</t>
  </si>
  <si>
    <t>Prompts/EnvironmentStations/Texture/env_undead_crypt_crypt_arch_001_texture.txt</t>
  </si>
  <si>
    <t>Prompts/EnvironmentStations/Texture/env_undead_crypt_crypt_column_001_texture.txt</t>
  </si>
  <si>
    <t>Prompts/EnvironmentStations/Texture/env_undead_crypt_crypt_door_001_texture.txt</t>
  </si>
  <si>
    <t>Prompts/EnvironmentStations/Texture/env_undead_crypt_crypt_floor_tile_001_texture.txt</t>
  </si>
  <si>
    <t>Prompts/EnvironmentStations/Texture/env_undead_crypt_crypt_iron_gate_001_texture.txt</t>
  </si>
  <si>
    <t>Prompts/EnvironmentStations/Texture/env_undead_crypt_crypt_wall_corner_001_texture.txt</t>
  </si>
  <si>
    <t>Prompts/EnvironmentStations/Texture/env_undead_crypt_crypt_wall_straight_001_texture.txt</t>
  </si>
  <si>
    <t>Prompts/EnvironmentStations/Texture/env_undead_crypt_grave_marker_001_texture.txt</t>
  </si>
  <si>
    <t>Prompts/EnvironmentStations/Texture/env_undead_crypt_hanging_chain_001_texture.txt</t>
  </si>
  <si>
    <t>Prompts/EnvironmentStations/Texture/env_undead_crypt_lich_throne_001_texture.txt</t>
  </si>
  <si>
    <t>Prompts/EnvironmentStations/Texture/env_undead_crypt_necromantic_crystal_001_texture.txt</t>
  </si>
  <si>
    <t>Prompts/EnvironmentStations/Texture/env_undead_crypt_necromantic_portal_001_texture.txt</t>
  </si>
  <si>
    <t>Prompts/EnvironmentStations/Texture/env_undead_crypt_ossuary_001_texture.txt</t>
  </si>
  <si>
    <t>Prompts/EnvironmentStations/Texture/env_undead_crypt_ritual_altar_001_texture.txt</t>
  </si>
  <si>
    <t>Prompts/EnvironmentStations/Texture/env_undead_crypt_sarcophagus_001_texture.txt</t>
  </si>
  <si>
    <t>Prompts/EnvironmentStations/Texture/env_undead_crypt_spectral_brazier_001_texture.txt</t>
  </si>
  <si>
    <t>Prompts/EnvironmentStations/Texture/env_undead_crypt_spectral_candle_001_texture.txt</t>
  </si>
  <si>
    <t>Prompts/EnvironmentStations/Texture/station_alchemist_t01_001_texture.txt</t>
  </si>
  <si>
    <t>Prompts/EnvironmentStations/Texture/station_alchemist_t03_001_texture.txt</t>
  </si>
  <si>
    <t>Prompts/EnvironmentStations/Texture/station_alchemist_t05_001_texture.txt</t>
  </si>
  <si>
    <t>Prompts/EnvironmentStations/Texture/station_alchemist_t07_001_texture.txt</t>
  </si>
  <si>
    <t>Prompts/EnvironmentStations/Texture/station_alchemist_t09_001_texture.txt</t>
  </si>
  <si>
    <t>Prompts/EnvironmentStations/Texture/station_blacksmith_t01_001_texture.txt</t>
  </si>
  <si>
    <t>Prompts/EnvironmentStations/Texture/station_blacksmith_t03_001_texture.txt</t>
  </si>
  <si>
    <t>Prompts/EnvironmentStations/Texture/station_blacksmith_t05_001_texture.txt</t>
  </si>
  <si>
    <t>Prompts/EnvironmentStations/Texture/station_blacksmith_t07_001_texture.txt</t>
  </si>
  <si>
    <t>Prompts/EnvironmentStations/Texture/station_blacksmith_t09_001_texture.txt</t>
  </si>
  <si>
    <t>Prompts/EnvironmentStations/Texture/station_enchanter_t01_001_texture.txt</t>
  </si>
  <si>
    <t>Prompts/EnvironmentStations/Texture/station_enchanter_t03_001_texture.txt</t>
  </si>
  <si>
    <t>Prompts/EnvironmentStations/Texture/station_enchanter_t05_001_texture.txt</t>
  </si>
  <si>
    <t>Prompts/EnvironmentStations/Texture/station_enchanter_t07_001_texture.txt</t>
  </si>
  <si>
    <t>Prompts/EnvironmentStations/Texture/station_enchanter_t09_001_texture.txt</t>
  </si>
  <si>
    <t>Prompts/EnvironmentStations/Texture/station_gatherer_t01_001_texture.txt</t>
  </si>
  <si>
    <t>Prompts/EnvironmentStations/Texture/station_gatherer_t03_001_texture.txt</t>
  </si>
  <si>
    <t>Prompts/EnvironmentStations/Texture/station_gatherer_t05_001_texture.txt</t>
  </si>
  <si>
    <t>Prompts/EnvironmentStations/Texture/station_gatherer_t07_001_texture.txt</t>
  </si>
  <si>
    <t>Prompts/EnvironmentStations/Texture/station_gatherer_t09_001_texture.txt</t>
  </si>
  <si>
    <t>Prompts/EnvironmentStations/Texture/station_tailor_t01_001_texture.txt</t>
  </si>
  <si>
    <t>Prompts/EnvironmentStations/Texture/station_tailor_t03_001_texture.txt</t>
  </si>
  <si>
    <t>Prompts/EnvironmentStations/Texture/station_tailor_t05_001_texture.txt</t>
  </si>
  <si>
    <t>Prompts/EnvironmentStations/Texture/station_tailor_t07_001_texture.txt</t>
  </si>
  <si>
    <t>Prompts/EnvironmentStations/Texture/station_tailor_t09_001_texture.txt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</si>
</sst>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18"/>
      <color rgb="FFD7A64A"/>
      <name val="Carlito"/>
    </font>
    <font>
      <b/>
      <sz val="11"/>
      <name val="Carlito"/>
    </font>
    <font>
      <b/>
      <sz val="12"/>
      <color rgb="FF14212B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12B"/>
      </patternFill>
    </fill>
    <fill>
      <patternFill patternType="solid">
        <fgColor rgb="FFEEF3F5"/>
      </patternFill>
    </fill>
    <fill>
      <patternFill patternType="solid">
        <fgColor rgb="FFFAF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164" fontId="0" fillId="0" borderId="0" xfId="0" applyNumberFormat="1"/>
    <xf numFmtId="0" fontId="3" fillId="3" borderId="0" xfId="0" applyFont="1" applyFill="1"/>
    <xf numFmtId="0" fontId="4" fillId="4" borderId="0" xfId="0" applyFont="1" applyFill="1"/>
    <xf numFmtId="164" fontId="4" fillId="4" borderId="0" xfId="0" applyNumberFormat="1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2">
    <dxf>
      <fill>
        <patternFill patternType="solid">
          <bgColor rgb="FFFDECC8"/>
        </patternFill>
      </fill>
    </dxf>
    <dxf>
      <font>
        <b/>
        <color rgb="FF176B45"/>
      </font>
      <fill>
        <patternFill patternType="solid">
          <bgColor rgb="FFD9F2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Assets por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Assets</c:v>
          </c:tx>
          <c:invertIfNegative val="1"/>
          <c:cat>
            <c:strRef>
              <c:f>Dashboard!$D$5:$D$11</c:f>
              <c:strCache>
                <c:ptCount val="7"/>
                <c:pt idx="0">
                  <c:v>Not Started</c:v>
                </c:pt>
                <c:pt idx="1">
                  <c:v>Concept</c:v>
                </c:pt>
                <c:pt idx="2">
                  <c:v>Generating</c:v>
                </c:pt>
                <c:pt idx="3">
                  <c:v>Post-processing</c:v>
                </c:pt>
                <c:pt idx="4">
                  <c:v>Unity QA</c:v>
                </c:pt>
                <c:pt idx="5">
                  <c:v>Approved</c:v>
                </c:pt>
                <c:pt idx="6">
                  <c:v>Blocked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259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D-4CB3-8D04-99C93B9E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ialRateCard" displayName="OfficialRateCard" ref="A13:G20">
  <tableColumns count="7">
    <tableColumn id="1" xr3:uid="{00000000-0010-0000-0000-000001000000}" name="rate_key"/>
    <tableColumn id="2" xr3:uid="{00000000-0010-0000-0000-000002000000}" name="operation"/>
    <tableColumn id="3" xr3:uid="{00000000-0010-0000-0000-000003000000}" name="profile"/>
    <tableColumn id="4" xr3:uid="{00000000-0010-0000-0000-000004000000}" name="credits"/>
    <tableColumn id="5" xr3:uid="{00000000-0010-0000-0000-000005000000}" name="unit"/>
    <tableColumn id="6" xr3:uid="{00000000-0010-0000-0000-000006000000}" name="verified_at"/>
    <tableColumn id="7" xr3:uid="{00000000-0010-0000-0000-000007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QueueTable" displayName="AssetQueueTable" ref="A1:AG260">
  <tableColumns count="33">
    <tableColumn id="1" xr3:uid="{00000000-0010-0000-0100-000001000000}" name="asset_id"/>
    <tableColumn id="2" xr3:uid="{00000000-0010-0000-0100-000002000000}" name="display_name_pt"/>
    <tableColumn id="3" xr3:uid="{00000000-0010-0000-0100-000003000000}" name="display_name_en"/>
    <tableColumn id="4" xr3:uid="{00000000-0010-0000-0100-000004000000}" name="source_task"/>
    <tableColumn id="5" xr3:uid="{00000000-0010-0000-0100-000005000000}" name="asset_group"/>
    <tableColumn id="6" xr3:uid="{00000000-0010-0000-0100-000006000000}" name="category"/>
    <tableColumn id="7" xr3:uid="{00000000-0010-0000-0100-000007000000}" name="subcategory"/>
    <tableColumn id="8" xr3:uid="{00000000-0010-0000-0100-000008000000}" name="phase"/>
    <tableColumn id="9" xr3:uid="{00000000-0010-0000-0100-000009000000}" name="priority"/>
    <tableColumn id="10" xr3:uid="{00000000-0010-0000-0100-00000A000000}" name="batch_id"/>
    <tableColumn id="11" xr3:uid="{00000000-0010-0000-0100-00000B000000}" name="generation_method"/>
    <tableColumn id="12" xr3:uid="{00000000-0010-0000-0100-00000C000000}" name="source_art_required"/>
    <tableColumn id="13" xr3:uid="{00000000-0010-0000-0100-00000D000000}" name="target_polycount"/>
    <tableColumn id="14" xr3:uid="{00000000-0010-0000-0100-00000E000000}" name="texture_resolution"/>
    <tableColumn id="15" xr3:uid="{00000000-0010-0000-0100-00000F000000}" name="rig_required"/>
    <tableColumn id="16" xr3:uid="{00000000-0010-0000-0100-000010000000}" name="animation_set"/>
    <tableColumn id="17" xr3:uid="{00000000-0010-0000-0100-000011000000}" name="concept_prompt"/>
    <tableColumn id="18" xr3:uid="{00000000-0010-0000-0100-000012000000}" name="geometry_prompt"/>
    <tableColumn id="19" xr3:uid="{00000000-0010-0000-0100-000013000000}" name="texture_prompt"/>
    <tableColumn id="20" xr3:uid="{00000000-0010-0000-0100-000014000000}" name="concept_attempts_planned"/>
    <tableColumn id="21" xr3:uid="{00000000-0010-0000-0100-000015000000}" name="geometry_attempts_planned"/>
    <tableColumn id="22" xr3:uid="{00000000-0010-0000-0100-000016000000}" name="remesh_attempts_planned"/>
    <tableColumn id="23" xr3:uid="{00000000-0010-0000-0100-000017000000}" name="retexture_attempts_planned"/>
    <tableColumn id="24" xr3:uid="{00000000-0010-0000-0100-000018000000}" name="rig_attempts_planned"/>
    <tableColumn id="25" xr3:uid="{00000000-0010-0000-0100-000019000000}" name="approval_criteria"/>
    <tableColumn id="26" xr3:uid="{00000000-0010-0000-0100-00001A000000}" name="unity_path"/>
    <tableColumn id="27" xr3:uid="{00000000-0010-0000-0100-00001B000000}" name="status"/>
    <tableColumn id="28" xr3:uid="{00000000-0010-0000-0100-00001C000000}" name="approval_status"/>
    <tableColumn id="29" xr3:uid="{00000000-0010-0000-0100-00001D000000}" name="planned_credits"/>
    <tableColumn id="30" xr3:uid="{00000000-0010-0000-0100-00001E000000}" name="actual_credits"/>
    <tableColumn id="31" xr3:uid="{00000000-0010-0000-0100-00001F000000}" name="variance"/>
    <tableColumn id="32" xr3:uid="{00000000-0010-0000-0100-000020000000}" name="attempt_count"/>
    <tableColumn id="33" xr3:uid="{00000000-0010-0000-0100-000021000000}" name="selected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emptLogTable" displayName="AttemptLogTable" ref="A1:X101">
  <tableColumns count="24">
    <tableColumn id="1" xr3:uid="{00000000-0010-0000-0200-000001000000}" name="attempt_id"/>
    <tableColumn id="2" xr3:uid="{00000000-0010-0000-0200-000002000000}" name="asset_id"/>
    <tableColumn id="3" xr3:uid="{00000000-0010-0000-0200-000003000000}" name="batch_id"/>
    <tableColumn id="4" xr3:uid="{00000000-0010-0000-0200-000004000000}" name="operation"/>
    <tableColumn id="5" xr3:uid="{00000000-0010-0000-0200-000005000000}" name="provider"/>
    <tableColumn id="6" xr3:uid="{00000000-0010-0000-0200-000006000000}" name="model"/>
    <tableColumn id="7" xr3:uid="{00000000-0010-0000-0200-000007000000}" name="candidate_index"/>
    <tableColumn id="8" xr3:uid="{00000000-0010-0000-0200-000008000000}" name="task_id"/>
    <tableColumn id="9" xr3:uid="{00000000-0010-0000-0200-000009000000}" name="started_at"/>
    <tableColumn id="10" xr3:uid="{00000000-0010-0000-0200-00000A000000}" name="completed_at"/>
    <tableColumn id="11" xr3:uid="{00000000-0010-0000-0200-00000B000000}" name="credits_used"/>
    <tableColumn id="12" xr3:uid="{00000000-0010-0000-0200-00000C000000}" name="status"/>
    <tableColumn id="13" xr3:uid="{00000000-0010-0000-0200-00000D000000}" name="output_path"/>
    <tableColumn id="14" xr3:uid="{00000000-0010-0000-0200-00000E000000}" name="selected"/>
    <tableColumn id="15" xr3:uid="{00000000-0010-0000-0200-00000F000000}" name="silhouette"/>
    <tableColumn id="16" xr3:uid="{00000000-0010-0000-0200-000010000000}" name="style"/>
    <tableColumn id="17" xr3:uid="{00000000-0010-0000-0200-000011000000}" name="geometry"/>
    <tableColumn id="18" xr3:uid="{00000000-0010-0000-0200-000012000000}" name="texture"/>
    <tableColumn id="19" xr3:uid="{00000000-0010-0000-0200-000013000000}" name="technical"/>
    <tableColumn id="20" xr3:uid="{00000000-0010-0000-0200-000014000000}" name="mobile_readability"/>
    <tableColumn id="21" xr3:uid="{00000000-0010-0000-0200-000015000000}" name="total_score"/>
    <tableColumn id="22" xr3:uid="{00000000-0010-0000-0200-000016000000}" name="rejection_reason"/>
    <tableColumn id="23" xr3:uid="{00000000-0010-0000-0200-000017000000}" name="reviewer"/>
    <tableColumn id="24" xr3:uid="{00000000-0010-0000-0200-00001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tchPlanTable" displayName="BatchPlanTable" ref="A1:O26">
  <tableColumns count="15">
    <tableColumn id="1" xr3:uid="{00000000-0010-0000-0300-000001000000}" name="batch_id"/>
    <tableColumn id="2" xr3:uid="{00000000-0010-0000-0300-000002000000}" name="sequence"/>
    <tableColumn id="3" xr3:uid="{00000000-0010-0000-0300-000003000000}" name="batch_name"/>
    <tableColumn id="4" xr3:uid="{00000000-0010-0000-0300-000004000000}" name="phase"/>
    <tableColumn id="5" xr3:uid="{00000000-0010-0000-0300-000005000000}" name="priority"/>
    <tableColumn id="6" xr3:uid="{00000000-0010-0000-0300-000006000000}" name="asset_count"/>
    <tableColumn id="7" xr3:uid="{00000000-0010-0000-0300-000007000000}" name="manual_webapp_planned_credits"/>
    <tableColumn id="8" xr3:uid="{00000000-0010-0000-0300-000008000000}" name="api_meshy6_high_quality_planned_credits"/>
    <tableColumn id="9" xr3:uid="{00000000-0010-0000-0300-000009000000}" name="entry_gate"/>
    <tableColumn id="10" xr3:uid="{00000000-0010-0000-0300-00000A000000}" name="exit_gate"/>
    <tableColumn id="11" xr3:uid="{00000000-0010-0000-0300-00000B000000}" name="status"/>
    <tableColumn id="12" xr3:uid="{00000000-0010-0000-0300-00000C000000}" name="actual_credits"/>
    <tableColumn id="13" xr3:uid="{00000000-0010-0000-0300-00000D000000}" name="approved_assets"/>
    <tableColumn id="14" xr3:uid="{00000000-0010-0000-0300-00000E000000}" name="approval_rate"/>
    <tableColumn id="15" xr3:uid="{00000000-0010-0000-0300-00000F000000}" name="vari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mptManifestTable" displayName="PromptManifestTable" ref="A1:G786">
  <tableColumns count="7">
    <tableColumn id="1" xr3:uid="{00000000-0010-0000-0400-000001000000}" name="prompt_id"/>
    <tableColumn id="2" xr3:uid="{00000000-0010-0000-0400-000002000000}" name="domain"/>
    <tableColumn id="3" xr3:uid="{00000000-0010-0000-0400-000003000000}" name="prompt_type"/>
    <tableColumn id="4" xr3:uid="{00000000-0010-0000-0400-000004000000}" name="path"/>
    <tableColumn id="5" xr3:uid="{00000000-0010-0000-0400-000005000000}" name="characters"/>
    <tableColumn id="6" xr3:uid="{00000000-0010-0000-0400-000006000000}" name="words"/>
    <tableColumn id="7" xr3:uid="{00000000-0010-0000-0400-000007000000}" name="sha2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ATable" displayName="QATable" ref="A1:D11">
  <tableColumns count="4">
    <tableColumn id="1" xr3:uid="{00000000-0010-0000-0500-000001000000}" name="applies_to"/>
    <tableColumn id="2" xr3:uid="{00000000-0010-0000-0500-000002000000}" name="area"/>
    <tableColumn id="3" xr3:uid="{00000000-0010-0000-0500-000003000000}" name="check"/>
    <tableColumn id="4" xr3:uid="{00000000-0010-0000-0500-000004000000}" name="seve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jectTable" displayName="RejectTable" ref="A1:B14">
  <tableColumns count="2">
    <tableColumn id="1" xr3:uid="{00000000-0010-0000-0600-000001000000}" name="reason_code"/>
    <tableColumn id="2" xr3:uid="{00000000-0010-0000-06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8631F5-B121-43BB-A30E-4ED70CF70EF7}">
  <we:reference id="wa200010215" version="2.0.0.0" store="pt-BR" storeType="OMEX"/>
  <we:alternateReferences>
    <we:reference id="WA200010215" version="2.0.0.0" store="" storeType="OMEX"/>
  </we:alternateReferences>
  <we:properties>
    <we:property name="bps.codex_control.document_id" value="&quot;9f8dcd0d-a912-4ec1-b786-277572a58cb3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4.25"/>
  <cols>
    <col min="1" max="7" width="22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29</v>
      </c>
      <c r="F5" t="s">
        <v>30</v>
      </c>
    </row>
    <row r="6" spans="1:7">
      <c r="A6" t="s">
        <v>31</v>
      </c>
      <c r="C6" t="s">
        <v>32</v>
      </c>
      <c r="D6" t="s">
        <v>33</v>
      </c>
    </row>
    <row r="7" spans="1:7">
      <c r="A7" t="s">
        <v>27</v>
      </c>
      <c r="C7" t="s">
        <v>34</v>
      </c>
    </row>
    <row r="8" spans="1:7">
      <c r="A8" t="s">
        <v>35</v>
      </c>
      <c r="C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4.25"/>
  <cols>
    <col min="1" max="1" width="14" customWidth="1"/>
    <col min="2" max="2" width="90" customWidth="1"/>
  </cols>
  <sheetData>
    <row r="1" spans="1:8">
      <c r="A1" s="8" t="s">
        <v>37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4" spans="1:8" ht="15">
      <c r="A4" s="1" t="s">
        <v>38</v>
      </c>
      <c r="B4" s="1" t="s">
        <v>39</v>
      </c>
    </row>
    <row r="5" spans="1:8">
      <c r="A5" s="2">
        <v>1</v>
      </c>
      <c r="B5" s="2" t="s">
        <v>40</v>
      </c>
    </row>
    <row r="6" spans="1:8">
      <c r="A6" s="2">
        <v>2</v>
      </c>
      <c r="B6" s="2" t="s">
        <v>41</v>
      </c>
    </row>
    <row r="7" spans="1:8">
      <c r="A7" s="2">
        <v>3</v>
      </c>
      <c r="B7" s="2" t="s">
        <v>42</v>
      </c>
    </row>
    <row r="8" spans="1:8">
      <c r="A8" s="2">
        <v>4</v>
      </c>
      <c r="B8" s="2" t="s">
        <v>43</v>
      </c>
    </row>
    <row r="9" spans="1:8">
      <c r="A9" s="2">
        <v>5</v>
      </c>
      <c r="B9" s="2" t="s">
        <v>44</v>
      </c>
    </row>
    <row r="10" spans="1:8">
      <c r="A10" s="2">
        <v>6</v>
      </c>
      <c r="B10" s="2" t="s">
        <v>45</v>
      </c>
    </row>
    <row r="11" spans="1:8">
      <c r="A11" s="2">
        <v>7</v>
      </c>
      <c r="B11" s="2" t="s">
        <v>46</v>
      </c>
    </row>
    <row r="12" spans="1:8">
      <c r="A12" s="2">
        <v>8</v>
      </c>
      <c r="B12" s="2" t="s">
        <v>47</v>
      </c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opLeftCell="A4" workbookViewId="0">
      <selection sqref="A1:H2"/>
    </sheetView>
  </sheetViews>
  <sheetFormatPr defaultRowHeight="14.25"/>
  <cols>
    <col min="1" max="1" width="32" customWidth="1"/>
    <col min="2" max="2" width="46" customWidth="1"/>
    <col min="3" max="3" width="24" customWidth="1"/>
    <col min="4" max="4" width="12" customWidth="1"/>
    <col min="5" max="5" width="18" customWidth="1"/>
    <col min="6" max="6" width="16" customWidth="1"/>
    <col min="7" max="7" width="62" customWidth="1"/>
  </cols>
  <sheetData>
    <row r="1" spans="1:8">
      <c r="A1" s="8" t="s">
        <v>48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4" spans="1:8" ht="15">
      <c r="A4" s="1" t="s">
        <v>49</v>
      </c>
      <c r="B4" s="1" t="s">
        <v>50</v>
      </c>
      <c r="C4" s="1" t="s">
        <v>51</v>
      </c>
    </row>
    <row r="5" spans="1:8">
      <c r="A5" t="s">
        <v>9</v>
      </c>
      <c r="B5">
        <v>0</v>
      </c>
      <c r="C5" t="s">
        <v>52</v>
      </c>
    </row>
    <row r="6" spans="1:8">
      <c r="A6" t="s">
        <v>15</v>
      </c>
      <c r="B6">
        <v>20</v>
      </c>
      <c r="C6" t="s">
        <v>53</v>
      </c>
    </row>
    <row r="7" spans="1:8">
      <c r="A7" t="s">
        <v>22</v>
      </c>
      <c r="B7">
        <v>5</v>
      </c>
      <c r="C7" t="s">
        <v>54</v>
      </c>
    </row>
    <row r="8" spans="1:8">
      <c r="A8" t="s">
        <v>28</v>
      </c>
      <c r="B8">
        <v>10</v>
      </c>
      <c r="C8" t="s">
        <v>55</v>
      </c>
    </row>
    <row r="9" spans="1:8">
      <c r="A9" t="s">
        <v>32</v>
      </c>
      <c r="B9">
        <v>5</v>
      </c>
      <c r="C9" t="s">
        <v>56</v>
      </c>
    </row>
    <row r="10" spans="1:8">
      <c r="A10" t="s">
        <v>34</v>
      </c>
      <c r="B10">
        <v>3</v>
      </c>
      <c r="C10" t="s">
        <v>57</v>
      </c>
    </row>
    <row r="13" spans="1:8" ht="1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64</v>
      </c>
    </row>
    <row r="14" spans="1:8">
      <c r="A14" t="s">
        <v>65</v>
      </c>
      <c r="B14" t="s">
        <v>66</v>
      </c>
      <c r="C14" t="s">
        <v>12</v>
      </c>
      <c r="D14">
        <v>20</v>
      </c>
      <c r="E14" t="s">
        <v>67</v>
      </c>
      <c r="F14" t="s">
        <v>68</v>
      </c>
      <c r="G14" t="s">
        <v>69</v>
      </c>
    </row>
    <row r="15" spans="1:8">
      <c r="A15" t="s">
        <v>70</v>
      </c>
      <c r="B15" t="s">
        <v>71</v>
      </c>
      <c r="C15" t="s">
        <v>18</v>
      </c>
      <c r="D15">
        <v>30</v>
      </c>
      <c r="E15" t="s">
        <v>72</v>
      </c>
      <c r="F15" t="s">
        <v>68</v>
      </c>
      <c r="G15" t="s">
        <v>73</v>
      </c>
    </row>
    <row r="16" spans="1:8">
      <c r="A16" t="s">
        <v>74</v>
      </c>
      <c r="B16" t="s">
        <v>22</v>
      </c>
      <c r="C16" t="s">
        <v>26</v>
      </c>
      <c r="D16">
        <v>5</v>
      </c>
      <c r="E16" t="s">
        <v>75</v>
      </c>
      <c r="F16" t="s">
        <v>68</v>
      </c>
      <c r="G16" t="s">
        <v>73</v>
      </c>
    </row>
    <row r="17" spans="1:7">
      <c r="A17" t="s">
        <v>76</v>
      </c>
      <c r="B17" t="s">
        <v>28</v>
      </c>
      <c r="C17" t="s">
        <v>26</v>
      </c>
      <c r="D17">
        <v>10</v>
      </c>
      <c r="E17" t="s">
        <v>75</v>
      </c>
      <c r="F17" t="s">
        <v>68</v>
      </c>
      <c r="G17" t="s">
        <v>73</v>
      </c>
    </row>
    <row r="18" spans="1:7">
      <c r="A18" t="s">
        <v>77</v>
      </c>
      <c r="B18" t="s">
        <v>78</v>
      </c>
      <c r="C18" t="s">
        <v>26</v>
      </c>
      <c r="D18">
        <v>5</v>
      </c>
      <c r="E18" t="s">
        <v>79</v>
      </c>
      <c r="F18" t="s">
        <v>68</v>
      </c>
      <c r="G18" t="s">
        <v>73</v>
      </c>
    </row>
    <row r="19" spans="1:7">
      <c r="A19" t="s">
        <v>80</v>
      </c>
      <c r="B19" t="s">
        <v>34</v>
      </c>
      <c r="C19" t="s">
        <v>26</v>
      </c>
      <c r="D19">
        <v>3</v>
      </c>
      <c r="E19" t="s">
        <v>81</v>
      </c>
      <c r="F19" t="s">
        <v>68</v>
      </c>
      <c r="G19" t="s">
        <v>73</v>
      </c>
    </row>
    <row r="20" spans="1:7">
      <c r="A20" t="s">
        <v>82</v>
      </c>
      <c r="B20" t="s">
        <v>83</v>
      </c>
      <c r="C20" t="s">
        <v>84</v>
      </c>
      <c r="D20">
        <v>9</v>
      </c>
      <c r="E20" t="s">
        <v>85</v>
      </c>
      <c r="F20" t="s">
        <v>68</v>
      </c>
      <c r="G20" t="s">
        <v>73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60"/>
  <sheetViews>
    <sheetView tabSelected="1" workbookViewId="0"/>
  </sheetViews>
  <sheetFormatPr defaultRowHeight="14.25"/>
  <cols>
    <col min="1" max="1" width="36" customWidth="1"/>
    <col min="2" max="3" width="28" customWidth="1"/>
    <col min="4" max="4" width="12" customWidth="1"/>
    <col min="5" max="5" width="16" customWidth="1"/>
    <col min="6" max="6" width="18" customWidth="1"/>
    <col min="7" max="7" width="22" customWidth="1"/>
    <col min="8" max="8" width="20" customWidth="1"/>
    <col min="9" max="9" width="10" customWidth="1"/>
    <col min="10" max="10" width="28" customWidth="1"/>
    <col min="11" max="11" width="24" customWidth="1"/>
    <col min="12" max="12" width="16" customWidth="1"/>
    <col min="13" max="13" width="15" customWidth="1"/>
    <col min="14" max="14" width="18" customWidth="1"/>
    <col min="15" max="15" width="12" customWidth="1"/>
    <col min="16" max="16" width="28" customWidth="1"/>
    <col min="17" max="19" width="50" customWidth="1"/>
    <col min="20" max="24" width="14" customWidth="1"/>
    <col min="25" max="25" width="60" customWidth="1"/>
    <col min="26" max="26" width="55" customWidth="1"/>
    <col min="27" max="28" width="18" customWidth="1"/>
    <col min="29" max="30" width="16" customWidth="1"/>
    <col min="31" max="33" width="14" customWidth="1"/>
  </cols>
  <sheetData>
    <row r="1" spans="1:33" ht="30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  <c r="AB1" s="1" t="s">
        <v>113</v>
      </c>
      <c r="AC1" s="1" t="s">
        <v>114</v>
      </c>
      <c r="AD1" s="1" t="s">
        <v>115</v>
      </c>
      <c r="AE1" s="1" t="s">
        <v>116</v>
      </c>
      <c r="AF1" s="1" t="s">
        <v>117</v>
      </c>
      <c r="AG1" s="1" t="s">
        <v>118</v>
      </c>
    </row>
    <row r="2" spans="1:33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17</v>
      </c>
      <c r="M2">
        <v>4000</v>
      </c>
      <c r="N2" t="s">
        <v>130</v>
      </c>
      <c r="O2" t="s">
        <v>17</v>
      </c>
      <c r="P2" t="s">
        <v>131</v>
      </c>
      <c r="Q2" t="s">
        <v>2925</v>
      </c>
      <c r="R2" t="s">
        <v>2937</v>
      </c>
      <c r="S2" t="s">
        <v>2949</v>
      </c>
      <c r="T2">
        <v>2</v>
      </c>
      <c r="U2">
        <v>3</v>
      </c>
      <c r="V2">
        <v>1</v>
      </c>
      <c r="W2">
        <v>1</v>
      </c>
      <c r="X2">
        <v>1</v>
      </c>
      <c r="Y2" t="s">
        <v>132</v>
      </c>
      <c r="Z2" t="s">
        <v>133</v>
      </c>
      <c r="AA2" t="s">
        <v>7</v>
      </c>
      <c r="AB2" t="s">
        <v>8</v>
      </c>
      <c r="AC2" s="3">
        <f>T2*'Settings &amp; Rates'!$B$5+U2*'Settings &amp; Rates'!$B$6+V2*'Settings &amp; Rates'!$B$7+W2*'Settings &amp; Rates'!$B$8+X2*'Settings &amp; Rates'!$B$9</f>
        <v>80</v>
      </c>
      <c r="AD2" s="3">
        <f>SUMIF('Attempt Log'!$B$2:$B$101,A2,'Attempt Log'!$K$2:$K$101)</f>
        <v>0</v>
      </c>
      <c r="AE2" s="3">
        <f t="shared" ref="AE2:AE65" si="0">AD2-AC2</f>
        <v>-80</v>
      </c>
      <c r="AF2">
        <f>COUNTIF('Attempt Log'!$B$2:$B$101,A2)</f>
        <v>0</v>
      </c>
      <c r="AG2">
        <f>IFERROR(SUMIFS('Attempt Log'!$U$2:$U$101,'Attempt Log'!$B$2:$B$101,A2,'Attempt Log'!$N$2:$N$101,"Yes")/COUNTIFS('Attempt Log'!$B$2:$B$101,A2,'Attempt Log'!$N$2:$N$101,"Yes"),0)</f>
        <v>0</v>
      </c>
    </row>
    <row r="3" spans="1:33">
      <c r="A3" t="s">
        <v>134</v>
      </c>
      <c r="B3" t="s">
        <v>135</v>
      </c>
      <c r="C3" t="s">
        <v>136</v>
      </c>
      <c r="D3" t="s">
        <v>137</v>
      </c>
      <c r="E3" t="s">
        <v>138</v>
      </c>
      <c r="F3" t="s">
        <v>138</v>
      </c>
      <c r="G3" t="s">
        <v>139</v>
      </c>
      <c r="H3" t="s">
        <v>126</v>
      </c>
      <c r="I3" t="s">
        <v>127</v>
      </c>
      <c r="J3" t="s">
        <v>128</v>
      </c>
      <c r="K3" t="s">
        <v>140</v>
      </c>
      <c r="L3" t="s">
        <v>141</v>
      </c>
      <c r="M3">
        <v>575</v>
      </c>
      <c r="N3" t="s">
        <v>142</v>
      </c>
      <c r="O3" t="s">
        <v>11</v>
      </c>
      <c r="P3" t="s">
        <v>143</v>
      </c>
      <c r="Q3" t="s">
        <v>3452</v>
      </c>
      <c r="R3" t="s">
        <v>3537</v>
      </c>
      <c r="S3" t="s">
        <v>3627</v>
      </c>
      <c r="T3">
        <v>1</v>
      </c>
      <c r="U3">
        <v>3</v>
      </c>
      <c r="V3">
        <v>1</v>
      </c>
      <c r="W3">
        <v>1</v>
      </c>
      <c r="X3">
        <v>0</v>
      </c>
      <c r="Y3" t="s">
        <v>144</v>
      </c>
      <c r="Z3" t="s">
        <v>145</v>
      </c>
      <c r="AA3" t="s">
        <v>7</v>
      </c>
      <c r="AB3" t="s">
        <v>8</v>
      </c>
      <c r="AC3" s="3">
        <f>T3*'Settings &amp; Rates'!$B$5+U3*'Settings &amp; Rates'!$B$6+V3*'Settings &amp; Rates'!$B$7+W3*'Settings &amp; Rates'!$B$8+X3*'Settings &amp; Rates'!$B$9</f>
        <v>75</v>
      </c>
      <c r="AD3" s="3">
        <f>SUMIF('Attempt Log'!$B$2:$B$101,A3,'Attempt Log'!$K$2:$K$101)</f>
        <v>0</v>
      </c>
      <c r="AE3" s="3">
        <f t="shared" si="0"/>
        <v>-75</v>
      </c>
      <c r="AF3">
        <f>COUNTIF('Attempt Log'!$B$2:$B$101,A3)</f>
        <v>0</v>
      </c>
      <c r="AG3">
        <f>IFERROR(SUMIFS('Attempt Log'!$U$2:$U$101,'Attempt Log'!$B$2:$B$101,A3,'Attempt Log'!$N$2:$N$101,"Yes")/COUNTIFS('Attempt Log'!$B$2:$B$101,A3,'Attempt Log'!$N$2:$N$101,"Yes"),0)</f>
        <v>0</v>
      </c>
    </row>
    <row r="4" spans="1:33">
      <c r="A4" t="s">
        <v>146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126</v>
      </c>
      <c r="I4" t="s">
        <v>127</v>
      </c>
      <c r="J4" t="s">
        <v>128</v>
      </c>
      <c r="K4" t="s">
        <v>140</v>
      </c>
      <c r="L4" t="s">
        <v>141</v>
      </c>
      <c r="M4">
        <v>2000</v>
      </c>
      <c r="N4" t="s">
        <v>153</v>
      </c>
      <c r="O4" t="s">
        <v>11</v>
      </c>
      <c r="P4" t="s">
        <v>143</v>
      </c>
      <c r="Q4" t="s">
        <v>3114</v>
      </c>
      <c r="R4" t="s">
        <v>3276</v>
      </c>
      <c r="S4" t="s">
        <v>3438</v>
      </c>
      <c r="T4">
        <v>1</v>
      </c>
      <c r="U4">
        <v>3</v>
      </c>
      <c r="V4">
        <v>1</v>
      </c>
      <c r="W4">
        <v>1</v>
      </c>
      <c r="X4">
        <v>0</v>
      </c>
      <c r="Y4" t="s">
        <v>154</v>
      </c>
      <c r="Z4" t="s">
        <v>155</v>
      </c>
      <c r="AA4" t="s">
        <v>7</v>
      </c>
      <c r="AB4" t="s">
        <v>8</v>
      </c>
      <c r="AC4" s="3">
        <f>T4*'Settings &amp; Rates'!$B$5+U4*'Settings &amp; Rates'!$B$6+V4*'Settings &amp; Rates'!$B$7+W4*'Settings &amp; Rates'!$B$8+X4*'Settings &amp; Rates'!$B$9</f>
        <v>75</v>
      </c>
      <c r="AD4" s="3">
        <f>SUMIF('Attempt Log'!$B$2:$B$101,A4,'Attempt Log'!$K$2:$K$101)</f>
        <v>0</v>
      </c>
      <c r="AE4" s="3">
        <f t="shared" si="0"/>
        <v>-75</v>
      </c>
      <c r="AF4">
        <f>COUNTIF('Attempt Log'!$B$2:$B$101,A4)</f>
        <v>0</v>
      </c>
      <c r="AG4">
        <f>IFERROR(SUMIFS('Attempt Log'!$U$2:$U$101,'Attempt Log'!$B$2:$B$101,A4,'Attempt Log'!$N$2:$N$101,"Yes")/COUNTIFS('Attempt Log'!$B$2:$B$101,A4,'Attempt Log'!$N$2:$N$101,"Yes"),0)</f>
        <v>0</v>
      </c>
    </row>
    <row r="5" spans="1:33">
      <c r="A5" t="s">
        <v>156</v>
      </c>
      <c r="B5" t="s">
        <v>157</v>
      </c>
      <c r="C5" t="s">
        <v>158</v>
      </c>
      <c r="D5" t="s">
        <v>122</v>
      </c>
      <c r="E5" t="s">
        <v>123</v>
      </c>
      <c r="F5" t="s">
        <v>159</v>
      </c>
      <c r="G5" t="s">
        <v>160</v>
      </c>
      <c r="H5" t="s">
        <v>126</v>
      </c>
      <c r="I5" t="s">
        <v>127</v>
      </c>
      <c r="J5" t="s">
        <v>128</v>
      </c>
      <c r="K5" t="s">
        <v>161</v>
      </c>
      <c r="L5" t="s">
        <v>17</v>
      </c>
      <c r="M5">
        <v>6500</v>
      </c>
      <c r="N5" t="s">
        <v>162</v>
      </c>
      <c r="O5" t="s">
        <v>17</v>
      </c>
      <c r="P5" t="s">
        <v>163</v>
      </c>
      <c r="Q5" t="s">
        <v>2926</v>
      </c>
      <c r="R5" t="s">
        <v>2938</v>
      </c>
      <c r="S5" t="s">
        <v>2950</v>
      </c>
      <c r="T5">
        <v>3</v>
      </c>
      <c r="U5">
        <v>4</v>
      </c>
      <c r="V5">
        <v>1</v>
      </c>
      <c r="W5">
        <v>1</v>
      </c>
      <c r="X5">
        <v>1</v>
      </c>
      <c r="Y5" t="s">
        <v>164</v>
      </c>
      <c r="Z5" t="s">
        <v>165</v>
      </c>
      <c r="AA5" t="s">
        <v>7</v>
      </c>
      <c r="AB5" t="s">
        <v>8</v>
      </c>
      <c r="AC5" s="3">
        <f>T5*'Settings &amp; Rates'!$B$5+U5*'Settings &amp; Rates'!$B$6+V5*'Settings &amp; Rates'!$B$7+W5*'Settings &amp; Rates'!$B$8+X5*'Settings &amp; Rates'!$B$9</f>
        <v>100</v>
      </c>
      <c r="AD5" s="3">
        <f>SUMIF('Attempt Log'!$B$2:$B$101,A5,'Attempt Log'!$K$2:$K$101)</f>
        <v>0</v>
      </c>
      <c r="AE5" s="3">
        <f t="shared" si="0"/>
        <v>-100</v>
      </c>
      <c r="AF5">
        <f>COUNTIF('Attempt Log'!$B$2:$B$101,A5)</f>
        <v>0</v>
      </c>
      <c r="AG5">
        <f>IFERROR(SUMIFS('Attempt Log'!$U$2:$U$101,'Attempt Log'!$B$2:$B$101,A5,'Attempt Log'!$N$2:$N$101,"Yes")/COUNTIFS('Attempt Log'!$B$2:$B$101,A5,'Attempt Log'!$N$2:$N$101,"Yes"),0)</f>
        <v>0</v>
      </c>
    </row>
    <row r="6" spans="1:33">
      <c r="A6" t="s">
        <v>166</v>
      </c>
      <c r="B6" t="s">
        <v>167</v>
      </c>
      <c r="C6" t="s">
        <v>168</v>
      </c>
      <c r="D6" t="s">
        <v>137</v>
      </c>
      <c r="E6" t="s">
        <v>169</v>
      </c>
      <c r="F6" t="s">
        <v>170</v>
      </c>
      <c r="G6" t="s">
        <v>171</v>
      </c>
      <c r="H6" t="s">
        <v>126</v>
      </c>
      <c r="I6" t="s">
        <v>127</v>
      </c>
      <c r="J6" t="s">
        <v>128</v>
      </c>
      <c r="K6" t="s">
        <v>140</v>
      </c>
      <c r="L6" t="s">
        <v>141</v>
      </c>
      <c r="M6">
        <v>5250</v>
      </c>
      <c r="N6" t="s">
        <v>142</v>
      </c>
      <c r="O6" t="s">
        <v>11</v>
      </c>
      <c r="P6" t="s">
        <v>172</v>
      </c>
      <c r="Q6" t="s">
        <v>3515</v>
      </c>
      <c r="R6" t="s">
        <v>3600</v>
      </c>
      <c r="S6" t="s">
        <v>3690</v>
      </c>
      <c r="T6">
        <v>2</v>
      </c>
      <c r="U6">
        <v>3</v>
      </c>
      <c r="V6">
        <v>1</v>
      </c>
      <c r="W6">
        <v>1</v>
      </c>
      <c r="X6">
        <v>0</v>
      </c>
      <c r="Y6" t="s">
        <v>173</v>
      </c>
      <c r="Z6" t="s">
        <v>174</v>
      </c>
      <c r="AA6" t="s">
        <v>7</v>
      </c>
      <c r="AB6" t="s">
        <v>8</v>
      </c>
      <c r="AC6" s="3">
        <f>T6*'Settings &amp; Rates'!$B$5+U6*'Settings &amp; Rates'!$B$6+V6*'Settings &amp; Rates'!$B$7+W6*'Settings &amp; Rates'!$B$8+X6*'Settings &amp; Rates'!$B$9</f>
        <v>75</v>
      </c>
      <c r="AD6" s="3">
        <f>SUMIF('Attempt Log'!$B$2:$B$101,A6,'Attempt Log'!$K$2:$K$101)</f>
        <v>0</v>
      </c>
      <c r="AE6" s="3">
        <f t="shared" si="0"/>
        <v>-75</v>
      </c>
      <c r="AF6">
        <f>COUNTIF('Attempt Log'!$B$2:$B$101,A6)</f>
        <v>0</v>
      </c>
      <c r="AG6">
        <f>IFERROR(SUMIFS('Attempt Log'!$U$2:$U$101,'Attempt Log'!$B$2:$B$101,A6,'Attempt Log'!$N$2:$N$101,"Yes")/COUNTIFS('Attempt Log'!$B$2:$B$101,A6,'Attempt Log'!$N$2:$N$101,"Yes"),0)</f>
        <v>0</v>
      </c>
    </row>
    <row r="7" spans="1:33">
      <c r="A7" t="s">
        <v>175</v>
      </c>
      <c r="B7" t="s">
        <v>176</v>
      </c>
      <c r="C7" t="s">
        <v>177</v>
      </c>
      <c r="D7" t="s">
        <v>122</v>
      </c>
      <c r="E7" t="s">
        <v>123</v>
      </c>
      <c r="F7" t="s">
        <v>159</v>
      </c>
      <c r="G7" t="s">
        <v>160</v>
      </c>
      <c r="H7" t="s">
        <v>126</v>
      </c>
      <c r="I7" t="s">
        <v>127</v>
      </c>
      <c r="J7" t="s">
        <v>178</v>
      </c>
      <c r="K7" t="s">
        <v>161</v>
      </c>
      <c r="L7" t="s">
        <v>17</v>
      </c>
      <c r="M7">
        <v>6500</v>
      </c>
      <c r="N7" t="s">
        <v>162</v>
      </c>
      <c r="O7" t="s">
        <v>17</v>
      </c>
      <c r="P7" t="s">
        <v>179</v>
      </c>
      <c r="Q7" t="s">
        <v>2927</v>
      </c>
      <c r="R7" t="s">
        <v>2939</v>
      </c>
      <c r="S7" t="s">
        <v>2951</v>
      </c>
      <c r="T7">
        <v>3</v>
      </c>
      <c r="U7">
        <v>4</v>
      </c>
      <c r="V7">
        <v>1</v>
      </c>
      <c r="W7">
        <v>1</v>
      </c>
      <c r="X7">
        <v>1</v>
      </c>
      <c r="Y7" t="s">
        <v>180</v>
      </c>
      <c r="Z7" t="s">
        <v>181</v>
      </c>
      <c r="AA7" t="s">
        <v>7</v>
      </c>
      <c r="AB7" t="s">
        <v>8</v>
      </c>
      <c r="AC7" s="3">
        <f>T7*'Settings &amp; Rates'!$B$5+U7*'Settings &amp; Rates'!$B$6+V7*'Settings &amp; Rates'!$B$7+W7*'Settings &amp; Rates'!$B$8+X7*'Settings &amp; Rates'!$B$9</f>
        <v>100</v>
      </c>
      <c r="AD7" s="3">
        <f>SUMIF('Attempt Log'!$B$2:$B$101,A7,'Attempt Log'!$K$2:$K$101)</f>
        <v>0</v>
      </c>
      <c r="AE7" s="3">
        <f t="shared" si="0"/>
        <v>-100</v>
      </c>
      <c r="AF7">
        <f>COUNTIF('Attempt Log'!$B$2:$B$101,A7)</f>
        <v>0</v>
      </c>
      <c r="AG7">
        <f>IFERROR(SUMIFS('Attempt Log'!$U$2:$U$101,'Attempt Log'!$B$2:$B$101,A7,'Attempt Log'!$N$2:$N$101,"Yes")/COUNTIFS('Attempt Log'!$B$2:$B$101,A7,'Attempt Log'!$N$2:$N$101,"Yes"),0)</f>
        <v>0</v>
      </c>
    </row>
    <row r="8" spans="1:33">
      <c r="A8" t="s">
        <v>182</v>
      </c>
      <c r="B8" t="s">
        <v>183</v>
      </c>
      <c r="C8" t="s">
        <v>184</v>
      </c>
      <c r="D8" t="s">
        <v>122</v>
      </c>
      <c r="E8" t="s">
        <v>123</v>
      </c>
      <c r="F8" t="s">
        <v>159</v>
      </c>
      <c r="G8" t="s">
        <v>160</v>
      </c>
      <c r="H8" t="s">
        <v>126</v>
      </c>
      <c r="I8" t="s">
        <v>127</v>
      </c>
      <c r="J8" t="s">
        <v>178</v>
      </c>
      <c r="K8" t="s">
        <v>161</v>
      </c>
      <c r="L8" t="s">
        <v>17</v>
      </c>
      <c r="M8">
        <v>6500</v>
      </c>
      <c r="N8" t="s">
        <v>162</v>
      </c>
      <c r="O8" t="s">
        <v>17</v>
      </c>
      <c r="P8" t="s">
        <v>185</v>
      </c>
      <c r="Q8" t="s">
        <v>2928</v>
      </c>
      <c r="R8" t="s">
        <v>2940</v>
      </c>
      <c r="S8" t="s">
        <v>2952</v>
      </c>
      <c r="T8">
        <v>3</v>
      </c>
      <c r="U8">
        <v>4</v>
      </c>
      <c r="V8">
        <v>1</v>
      </c>
      <c r="W8">
        <v>1</v>
      </c>
      <c r="X8">
        <v>1</v>
      </c>
      <c r="Y8" t="s">
        <v>186</v>
      </c>
      <c r="Z8" t="s">
        <v>187</v>
      </c>
      <c r="AA8" t="s">
        <v>7</v>
      </c>
      <c r="AB8" t="s">
        <v>8</v>
      </c>
      <c r="AC8" s="3">
        <f>T8*'Settings &amp; Rates'!$B$5+U8*'Settings &amp; Rates'!$B$6+V8*'Settings &amp; Rates'!$B$7+W8*'Settings &amp; Rates'!$B$8+X8*'Settings &amp; Rates'!$B$9</f>
        <v>100</v>
      </c>
      <c r="AD8" s="3">
        <f>SUMIF('Attempt Log'!$B$2:$B$101,A8,'Attempt Log'!$K$2:$K$101)</f>
        <v>0</v>
      </c>
      <c r="AE8" s="3">
        <f t="shared" si="0"/>
        <v>-100</v>
      </c>
      <c r="AF8">
        <f>COUNTIF('Attempt Log'!$B$2:$B$101,A8)</f>
        <v>0</v>
      </c>
      <c r="AG8">
        <f>IFERROR(SUMIFS('Attempt Log'!$U$2:$U$101,'Attempt Log'!$B$2:$B$101,A8,'Attempt Log'!$N$2:$N$101,"Yes")/COUNTIFS('Attempt Log'!$B$2:$B$101,A8,'Attempt Log'!$N$2:$N$101,"Yes"),0)</f>
        <v>0</v>
      </c>
    </row>
    <row r="9" spans="1:33">
      <c r="A9" t="s">
        <v>188</v>
      </c>
      <c r="B9" t="s">
        <v>189</v>
      </c>
      <c r="C9" t="s">
        <v>190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191</v>
      </c>
      <c r="K9" t="s">
        <v>129</v>
      </c>
      <c r="L9" t="s">
        <v>17</v>
      </c>
      <c r="M9">
        <v>4000</v>
      </c>
      <c r="N9" t="s">
        <v>130</v>
      </c>
      <c r="O9" t="s">
        <v>17</v>
      </c>
      <c r="P9" t="s">
        <v>192</v>
      </c>
      <c r="Q9" t="s">
        <v>2929</v>
      </c>
      <c r="R9" t="s">
        <v>2941</v>
      </c>
      <c r="S9" t="s">
        <v>2953</v>
      </c>
      <c r="T9">
        <v>2</v>
      </c>
      <c r="U9">
        <v>3</v>
      </c>
      <c r="V9">
        <v>1</v>
      </c>
      <c r="W9">
        <v>1</v>
      </c>
      <c r="X9">
        <v>1</v>
      </c>
      <c r="Y9" t="s">
        <v>193</v>
      </c>
      <c r="Z9" t="s">
        <v>194</v>
      </c>
      <c r="AA9" t="s">
        <v>7</v>
      </c>
      <c r="AB9" t="s">
        <v>8</v>
      </c>
      <c r="AC9" s="3">
        <f>T9*'Settings &amp; Rates'!$B$5+U9*'Settings &amp; Rates'!$B$6+V9*'Settings &amp; Rates'!$B$7+W9*'Settings &amp; Rates'!$B$8+X9*'Settings &amp; Rates'!$B$9</f>
        <v>80</v>
      </c>
      <c r="AD9" s="3">
        <f>SUMIF('Attempt Log'!$B$2:$B$101,A9,'Attempt Log'!$K$2:$K$101)</f>
        <v>0</v>
      </c>
      <c r="AE9" s="3">
        <f t="shared" si="0"/>
        <v>-80</v>
      </c>
      <c r="AF9">
        <f>COUNTIF('Attempt Log'!$B$2:$B$101,A9)</f>
        <v>0</v>
      </c>
      <c r="AG9">
        <f>IFERROR(SUMIFS('Attempt Log'!$U$2:$U$101,'Attempt Log'!$B$2:$B$101,A9,'Attempt Log'!$N$2:$N$101,"Yes")/COUNTIFS('Attempt Log'!$B$2:$B$101,A9,'Attempt Log'!$N$2:$N$101,"Yes"),0)</f>
        <v>0</v>
      </c>
    </row>
    <row r="10" spans="1:33">
      <c r="A10" t="s">
        <v>195</v>
      </c>
      <c r="B10" t="s">
        <v>196</v>
      </c>
      <c r="C10" t="s">
        <v>197</v>
      </c>
      <c r="D10" t="s">
        <v>122</v>
      </c>
      <c r="E10" t="s">
        <v>123</v>
      </c>
      <c r="F10" t="s">
        <v>198</v>
      </c>
      <c r="G10" t="s">
        <v>199</v>
      </c>
      <c r="H10" t="s">
        <v>126</v>
      </c>
      <c r="I10" t="s">
        <v>127</v>
      </c>
      <c r="J10" t="s">
        <v>191</v>
      </c>
      <c r="K10" t="s">
        <v>129</v>
      </c>
      <c r="L10" t="s">
        <v>17</v>
      </c>
      <c r="M10">
        <v>4500</v>
      </c>
      <c r="N10" t="s">
        <v>130</v>
      </c>
      <c r="O10" t="s">
        <v>17</v>
      </c>
      <c r="P10" t="s">
        <v>200</v>
      </c>
      <c r="Q10" t="s">
        <v>2930</v>
      </c>
      <c r="R10" t="s">
        <v>2942</v>
      </c>
      <c r="S10" t="s">
        <v>2954</v>
      </c>
      <c r="T10">
        <v>2</v>
      </c>
      <c r="U10">
        <v>3</v>
      </c>
      <c r="V10">
        <v>1</v>
      </c>
      <c r="W10">
        <v>1</v>
      </c>
      <c r="X10">
        <v>1</v>
      </c>
      <c r="Y10" t="s">
        <v>201</v>
      </c>
      <c r="Z10" t="s">
        <v>202</v>
      </c>
      <c r="AA10" t="s">
        <v>7</v>
      </c>
      <c r="AB10" t="s">
        <v>8</v>
      </c>
      <c r="AC10" s="3">
        <f>T10*'Settings &amp; Rates'!$B$5+U10*'Settings &amp; Rates'!$B$6+V10*'Settings &amp; Rates'!$B$7+W10*'Settings &amp; Rates'!$B$8+X10*'Settings &amp; Rates'!$B$9</f>
        <v>80</v>
      </c>
      <c r="AD10" s="3">
        <f>SUMIF('Attempt Log'!$B$2:$B$101,A10,'Attempt Log'!$K$2:$K$101)</f>
        <v>0</v>
      </c>
      <c r="AE10" s="3">
        <f t="shared" si="0"/>
        <v>-80</v>
      </c>
      <c r="AF10">
        <f>COUNTIF('Attempt Log'!$B$2:$B$101,A10)</f>
        <v>0</v>
      </c>
      <c r="AG10">
        <f>IFERROR(SUMIFS('Attempt Log'!$U$2:$U$101,'Attempt Log'!$B$2:$B$101,A10,'Attempt Log'!$N$2:$N$101,"Yes")/COUNTIFS('Attempt Log'!$B$2:$B$101,A10,'Attempt Log'!$N$2:$N$101,"Yes"),0)</f>
        <v>0</v>
      </c>
    </row>
    <row r="11" spans="1:33">
      <c r="A11" t="s">
        <v>203</v>
      </c>
      <c r="B11" t="s">
        <v>204</v>
      </c>
      <c r="C11" t="s">
        <v>205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191</v>
      </c>
      <c r="K11" t="s">
        <v>129</v>
      </c>
      <c r="L11" t="s">
        <v>17</v>
      </c>
      <c r="M11">
        <v>4000</v>
      </c>
      <c r="N11" t="s">
        <v>130</v>
      </c>
      <c r="O11" t="s">
        <v>17</v>
      </c>
      <c r="P11" t="s">
        <v>131</v>
      </c>
      <c r="Q11" t="s">
        <v>2931</v>
      </c>
      <c r="R11" t="s">
        <v>2943</v>
      </c>
      <c r="S11" t="s">
        <v>2955</v>
      </c>
      <c r="T11">
        <v>2</v>
      </c>
      <c r="U11">
        <v>3</v>
      </c>
      <c r="V11">
        <v>1</v>
      </c>
      <c r="W11">
        <v>1</v>
      </c>
      <c r="X11">
        <v>1</v>
      </c>
      <c r="Y11" t="s">
        <v>206</v>
      </c>
      <c r="Z11" t="s">
        <v>207</v>
      </c>
      <c r="AA11" t="s">
        <v>7</v>
      </c>
      <c r="AB11" t="s">
        <v>8</v>
      </c>
      <c r="AC11" s="3">
        <f>T11*'Settings &amp; Rates'!$B$5+U11*'Settings &amp; Rates'!$B$6+V11*'Settings &amp; Rates'!$B$7+W11*'Settings &amp; Rates'!$B$8+X11*'Settings &amp; Rates'!$B$9</f>
        <v>80</v>
      </c>
      <c r="AD11" s="3">
        <f>SUMIF('Attempt Log'!$B$2:$B$101,A11,'Attempt Log'!$K$2:$K$101)</f>
        <v>0</v>
      </c>
      <c r="AE11" s="3">
        <f t="shared" si="0"/>
        <v>-80</v>
      </c>
      <c r="AF11">
        <f>COUNTIF('Attempt Log'!$B$2:$B$101,A11)</f>
        <v>0</v>
      </c>
      <c r="AG11">
        <f>IFERROR(SUMIFS('Attempt Log'!$U$2:$U$101,'Attempt Log'!$B$2:$B$101,A11,'Attempt Log'!$N$2:$N$101,"Yes")/COUNTIFS('Attempt Log'!$B$2:$B$101,A11,'Attempt Log'!$N$2:$N$101,"Yes"),0)</f>
        <v>0</v>
      </c>
    </row>
    <row r="12" spans="1:33">
      <c r="A12" t="s">
        <v>208</v>
      </c>
      <c r="B12" t="s">
        <v>209</v>
      </c>
      <c r="C12" t="s">
        <v>210</v>
      </c>
      <c r="D12" t="s">
        <v>122</v>
      </c>
      <c r="E12" t="s">
        <v>123</v>
      </c>
      <c r="F12" t="s">
        <v>211</v>
      </c>
      <c r="G12" t="s">
        <v>211</v>
      </c>
      <c r="H12" t="s">
        <v>126</v>
      </c>
      <c r="I12" t="s">
        <v>127</v>
      </c>
      <c r="J12" t="s">
        <v>212</v>
      </c>
      <c r="K12" t="s">
        <v>161</v>
      </c>
      <c r="L12" t="s">
        <v>17</v>
      </c>
      <c r="M12">
        <v>7500</v>
      </c>
      <c r="N12" t="s">
        <v>162</v>
      </c>
      <c r="O12" t="s">
        <v>17</v>
      </c>
      <c r="P12" t="s">
        <v>213</v>
      </c>
      <c r="Q12" t="s">
        <v>2932</v>
      </c>
      <c r="R12" t="s">
        <v>2944</v>
      </c>
      <c r="S12" t="s">
        <v>2956</v>
      </c>
      <c r="T12">
        <v>3</v>
      </c>
      <c r="U12">
        <v>4</v>
      </c>
      <c r="V12">
        <v>1</v>
      </c>
      <c r="W12">
        <v>1</v>
      </c>
      <c r="X12">
        <v>1</v>
      </c>
      <c r="Y12" t="s">
        <v>214</v>
      </c>
      <c r="Z12" t="s">
        <v>215</v>
      </c>
      <c r="AA12" t="s">
        <v>7</v>
      </c>
      <c r="AB12" t="s">
        <v>8</v>
      </c>
      <c r="AC12" s="3">
        <f>T12*'Settings &amp; Rates'!$B$5+U12*'Settings &amp; Rates'!$B$6+V12*'Settings &amp; Rates'!$B$7+W12*'Settings &amp; Rates'!$B$8+X12*'Settings &amp; Rates'!$B$9</f>
        <v>100</v>
      </c>
      <c r="AD12" s="3">
        <f>SUMIF('Attempt Log'!$B$2:$B$101,A12,'Attempt Log'!$K$2:$K$101)</f>
        <v>0</v>
      </c>
      <c r="AE12" s="3">
        <f t="shared" si="0"/>
        <v>-100</v>
      </c>
      <c r="AF12">
        <f>COUNTIF('Attempt Log'!$B$2:$B$101,A12)</f>
        <v>0</v>
      </c>
      <c r="AG12">
        <f>IFERROR(SUMIFS('Attempt Log'!$U$2:$U$101,'Attempt Log'!$B$2:$B$101,A12,'Attempt Log'!$N$2:$N$101,"Yes")/COUNTIFS('Attempt Log'!$B$2:$B$101,A12,'Attempt Log'!$N$2:$N$101,"Yes"),0)</f>
        <v>0</v>
      </c>
    </row>
    <row r="13" spans="1:33">
      <c r="A13" t="s">
        <v>216</v>
      </c>
      <c r="B13" t="s">
        <v>217</v>
      </c>
      <c r="C13" t="s">
        <v>218</v>
      </c>
      <c r="D13" t="s">
        <v>122</v>
      </c>
      <c r="E13" t="s">
        <v>123</v>
      </c>
      <c r="F13" t="s">
        <v>219</v>
      </c>
      <c r="G13" t="s">
        <v>219</v>
      </c>
      <c r="H13" t="s">
        <v>126</v>
      </c>
      <c r="I13" t="s">
        <v>127</v>
      </c>
      <c r="J13" t="s">
        <v>212</v>
      </c>
      <c r="K13" t="s">
        <v>161</v>
      </c>
      <c r="L13" t="s">
        <v>17</v>
      </c>
      <c r="M13">
        <v>11500</v>
      </c>
      <c r="N13" t="s">
        <v>162</v>
      </c>
      <c r="O13" t="s">
        <v>17</v>
      </c>
      <c r="P13" t="s">
        <v>220</v>
      </c>
      <c r="Q13" t="s">
        <v>2933</v>
      </c>
      <c r="R13" t="s">
        <v>2945</v>
      </c>
      <c r="S13" t="s">
        <v>2957</v>
      </c>
      <c r="T13">
        <v>3</v>
      </c>
      <c r="U13">
        <v>4</v>
      </c>
      <c r="V13">
        <v>1</v>
      </c>
      <c r="W13">
        <v>1</v>
      </c>
      <c r="X13">
        <v>1</v>
      </c>
      <c r="Y13" t="s">
        <v>221</v>
      </c>
      <c r="Z13" t="s">
        <v>222</v>
      </c>
      <c r="AA13" t="s">
        <v>7</v>
      </c>
      <c r="AB13" t="s">
        <v>8</v>
      </c>
      <c r="AC13" s="3">
        <f>T13*'Settings &amp; Rates'!$B$5+U13*'Settings &amp; Rates'!$B$6+V13*'Settings &amp; Rates'!$B$7+W13*'Settings &amp; Rates'!$B$8+X13*'Settings &amp; Rates'!$B$9</f>
        <v>100</v>
      </c>
      <c r="AD13" s="3">
        <f>SUMIF('Attempt Log'!$B$2:$B$101,A13,'Attempt Log'!$K$2:$K$101)</f>
        <v>0</v>
      </c>
      <c r="AE13" s="3">
        <f t="shared" si="0"/>
        <v>-100</v>
      </c>
      <c r="AF13">
        <f>COUNTIF('Attempt Log'!$B$2:$B$101,A13)</f>
        <v>0</v>
      </c>
      <c r="AG13">
        <f>IFERROR(SUMIFS('Attempt Log'!$U$2:$U$101,'Attempt Log'!$B$2:$B$101,A13,'Attempt Log'!$N$2:$N$101,"Yes")/COUNTIFS('Attempt Log'!$B$2:$B$101,A13,'Attempt Log'!$N$2:$N$101,"Yes"),0)</f>
        <v>0</v>
      </c>
    </row>
    <row r="14" spans="1:33">
      <c r="A14" t="s">
        <v>223</v>
      </c>
      <c r="B14" t="s">
        <v>224</v>
      </c>
      <c r="C14" t="s">
        <v>225</v>
      </c>
      <c r="D14" t="s">
        <v>122</v>
      </c>
      <c r="E14" t="s">
        <v>123</v>
      </c>
      <c r="F14" t="s">
        <v>226</v>
      </c>
      <c r="G14" t="s">
        <v>227</v>
      </c>
      <c r="H14" t="s">
        <v>126</v>
      </c>
      <c r="I14" t="s">
        <v>127</v>
      </c>
      <c r="J14" t="s">
        <v>212</v>
      </c>
      <c r="K14" t="s">
        <v>161</v>
      </c>
      <c r="L14" t="s">
        <v>17</v>
      </c>
      <c r="M14">
        <v>6500</v>
      </c>
      <c r="N14" t="s">
        <v>130</v>
      </c>
      <c r="O14" t="s">
        <v>17</v>
      </c>
      <c r="P14" t="s">
        <v>200</v>
      </c>
      <c r="Q14" t="s">
        <v>2934</v>
      </c>
      <c r="R14" t="s">
        <v>2946</v>
      </c>
      <c r="S14" t="s">
        <v>2958</v>
      </c>
      <c r="T14">
        <v>3</v>
      </c>
      <c r="U14">
        <v>4</v>
      </c>
      <c r="V14">
        <v>1</v>
      </c>
      <c r="W14">
        <v>1</v>
      </c>
      <c r="X14">
        <v>1</v>
      </c>
      <c r="Y14" t="s">
        <v>228</v>
      </c>
      <c r="Z14" t="s">
        <v>229</v>
      </c>
      <c r="AA14" t="s">
        <v>7</v>
      </c>
      <c r="AB14" t="s">
        <v>8</v>
      </c>
      <c r="AC14" s="3">
        <f>T14*'Settings &amp; Rates'!$B$5+U14*'Settings &amp; Rates'!$B$6+V14*'Settings &amp; Rates'!$B$7+W14*'Settings &amp; Rates'!$B$8+X14*'Settings &amp; Rates'!$B$9</f>
        <v>100</v>
      </c>
      <c r="AD14" s="3">
        <f>SUMIF('Attempt Log'!$B$2:$B$101,A14,'Attempt Log'!$K$2:$K$101)</f>
        <v>0</v>
      </c>
      <c r="AE14" s="3">
        <f t="shared" si="0"/>
        <v>-100</v>
      </c>
      <c r="AF14">
        <f>COUNTIF('Attempt Log'!$B$2:$B$101,A14)</f>
        <v>0</v>
      </c>
      <c r="AG14">
        <f>IFERROR(SUMIFS('Attempt Log'!$U$2:$U$101,'Attempt Log'!$B$2:$B$101,A14,'Attempt Log'!$N$2:$N$101,"Yes")/COUNTIFS('Attempt Log'!$B$2:$B$101,A14,'Attempt Log'!$N$2:$N$101,"Yes"),0)</f>
        <v>0</v>
      </c>
    </row>
    <row r="15" spans="1:33">
      <c r="A15" t="s">
        <v>230</v>
      </c>
      <c r="B15" t="s">
        <v>231</v>
      </c>
      <c r="C15" t="s">
        <v>232</v>
      </c>
      <c r="D15" t="s">
        <v>122</v>
      </c>
      <c r="E15" t="s">
        <v>123</v>
      </c>
      <c r="F15" t="s">
        <v>226</v>
      </c>
      <c r="G15" t="s">
        <v>227</v>
      </c>
      <c r="H15" t="s">
        <v>126</v>
      </c>
      <c r="I15" t="s">
        <v>127</v>
      </c>
      <c r="J15" t="s">
        <v>212</v>
      </c>
      <c r="K15" t="s">
        <v>161</v>
      </c>
      <c r="L15" t="s">
        <v>17</v>
      </c>
      <c r="M15">
        <v>6500</v>
      </c>
      <c r="N15" t="s">
        <v>130</v>
      </c>
      <c r="O15" t="s">
        <v>17</v>
      </c>
      <c r="P15" t="s">
        <v>192</v>
      </c>
      <c r="Q15" t="s">
        <v>2935</v>
      </c>
      <c r="R15" t="s">
        <v>2947</v>
      </c>
      <c r="S15" t="s">
        <v>2959</v>
      </c>
      <c r="T15">
        <v>3</v>
      </c>
      <c r="U15">
        <v>4</v>
      </c>
      <c r="V15">
        <v>1</v>
      </c>
      <c r="W15">
        <v>1</v>
      </c>
      <c r="X15">
        <v>1</v>
      </c>
      <c r="Y15" t="s">
        <v>233</v>
      </c>
      <c r="Z15" t="s">
        <v>234</v>
      </c>
      <c r="AA15" t="s">
        <v>7</v>
      </c>
      <c r="AB15" t="s">
        <v>8</v>
      </c>
      <c r="AC15" s="3">
        <f>T15*'Settings &amp; Rates'!$B$5+U15*'Settings &amp; Rates'!$B$6+V15*'Settings &amp; Rates'!$B$7+W15*'Settings &amp; Rates'!$B$8+X15*'Settings &amp; Rates'!$B$9</f>
        <v>100</v>
      </c>
      <c r="AD15" s="3">
        <f>SUMIF('Attempt Log'!$B$2:$B$101,A15,'Attempt Log'!$K$2:$K$101)</f>
        <v>0</v>
      </c>
      <c r="AE15" s="3">
        <f t="shared" si="0"/>
        <v>-100</v>
      </c>
      <c r="AF15">
        <f>COUNTIF('Attempt Log'!$B$2:$B$101,A15)</f>
        <v>0</v>
      </c>
      <c r="AG15">
        <f>IFERROR(SUMIFS('Attempt Log'!$U$2:$U$101,'Attempt Log'!$B$2:$B$101,A15,'Attempt Log'!$N$2:$N$101,"Yes")/COUNTIFS('Attempt Log'!$B$2:$B$101,A15,'Attempt Log'!$N$2:$N$101,"Yes"),0)</f>
        <v>0</v>
      </c>
    </row>
    <row r="16" spans="1:33">
      <c r="A16" t="s">
        <v>235</v>
      </c>
      <c r="B16" t="s">
        <v>236</v>
      </c>
      <c r="C16" t="s">
        <v>237</v>
      </c>
      <c r="D16" t="s">
        <v>122</v>
      </c>
      <c r="E16" t="s">
        <v>123</v>
      </c>
      <c r="F16" t="s">
        <v>226</v>
      </c>
      <c r="G16" t="s">
        <v>227</v>
      </c>
      <c r="H16" t="s">
        <v>126</v>
      </c>
      <c r="I16" t="s">
        <v>127</v>
      </c>
      <c r="J16" t="s">
        <v>212</v>
      </c>
      <c r="K16" t="s">
        <v>161</v>
      </c>
      <c r="L16" t="s">
        <v>17</v>
      </c>
      <c r="M16">
        <v>6500</v>
      </c>
      <c r="N16" t="s">
        <v>130</v>
      </c>
      <c r="O16" t="s">
        <v>17</v>
      </c>
      <c r="P16" t="s">
        <v>238</v>
      </c>
      <c r="Q16" t="s">
        <v>2936</v>
      </c>
      <c r="R16" t="s">
        <v>2948</v>
      </c>
      <c r="S16" t="s">
        <v>2960</v>
      </c>
      <c r="T16">
        <v>3</v>
      </c>
      <c r="U16">
        <v>4</v>
      </c>
      <c r="V16">
        <v>1</v>
      </c>
      <c r="W16">
        <v>1</v>
      </c>
      <c r="X16">
        <v>1</v>
      </c>
      <c r="Y16" t="s">
        <v>239</v>
      </c>
      <c r="Z16" t="s">
        <v>240</v>
      </c>
      <c r="AA16" t="s">
        <v>7</v>
      </c>
      <c r="AB16" t="s">
        <v>8</v>
      </c>
      <c r="AC16" s="3">
        <f>T16*'Settings &amp; Rates'!$B$5+U16*'Settings &amp; Rates'!$B$6+V16*'Settings &amp; Rates'!$B$7+W16*'Settings &amp; Rates'!$B$8+X16*'Settings &amp; Rates'!$B$9</f>
        <v>100</v>
      </c>
      <c r="AD16" s="3">
        <f>SUMIF('Attempt Log'!$B$2:$B$101,A16,'Attempt Log'!$K$2:$K$101)</f>
        <v>0</v>
      </c>
      <c r="AE16" s="3">
        <f t="shared" si="0"/>
        <v>-100</v>
      </c>
      <c r="AF16">
        <f>COUNTIF('Attempt Log'!$B$2:$B$101,A16)</f>
        <v>0</v>
      </c>
      <c r="AG16">
        <f>IFERROR(SUMIFS('Attempt Log'!$U$2:$U$101,'Attempt Log'!$B$2:$B$101,A16,'Attempt Log'!$N$2:$N$101,"Yes")/COUNTIFS('Attempt Log'!$B$2:$B$101,A16,'Attempt Log'!$N$2:$N$101,"Yes"),0)</f>
        <v>0</v>
      </c>
    </row>
    <row r="17" spans="1:33">
      <c r="A17" t="s">
        <v>241</v>
      </c>
      <c r="B17" t="s">
        <v>242</v>
      </c>
      <c r="C17" t="s">
        <v>243</v>
      </c>
      <c r="D17" t="s">
        <v>149</v>
      </c>
      <c r="E17" t="s">
        <v>150</v>
      </c>
      <c r="F17" t="s">
        <v>244</v>
      </c>
      <c r="G17" t="s">
        <v>245</v>
      </c>
      <c r="H17" t="s">
        <v>126</v>
      </c>
      <c r="I17" t="s">
        <v>127</v>
      </c>
      <c r="J17" t="s">
        <v>246</v>
      </c>
      <c r="K17" t="s">
        <v>140</v>
      </c>
      <c r="L17" t="s">
        <v>141</v>
      </c>
      <c r="M17">
        <v>900</v>
      </c>
      <c r="N17" t="s">
        <v>247</v>
      </c>
      <c r="O17" t="s">
        <v>11</v>
      </c>
      <c r="P17" t="s">
        <v>143</v>
      </c>
      <c r="Q17" t="s">
        <v>2961</v>
      </c>
      <c r="R17" t="s">
        <v>3123</v>
      </c>
      <c r="S17" t="s">
        <v>3285</v>
      </c>
      <c r="T17">
        <v>1</v>
      </c>
      <c r="U17">
        <v>3</v>
      </c>
      <c r="V17">
        <v>1</v>
      </c>
      <c r="W17">
        <v>1</v>
      </c>
      <c r="X17">
        <v>0</v>
      </c>
      <c r="Y17" t="s">
        <v>154</v>
      </c>
      <c r="Z17" t="s">
        <v>248</v>
      </c>
      <c r="AA17" t="s">
        <v>7</v>
      </c>
      <c r="AB17" t="s">
        <v>8</v>
      </c>
      <c r="AC17" s="3">
        <f>T17*'Settings &amp; Rates'!$B$5+U17*'Settings &amp; Rates'!$B$6+V17*'Settings &amp; Rates'!$B$7+W17*'Settings &amp; Rates'!$B$8+X17*'Settings &amp; Rates'!$B$9</f>
        <v>75</v>
      </c>
      <c r="AD17" s="3">
        <f>SUMIF('Attempt Log'!$B$2:$B$101,A17,'Attempt Log'!$K$2:$K$101)</f>
        <v>0</v>
      </c>
      <c r="AE17" s="3">
        <f t="shared" si="0"/>
        <v>-75</v>
      </c>
      <c r="AF17">
        <f>COUNTIF('Attempt Log'!$B$2:$B$101,A17)</f>
        <v>0</v>
      </c>
      <c r="AG17">
        <f>IFERROR(SUMIFS('Attempt Log'!$U$2:$U$101,'Attempt Log'!$B$2:$B$101,A17,'Attempt Log'!$N$2:$N$101,"Yes")/COUNTIFS('Attempt Log'!$B$2:$B$101,A17,'Attempt Log'!$N$2:$N$101,"Yes"),0)</f>
        <v>0</v>
      </c>
    </row>
    <row r="18" spans="1:33">
      <c r="A18" t="s">
        <v>249</v>
      </c>
      <c r="B18" t="s">
        <v>250</v>
      </c>
      <c r="C18" t="s">
        <v>251</v>
      </c>
      <c r="D18" t="s">
        <v>149</v>
      </c>
      <c r="E18" t="s">
        <v>150</v>
      </c>
      <c r="F18" t="s">
        <v>151</v>
      </c>
      <c r="G18" t="s">
        <v>252</v>
      </c>
      <c r="H18" t="s">
        <v>126</v>
      </c>
      <c r="I18" t="s">
        <v>127</v>
      </c>
      <c r="J18" t="s">
        <v>246</v>
      </c>
      <c r="K18" t="s">
        <v>140</v>
      </c>
      <c r="L18" t="s">
        <v>141</v>
      </c>
      <c r="M18">
        <v>1700</v>
      </c>
      <c r="N18" t="s">
        <v>153</v>
      </c>
      <c r="O18" t="s">
        <v>11</v>
      </c>
      <c r="P18" t="s">
        <v>143</v>
      </c>
      <c r="Q18" t="s">
        <v>3078</v>
      </c>
      <c r="R18" t="s">
        <v>3240</v>
      </c>
      <c r="S18" t="s">
        <v>3402</v>
      </c>
      <c r="T18">
        <v>1</v>
      </c>
      <c r="U18">
        <v>3</v>
      </c>
      <c r="V18">
        <v>1</v>
      </c>
      <c r="W18">
        <v>1</v>
      </c>
      <c r="X18">
        <v>0</v>
      </c>
      <c r="Y18" t="s">
        <v>154</v>
      </c>
      <c r="Z18" t="s">
        <v>253</v>
      </c>
      <c r="AA18" t="s">
        <v>7</v>
      </c>
      <c r="AB18" t="s">
        <v>8</v>
      </c>
      <c r="AC18" s="3">
        <f>T18*'Settings &amp; Rates'!$B$5+U18*'Settings &amp; Rates'!$B$6+V18*'Settings &amp; Rates'!$B$7+W18*'Settings &amp; Rates'!$B$8+X18*'Settings &amp; Rates'!$B$9</f>
        <v>75</v>
      </c>
      <c r="AD18" s="3">
        <f>SUMIF('Attempt Log'!$B$2:$B$101,A18,'Attempt Log'!$K$2:$K$101)</f>
        <v>0</v>
      </c>
      <c r="AE18" s="3">
        <f t="shared" si="0"/>
        <v>-75</v>
      </c>
      <c r="AF18">
        <f>COUNTIF('Attempt Log'!$B$2:$B$101,A18)</f>
        <v>0</v>
      </c>
      <c r="AG18">
        <f>IFERROR(SUMIFS('Attempt Log'!$U$2:$U$101,'Attempt Log'!$B$2:$B$101,A18,'Attempt Log'!$N$2:$N$101,"Yes")/COUNTIFS('Attempt Log'!$B$2:$B$101,A18,'Attempt Log'!$N$2:$N$101,"Yes"),0)</f>
        <v>0</v>
      </c>
    </row>
    <row r="19" spans="1:33">
      <c r="A19" t="s">
        <v>254</v>
      </c>
      <c r="B19" t="s">
        <v>255</v>
      </c>
      <c r="C19" t="s">
        <v>256</v>
      </c>
      <c r="D19" t="s">
        <v>149</v>
      </c>
      <c r="E19" t="s">
        <v>150</v>
      </c>
      <c r="F19" t="s">
        <v>244</v>
      </c>
      <c r="G19" t="s">
        <v>257</v>
      </c>
      <c r="H19" t="s">
        <v>126</v>
      </c>
      <c r="I19" t="s">
        <v>127</v>
      </c>
      <c r="J19" t="s">
        <v>246</v>
      </c>
      <c r="K19" t="s">
        <v>140</v>
      </c>
      <c r="L19" t="s">
        <v>141</v>
      </c>
      <c r="M19">
        <v>550</v>
      </c>
      <c r="N19" t="s">
        <v>247</v>
      </c>
      <c r="O19" t="s">
        <v>11</v>
      </c>
      <c r="P19" t="s">
        <v>143</v>
      </c>
      <c r="Q19" t="s">
        <v>3087</v>
      </c>
      <c r="R19" t="s">
        <v>3249</v>
      </c>
      <c r="S19" t="s">
        <v>3411</v>
      </c>
      <c r="T19">
        <v>1</v>
      </c>
      <c r="U19">
        <v>3</v>
      </c>
      <c r="V19">
        <v>1</v>
      </c>
      <c r="W19">
        <v>1</v>
      </c>
      <c r="X19">
        <v>0</v>
      </c>
      <c r="Y19" t="s">
        <v>154</v>
      </c>
      <c r="Z19" t="s">
        <v>258</v>
      </c>
      <c r="AA19" t="s">
        <v>7</v>
      </c>
      <c r="AB19" t="s">
        <v>8</v>
      </c>
      <c r="AC19" s="3">
        <f>T19*'Settings &amp; Rates'!$B$5+U19*'Settings &amp; Rates'!$B$6+V19*'Settings &amp; Rates'!$B$7+W19*'Settings &amp; Rates'!$B$8+X19*'Settings &amp; Rates'!$B$9</f>
        <v>75</v>
      </c>
      <c r="AD19" s="3">
        <f>SUMIF('Attempt Log'!$B$2:$B$101,A19,'Attempt Log'!$K$2:$K$101)</f>
        <v>0</v>
      </c>
      <c r="AE19" s="3">
        <f t="shared" si="0"/>
        <v>-75</v>
      </c>
      <c r="AF19">
        <f>COUNTIF('Attempt Log'!$B$2:$B$101,A19)</f>
        <v>0</v>
      </c>
      <c r="AG19">
        <f>IFERROR(SUMIFS('Attempt Log'!$U$2:$U$101,'Attempt Log'!$B$2:$B$101,A19,'Attempt Log'!$N$2:$N$101,"Yes")/COUNTIFS('Attempt Log'!$B$2:$B$101,A19,'Attempt Log'!$N$2:$N$101,"Yes"),0)</f>
        <v>0</v>
      </c>
    </row>
    <row r="20" spans="1:33">
      <c r="A20" t="s">
        <v>259</v>
      </c>
      <c r="B20" t="s">
        <v>260</v>
      </c>
      <c r="C20" t="s">
        <v>261</v>
      </c>
      <c r="D20" t="s">
        <v>149</v>
      </c>
      <c r="E20" t="s">
        <v>150</v>
      </c>
      <c r="F20" t="s">
        <v>151</v>
      </c>
      <c r="G20" t="s">
        <v>262</v>
      </c>
      <c r="H20" t="s">
        <v>126</v>
      </c>
      <c r="I20" t="s">
        <v>127</v>
      </c>
      <c r="J20" t="s">
        <v>246</v>
      </c>
      <c r="K20" t="s">
        <v>140</v>
      </c>
      <c r="L20" t="s">
        <v>141</v>
      </c>
      <c r="M20">
        <v>2500</v>
      </c>
      <c r="N20" t="s">
        <v>153</v>
      </c>
      <c r="O20" t="s">
        <v>11</v>
      </c>
      <c r="P20" t="s">
        <v>143</v>
      </c>
      <c r="Q20" t="s">
        <v>3096</v>
      </c>
      <c r="R20" t="s">
        <v>3258</v>
      </c>
      <c r="S20" t="s">
        <v>3420</v>
      </c>
      <c r="T20">
        <v>1</v>
      </c>
      <c r="U20">
        <v>3</v>
      </c>
      <c r="V20">
        <v>1</v>
      </c>
      <c r="W20">
        <v>1</v>
      </c>
      <c r="X20">
        <v>0</v>
      </c>
      <c r="Y20" t="s">
        <v>154</v>
      </c>
      <c r="Z20" t="s">
        <v>263</v>
      </c>
      <c r="AA20" t="s">
        <v>7</v>
      </c>
      <c r="AB20" t="s">
        <v>8</v>
      </c>
      <c r="AC20" s="3">
        <f>T20*'Settings &amp; Rates'!$B$5+U20*'Settings &amp; Rates'!$B$6+V20*'Settings &amp; Rates'!$B$7+W20*'Settings &amp; Rates'!$B$8+X20*'Settings &amp; Rates'!$B$9</f>
        <v>75</v>
      </c>
      <c r="AD20" s="3">
        <f>SUMIF('Attempt Log'!$B$2:$B$101,A20,'Attempt Log'!$K$2:$K$101)</f>
        <v>0</v>
      </c>
      <c r="AE20" s="3">
        <f t="shared" si="0"/>
        <v>-75</v>
      </c>
      <c r="AF20">
        <f>COUNTIF('Attempt Log'!$B$2:$B$101,A20)</f>
        <v>0</v>
      </c>
      <c r="AG20">
        <f>IFERROR(SUMIFS('Attempt Log'!$U$2:$U$101,'Attempt Log'!$B$2:$B$101,A20,'Attempt Log'!$N$2:$N$101,"Yes")/COUNTIFS('Attempt Log'!$B$2:$B$101,A20,'Attempt Log'!$N$2:$N$101,"Yes"),0)</f>
        <v>0</v>
      </c>
    </row>
    <row r="21" spans="1:33">
      <c r="A21" t="s">
        <v>264</v>
      </c>
      <c r="B21" t="s">
        <v>265</v>
      </c>
      <c r="C21" t="s">
        <v>266</v>
      </c>
      <c r="D21" t="s">
        <v>149</v>
      </c>
      <c r="E21" t="s">
        <v>150</v>
      </c>
      <c r="F21" t="s">
        <v>151</v>
      </c>
      <c r="G21" t="s">
        <v>267</v>
      </c>
      <c r="H21" t="s">
        <v>126</v>
      </c>
      <c r="I21" t="s">
        <v>127</v>
      </c>
      <c r="J21" t="s">
        <v>246</v>
      </c>
      <c r="K21" t="s">
        <v>140</v>
      </c>
      <c r="L21" t="s">
        <v>141</v>
      </c>
      <c r="M21">
        <v>2400</v>
      </c>
      <c r="N21" t="s">
        <v>153</v>
      </c>
      <c r="O21" t="s">
        <v>11</v>
      </c>
      <c r="P21" t="s">
        <v>143</v>
      </c>
      <c r="Q21" t="s">
        <v>3105</v>
      </c>
      <c r="R21" t="s">
        <v>3267</v>
      </c>
      <c r="S21" t="s">
        <v>3429</v>
      </c>
      <c r="T21">
        <v>1</v>
      </c>
      <c r="U21">
        <v>3</v>
      </c>
      <c r="V21">
        <v>1</v>
      </c>
      <c r="W21">
        <v>1</v>
      </c>
      <c r="X21">
        <v>0</v>
      </c>
      <c r="Y21" t="s">
        <v>154</v>
      </c>
      <c r="Z21" t="s">
        <v>268</v>
      </c>
      <c r="AA21" t="s">
        <v>7</v>
      </c>
      <c r="AB21" t="s">
        <v>8</v>
      </c>
      <c r="AC21" s="3">
        <f>T21*'Settings &amp; Rates'!$B$5+U21*'Settings &amp; Rates'!$B$6+V21*'Settings &amp; Rates'!$B$7+W21*'Settings &amp; Rates'!$B$8+X21*'Settings &amp; Rates'!$B$9</f>
        <v>75</v>
      </c>
      <c r="AD21" s="3">
        <f>SUMIF('Attempt Log'!$B$2:$B$101,A21,'Attempt Log'!$K$2:$K$101)</f>
        <v>0</v>
      </c>
      <c r="AE21" s="3">
        <f t="shared" si="0"/>
        <v>-75</v>
      </c>
      <c r="AF21">
        <f>COUNTIF('Attempt Log'!$B$2:$B$101,A21)</f>
        <v>0</v>
      </c>
      <c r="AG21">
        <f>IFERROR(SUMIFS('Attempt Log'!$U$2:$U$101,'Attempt Log'!$B$2:$B$101,A21,'Attempt Log'!$N$2:$N$101,"Yes")/COUNTIFS('Attempt Log'!$B$2:$B$101,A21,'Attempt Log'!$N$2:$N$101,"Yes"),0)</f>
        <v>0</v>
      </c>
    </row>
    <row r="22" spans="1:33">
      <c r="A22" t="s">
        <v>269</v>
      </c>
      <c r="B22" t="s">
        <v>270</v>
      </c>
      <c r="C22" t="s">
        <v>271</v>
      </c>
      <c r="D22" t="s">
        <v>149</v>
      </c>
      <c r="E22" t="s">
        <v>150</v>
      </c>
      <c r="F22" t="s">
        <v>272</v>
      </c>
      <c r="G22" t="s">
        <v>273</v>
      </c>
      <c r="H22" t="s">
        <v>126</v>
      </c>
      <c r="I22" t="s">
        <v>127</v>
      </c>
      <c r="J22" t="s">
        <v>274</v>
      </c>
      <c r="K22" t="s">
        <v>129</v>
      </c>
      <c r="L22" t="s">
        <v>17</v>
      </c>
      <c r="M22">
        <v>1450</v>
      </c>
      <c r="N22" t="s">
        <v>153</v>
      </c>
      <c r="O22" t="s">
        <v>11</v>
      </c>
      <c r="P22" t="s">
        <v>143</v>
      </c>
      <c r="Q22" t="s">
        <v>2970</v>
      </c>
      <c r="R22" t="s">
        <v>3132</v>
      </c>
      <c r="S22" t="s">
        <v>3294</v>
      </c>
      <c r="T22">
        <v>2</v>
      </c>
      <c r="U22">
        <v>3</v>
      </c>
      <c r="V22">
        <v>1</v>
      </c>
      <c r="W22">
        <v>1</v>
      </c>
      <c r="X22">
        <v>0</v>
      </c>
      <c r="Y22" t="s">
        <v>154</v>
      </c>
      <c r="Z22" t="s">
        <v>275</v>
      </c>
      <c r="AA22" t="s">
        <v>7</v>
      </c>
      <c r="AB22" t="s">
        <v>8</v>
      </c>
      <c r="AC22" s="3">
        <f>T22*'Settings &amp; Rates'!$B$5+U22*'Settings &amp; Rates'!$B$6+V22*'Settings &amp; Rates'!$B$7+W22*'Settings &amp; Rates'!$B$8+X22*'Settings &amp; Rates'!$B$9</f>
        <v>75</v>
      </c>
      <c r="AD22" s="3">
        <f>SUMIF('Attempt Log'!$B$2:$B$101,A22,'Attempt Log'!$K$2:$K$101)</f>
        <v>0</v>
      </c>
      <c r="AE22" s="3">
        <f t="shared" si="0"/>
        <v>-75</v>
      </c>
      <c r="AF22">
        <f>COUNTIF('Attempt Log'!$B$2:$B$101,A22)</f>
        <v>0</v>
      </c>
      <c r="AG22">
        <f>IFERROR(SUMIFS('Attempt Log'!$U$2:$U$101,'Attempt Log'!$B$2:$B$101,A22,'Attempt Log'!$N$2:$N$101,"Yes")/COUNTIFS('Attempt Log'!$B$2:$B$101,A22,'Attempt Log'!$N$2:$N$101,"Yes"),0)</f>
        <v>0</v>
      </c>
    </row>
    <row r="23" spans="1:33">
      <c r="A23" t="s">
        <v>276</v>
      </c>
      <c r="B23" t="s">
        <v>277</v>
      </c>
      <c r="C23" t="s">
        <v>278</v>
      </c>
      <c r="D23" t="s">
        <v>149</v>
      </c>
      <c r="E23" t="s">
        <v>150</v>
      </c>
      <c r="F23" t="s">
        <v>272</v>
      </c>
      <c r="G23" t="s">
        <v>279</v>
      </c>
      <c r="H23" t="s">
        <v>126</v>
      </c>
      <c r="I23" t="s">
        <v>127</v>
      </c>
      <c r="J23" t="s">
        <v>274</v>
      </c>
      <c r="K23" t="s">
        <v>129</v>
      </c>
      <c r="L23" t="s">
        <v>17</v>
      </c>
      <c r="M23">
        <v>1200</v>
      </c>
      <c r="N23" t="s">
        <v>153</v>
      </c>
      <c r="O23" t="s">
        <v>11</v>
      </c>
      <c r="P23" t="s">
        <v>143</v>
      </c>
      <c r="Q23" t="s">
        <v>2979</v>
      </c>
      <c r="R23" t="s">
        <v>3141</v>
      </c>
      <c r="S23" t="s">
        <v>3303</v>
      </c>
      <c r="T23">
        <v>2</v>
      </c>
      <c r="U23">
        <v>3</v>
      </c>
      <c r="V23">
        <v>1</v>
      </c>
      <c r="W23">
        <v>1</v>
      </c>
      <c r="X23">
        <v>0</v>
      </c>
      <c r="Y23" t="s">
        <v>154</v>
      </c>
      <c r="Z23" t="s">
        <v>280</v>
      </c>
      <c r="AA23" t="s">
        <v>7</v>
      </c>
      <c r="AB23" t="s">
        <v>8</v>
      </c>
      <c r="AC23" s="3">
        <f>T23*'Settings &amp; Rates'!$B$5+U23*'Settings &amp; Rates'!$B$6+V23*'Settings &amp; Rates'!$B$7+W23*'Settings &amp; Rates'!$B$8+X23*'Settings &amp; Rates'!$B$9</f>
        <v>75</v>
      </c>
      <c r="AD23" s="3">
        <f>SUMIF('Attempt Log'!$B$2:$B$101,A23,'Attempt Log'!$K$2:$K$101)</f>
        <v>0</v>
      </c>
      <c r="AE23" s="3">
        <f t="shared" si="0"/>
        <v>-75</v>
      </c>
      <c r="AF23">
        <f>COUNTIF('Attempt Log'!$B$2:$B$101,A23)</f>
        <v>0</v>
      </c>
      <c r="AG23">
        <f>IFERROR(SUMIFS('Attempt Log'!$U$2:$U$101,'Attempt Log'!$B$2:$B$101,A23,'Attempt Log'!$N$2:$N$101,"Yes")/COUNTIFS('Attempt Log'!$B$2:$B$101,A23,'Attempt Log'!$N$2:$N$101,"Yes"),0)</f>
        <v>0</v>
      </c>
    </row>
    <row r="24" spans="1:33">
      <c r="A24" t="s">
        <v>281</v>
      </c>
      <c r="B24" t="s">
        <v>282</v>
      </c>
      <c r="C24" t="s">
        <v>283</v>
      </c>
      <c r="D24" t="s">
        <v>149</v>
      </c>
      <c r="E24" t="s">
        <v>150</v>
      </c>
      <c r="F24" t="s">
        <v>272</v>
      </c>
      <c r="G24" t="s">
        <v>284</v>
      </c>
      <c r="H24" t="s">
        <v>126</v>
      </c>
      <c r="I24" t="s">
        <v>127</v>
      </c>
      <c r="J24" t="s">
        <v>274</v>
      </c>
      <c r="K24" t="s">
        <v>129</v>
      </c>
      <c r="L24" t="s">
        <v>17</v>
      </c>
      <c r="M24">
        <v>1500</v>
      </c>
      <c r="N24" t="s">
        <v>153</v>
      </c>
      <c r="O24" t="s">
        <v>11</v>
      </c>
      <c r="P24" t="s">
        <v>143</v>
      </c>
      <c r="Q24" t="s">
        <v>2988</v>
      </c>
      <c r="R24" t="s">
        <v>3150</v>
      </c>
      <c r="S24" t="s">
        <v>3312</v>
      </c>
      <c r="T24">
        <v>2</v>
      </c>
      <c r="U24">
        <v>3</v>
      </c>
      <c r="V24">
        <v>1</v>
      </c>
      <c r="W24">
        <v>1</v>
      </c>
      <c r="X24">
        <v>0</v>
      </c>
      <c r="Y24" t="s">
        <v>154</v>
      </c>
      <c r="Z24" t="s">
        <v>285</v>
      </c>
      <c r="AA24" t="s">
        <v>7</v>
      </c>
      <c r="AB24" t="s">
        <v>8</v>
      </c>
      <c r="AC24" s="3">
        <f>T24*'Settings &amp; Rates'!$B$5+U24*'Settings &amp; Rates'!$B$6+V24*'Settings &amp; Rates'!$B$7+W24*'Settings &amp; Rates'!$B$8+X24*'Settings &amp; Rates'!$B$9</f>
        <v>75</v>
      </c>
      <c r="AD24" s="3">
        <f>SUMIF('Attempt Log'!$B$2:$B$101,A24,'Attempt Log'!$K$2:$K$101)</f>
        <v>0</v>
      </c>
      <c r="AE24" s="3">
        <f t="shared" si="0"/>
        <v>-75</v>
      </c>
      <c r="AF24">
        <f>COUNTIF('Attempt Log'!$B$2:$B$101,A24)</f>
        <v>0</v>
      </c>
      <c r="AG24">
        <f>IFERROR(SUMIFS('Attempt Log'!$U$2:$U$101,'Attempt Log'!$B$2:$B$101,A24,'Attempt Log'!$N$2:$N$101,"Yes")/COUNTIFS('Attempt Log'!$B$2:$B$101,A24,'Attempt Log'!$N$2:$N$101,"Yes"),0)</f>
        <v>0</v>
      </c>
    </row>
    <row r="25" spans="1:33">
      <c r="A25" t="s">
        <v>286</v>
      </c>
      <c r="B25" t="s">
        <v>287</v>
      </c>
      <c r="C25" t="s">
        <v>288</v>
      </c>
      <c r="D25" t="s">
        <v>149</v>
      </c>
      <c r="E25" t="s">
        <v>150</v>
      </c>
      <c r="F25" t="s">
        <v>272</v>
      </c>
      <c r="G25" t="s">
        <v>289</v>
      </c>
      <c r="H25" t="s">
        <v>126</v>
      </c>
      <c r="I25" t="s">
        <v>127</v>
      </c>
      <c r="J25" t="s">
        <v>274</v>
      </c>
      <c r="K25" t="s">
        <v>129</v>
      </c>
      <c r="L25" t="s">
        <v>17</v>
      </c>
      <c r="M25">
        <v>3350</v>
      </c>
      <c r="N25" t="s">
        <v>153</v>
      </c>
      <c r="O25" t="s">
        <v>11</v>
      </c>
      <c r="P25" t="s">
        <v>143</v>
      </c>
      <c r="Q25" t="s">
        <v>2997</v>
      </c>
      <c r="R25" t="s">
        <v>3159</v>
      </c>
      <c r="S25" t="s">
        <v>3321</v>
      </c>
      <c r="T25">
        <v>2</v>
      </c>
      <c r="U25">
        <v>3</v>
      </c>
      <c r="V25">
        <v>1</v>
      </c>
      <c r="W25">
        <v>1</v>
      </c>
      <c r="X25">
        <v>0</v>
      </c>
      <c r="Y25" t="s">
        <v>154</v>
      </c>
      <c r="Z25" t="s">
        <v>290</v>
      </c>
      <c r="AA25" t="s">
        <v>7</v>
      </c>
      <c r="AB25" t="s">
        <v>8</v>
      </c>
      <c r="AC25" s="3">
        <f>T25*'Settings &amp; Rates'!$B$5+U25*'Settings &amp; Rates'!$B$6+V25*'Settings &amp; Rates'!$B$7+W25*'Settings &amp; Rates'!$B$8+X25*'Settings &amp; Rates'!$B$9</f>
        <v>75</v>
      </c>
      <c r="AD25" s="3">
        <f>SUMIF('Attempt Log'!$B$2:$B$101,A25,'Attempt Log'!$K$2:$K$101)</f>
        <v>0</v>
      </c>
      <c r="AE25" s="3">
        <f t="shared" si="0"/>
        <v>-75</v>
      </c>
      <c r="AF25">
        <f>COUNTIF('Attempt Log'!$B$2:$B$101,A25)</f>
        <v>0</v>
      </c>
      <c r="AG25">
        <f>IFERROR(SUMIFS('Attempt Log'!$U$2:$U$101,'Attempt Log'!$B$2:$B$101,A25,'Attempt Log'!$N$2:$N$101,"Yes")/COUNTIFS('Attempt Log'!$B$2:$B$101,A25,'Attempt Log'!$N$2:$N$101,"Yes"),0)</f>
        <v>0</v>
      </c>
    </row>
    <row r="26" spans="1:33">
      <c r="A26" t="s">
        <v>291</v>
      </c>
      <c r="B26" t="s">
        <v>292</v>
      </c>
      <c r="C26" t="s">
        <v>293</v>
      </c>
      <c r="D26" t="s">
        <v>149</v>
      </c>
      <c r="E26" t="s">
        <v>150</v>
      </c>
      <c r="F26" t="s">
        <v>294</v>
      </c>
      <c r="G26" t="s">
        <v>295</v>
      </c>
      <c r="H26" t="s">
        <v>126</v>
      </c>
      <c r="I26" t="s">
        <v>127</v>
      </c>
      <c r="J26" t="s">
        <v>274</v>
      </c>
      <c r="K26" t="s">
        <v>129</v>
      </c>
      <c r="L26" t="s">
        <v>17</v>
      </c>
      <c r="M26">
        <v>1750</v>
      </c>
      <c r="N26" t="s">
        <v>153</v>
      </c>
      <c r="O26" t="s">
        <v>11</v>
      </c>
      <c r="P26" t="s">
        <v>143</v>
      </c>
      <c r="Q26" t="s">
        <v>3006</v>
      </c>
      <c r="R26" t="s">
        <v>3168</v>
      </c>
      <c r="S26" t="s">
        <v>3330</v>
      </c>
      <c r="T26">
        <v>2</v>
      </c>
      <c r="U26">
        <v>3</v>
      </c>
      <c r="V26">
        <v>1</v>
      </c>
      <c r="W26">
        <v>1</v>
      </c>
      <c r="X26">
        <v>0</v>
      </c>
      <c r="Y26" t="s">
        <v>154</v>
      </c>
      <c r="Z26" t="s">
        <v>296</v>
      </c>
      <c r="AA26" t="s">
        <v>7</v>
      </c>
      <c r="AB26" t="s">
        <v>8</v>
      </c>
      <c r="AC26" s="3">
        <f>T26*'Settings &amp; Rates'!$B$5+U26*'Settings &amp; Rates'!$B$6+V26*'Settings &amp; Rates'!$B$7+W26*'Settings &amp; Rates'!$B$8+X26*'Settings &amp; Rates'!$B$9</f>
        <v>75</v>
      </c>
      <c r="AD26" s="3">
        <f>SUMIF('Attempt Log'!$B$2:$B$101,A26,'Attempt Log'!$K$2:$K$101)</f>
        <v>0</v>
      </c>
      <c r="AE26" s="3">
        <f t="shared" si="0"/>
        <v>-75</v>
      </c>
      <c r="AF26">
        <f>COUNTIF('Attempt Log'!$B$2:$B$101,A26)</f>
        <v>0</v>
      </c>
      <c r="AG26">
        <f>IFERROR(SUMIFS('Attempt Log'!$U$2:$U$101,'Attempt Log'!$B$2:$B$101,A26,'Attempt Log'!$N$2:$N$101,"Yes")/COUNTIFS('Attempt Log'!$B$2:$B$101,A26,'Attempt Log'!$N$2:$N$101,"Yes"),0)</f>
        <v>0</v>
      </c>
    </row>
    <row r="27" spans="1:33">
      <c r="A27" t="s">
        <v>297</v>
      </c>
      <c r="B27" t="s">
        <v>298</v>
      </c>
      <c r="C27" t="s">
        <v>299</v>
      </c>
      <c r="D27" t="s">
        <v>149</v>
      </c>
      <c r="E27" t="s">
        <v>150</v>
      </c>
      <c r="F27" t="s">
        <v>294</v>
      </c>
      <c r="G27" t="s">
        <v>300</v>
      </c>
      <c r="H27" t="s">
        <v>126</v>
      </c>
      <c r="I27" t="s">
        <v>127</v>
      </c>
      <c r="J27" t="s">
        <v>274</v>
      </c>
      <c r="K27" t="s">
        <v>129</v>
      </c>
      <c r="L27" t="s">
        <v>17</v>
      </c>
      <c r="M27">
        <v>3750</v>
      </c>
      <c r="N27" t="s">
        <v>153</v>
      </c>
      <c r="O27" t="s">
        <v>11</v>
      </c>
      <c r="P27" t="s">
        <v>143</v>
      </c>
      <c r="Q27" t="s">
        <v>3015</v>
      </c>
      <c r="R27" t="s">
        <v>3177</v>
      </c>
      <c r="S27" t="s">
        <v>3339</v>
      </c>
      <c r="T27">
        <v>2</v>
      </c>
      <c r="U27">
        <v>3</v>
      </c>
      <c r="V27">
        <v>1</v>
      </c>
      <c r="W27">
        <v>1</v>
      </c>
      <c r="X27">
        <v>0</v>
      </c>
      <c r="Y27" t="s">
        <v>154</v>
      </c>
      <c r="Z27" t="s">
        <v>301</v>
      </c>
      <c r="AA27" t="s">
        <v>7</v>
      </c>
      <c r="AB27" t="s">
        <v>8</v>
      </c>
      <c r="AC27" s="3">
        <f>T27*'Settings &amp; Rates'!$B$5+U27*'Settings &amp; Rates'!$B$6+V27*'Settings &amp; Rates'!$B$7+W27*'Settings &amp; Rates'!$B$8+X27*'Settings &amp; Rates'!$B$9</f>
        <v>75</v>
      </c>
      <c r="AD27" s="3">
        <f>SUMIF('Attempt Log'!$B$2:$B$101,A27,'Attempt Log'!$K$2:$K$101)</f>
        <v>0</v>
      </c>
      <c r="AE27" s="3">
        <f t="shared" si="0"/>
        <v>-75</v>
      </c>
      <c r="AF27">
        <f>COUNTIF('Attempt Log'!$B$2:$B$101,A27)</f>
        <v>0</v>
      </c>
      <c r="AG27">
        <f>IFERROR(SUMIFS('Attempt Log'!$U$2:$U$101,'Attempt Log'!$B$2:$B$101,A27,'Attempt Log'!$N$2:$N$101,"Yes")/COUNTIFS('Attempt Log'!$B$2:$B$101,A27,'Attempt Log'!$N$2:$N$101,"Yes"),0)</f>
        <v>0</v>
      </c>
    </row>
    <row r="28" spans="1:33">
      <c r="A28" t="s">
        <v>302</v>
      </c>
      <c r="B28" t="s">
        <v>303</v>
      </c>
      <c r="C28" t="s">
        <v>304</v>
      </c>
      <c r="D28" t="s">
        <v>149</v>
      </c>
      <c r="E28" t="s">
        <v>150</v>
      </c>
      <c r="F28" t="s">
        <v>294</v>
      </c>
      <c r="G28" t="s">
        <v>305</v>
      </c>
      <c r="H28" t="s">
        <v>126</v>
      </c>
      <c r="I28" t="s">
        <v>127</v>
      </c>
      <c r="J28" t="s">
        <v>274</v>
      </c>
      <c r="K28" t="s">
        <v>129</v>
      </c>
      <c r="L28" t="s">
        <v>17</v>
      </c>
      <c r="M28">
        <v>1550</v>
      </c>
      <c r="N28" t="s">
        <v>153</v>
      </c>
      <c r="O28" t="s">
        <v>11</v>
      </c>
      <c r="P28" t="s">
        <v>143</v>
      </c>
      <c r="Q28" t="s">
        <v>3024</v>
      </c>
      <c r="R28" t="s">
        <v>3186</v>
      </c>
      <c r="S28" t="s">
        <v>3348</v>
      </c>
      <c r="T28">
        <v>2</v>
      </c>
      <c r="U28">
        <v>3</v>
      </c>
      <c r="V28">
        <v>1</v>
      </c>
      <c r="W28">
        <v>1</v>
      </c>
      <c r="X28">
        <v>0</v>
      </c>
      <c r="Y28" t="s">
        <v>154</v>
      </c>
      <c r="Z28" t="s">
        <v>306</v>
      </c>
      <c r="AA28" t="s">
        <v>7</v>
      </c>
      <c r="AB28" t="s">
        <v>8</v>
      </c>
      <c r="AC28" s="3">
        <f>T28*'Settings &amp; Rates'!$B$5+U28*'Settings &amp; Rates'!$B$6+V28*'Settings &amp; Rates'!$B$7+W28*'Settings &amp; Rates'!$B$8+X28*'Settings &amp; Rates'!$B$9</f>
        <v>75</v>
      </c>
      <c r="AD28" s="3">
        <f>SUMIF('Attempt Log'!$B$2:$B$101,A28,'Attempt Log'!$K$2:$K$101)</f>
        <v>0</v>
      </c>
      <c r="AE28" s="3">
        <f t="shared" si="0"/>
        <v>-75</v>
      </c>
      <c r="AF28">
        <f>COUNTIF('Attempt Log'!$B$2:$B$101,A28)</f>
        <v>0</v>
      </c>
      <c r="AG28">
        <f>IFERROR(SUMIFS('Attempt Log'!$U$2:$U$101,'Attempt Log'!$B$2:$B$101,A28,'Attempt Log'!$N$2:$N$101,"Yes")/COUNTIFS('Attempt Log'!$B$2:$B$101,A28,'Attempt Log'!$N$2:$N$101,"Yes"),0)</f>
        <v>0</v>
      </c>
    </row>
    <row r="29" spans="1:33">
      <c r="A29" t="s">
        <v>307</v>
      </c>
      <c r="B29" t="s">
        <v>308</v>
      </c>
      <c r="C29" t="s">
        <v>309</v>
      </c>
      <c r="D29" t="s">
        <v>149</v>
      </c>
      <c r="E29" t="s">
        <v>150</v>
      </c>
      <c r="F29" t="s">
        <v>294</v>
      </c>
      <c r="G29" t="s">
        <v>310</v>
      </c>
      <c r="H29" t="s">
        <v>126</v>
      </c>
      <c r="I29" t="s">
        <v>127</v>
      </c>
      <c r="J29" t="s">
        <v>274</v>
      </c>
      <c r="K29" t="s">
        <v>129</v>
      </c>
      <c r="L29" t="s">
        <v>17</v>
      </c>
      <c r="M29">
        <v>2200</v>
      </c>
      <c r="N29" t="s">
        <v>153</v>
      </c>
      <c r="O29" t="s">
        <v>11</v>
      </c>
      <c r="P29" t="s">
        <v>143</v>
      </c>
      <c r="Q29" t="s">
        <v>3033</v>
      </c>
      <c r="R29" t="s">
        <v>3195</v>
      </c>
      <c r="S29" t="s">
        <v>3357</v>
      </c>
      <c r="T29">
        <v>2</v>
      </c>
      <c r="U29">
        <v>3</v>
      </c>
      <c r="V29">
        <v>1</v>
      </c>
      <c r="W29">
        <v>1</v>
      </c>
      <c r="X29">
        <v>0</v>
      </c>
      <c r="Y29" t="s">
        <v>154</v>
      </c>
      <c r="Z29" t="s">
        <v>311</v>
      </c>
      <c r="AA29" t="s">
        <v>7</v>
      </c>
      <c r="AB29" t="s">
        <v>8</v>
      </c>
      <c r="AC29" s="3">
        <f>T29*'Settings &amp; Rates'!$B$5+U29*'Settings &amp; Rates'!$B$6+V29*'Settings &amp; Rates'!$B$7+W29*'Settings &amp; Rates'!$B$8+X29*'Settings &amp; Rates'!$B$9</f>
        <v>75</v>
      </c>
      <c r="AD29" s="3">
        <f>SUMIF('Attempt Log'!$B$2:$B$101,A29,'Attempt Log'!$K$2:$K$101)</f>
        <v>0</v>
      </c>
      <c r="AE29" s="3">
        <f t="shared" si="0"/>
        <v>-75</v>
      </c>
      <c r="AF29">
        <f>COUNTIF('Attempt Log'!$B$2:$B$101,A29)</f>
        <v>0</v>
      </c>
      <c r="AG29">
        <f>IFERROR(SUMIFS('Attempt Log'!$U$2:$U$101,'Attempt Log'!$B$2:$B$101,A29,'Attempt Log'!$N$2:$N$101,"Yes")/COUNTIFS('Attempt Log'!$B$2:$B$101,A29,'Attempt Log'!$N$2:$N$101,"Yes"),0)</f>
        <v>0</v>
      </c>
    </row>
    <row r="30" spans="1:33">
      <c r="A30" t="s">
        <v>312</v>
      </c>
      <c r="B30" t="s">
        <v>313</v>
      </c>
      <c r="C30" t="s">
        <v>314</v>
      </c>
      <c r="D30" t="s">
        <v>149</v>
      </c>
      <c r="E30" t="s">
        <v>150</v>
      </c>
      <c r="F30" t="s">
        <v>315</v>
      </c>
      <c r="G30" t="s">
        <v>316</v>
      </c>
      <c r="H30" t="s">
        <v>126</v>
      </c>
      <c r="I30" t="s">
        <v>127</v>
      </c>
      <c r="J30" t="s">
        <v>274</v>
      </c>
      <c r="K30" t="s">
        <v>129</v>
      </c>
      <c r="L30" t="s">
        <v>17</v>
      </c>
      <c r="M30">
        <v>1450</v>
      </c>
      <c r="N30" t="s">
        <v>153</v>
      </c>
      <c r="O30" t="s">
        <v>11</v>
      </c>
      <c r="P30" t="s">
        <v>143</v>
      </c>
      <c r="Q30" t="s">
        <v>3042</v>
      </c>
      <c r="R30" t="s">
        <v>3204</v>
      </c>
      <c r="S30" t="s">
        <v>3366</v>
      </c>
      <c r="T30">
        <v>2</v>
      </c>
      <c r="U30">
        <v>3</v>
      </c>
      <c r="V30">
        <v>1</v>
      </c>
      <c r="W30">
        <v>1</v>
      </c>
      <c r="X30">
        <v>0</v>
      </c>
      <c r="Y30" t="s">
        <v>154</v>
      </c>
      <c r="Z30" t="s">
        <v>317</v>
      </c>
      <c r="AA30" t="s">
        <v>7</v>
      </c>
      <c r="AB30" t="s">
        <v>8</v>
      </c>
      <c r="AC30" s="3">
        <f>T30*'Settings &amp; Rates'!$B$5+U30*'Settings &amp; Rates'!$B$6+V30*'Settings &amp; Rates'!$B$7+W30*'Settings &amp; Rates'!$B$8+X30*'Settings &amp; Rates'!$B$9</f>
        <v>75</v>
      </c>
      <c r="AD30" s="3">
        <f>SUMIF('Attempt Log'!$B$2:$B$101,A30,'Attempt Log'!$K$2:$K$101)</f>
        <v>0</v>
      </c>
      <c r="AE30" s="3">
        <f t="shared" si="0"/>
        <v>-75</v>
      </c>
      <c r="AF30">
        <f>COUNTIF('Attempt Log'!$B$2:$B$101,A30)</f>
        <v>0</v>
      </c>
      <c r="AG30">
        <f>IFERROR(SUMIFS('Attempt Log'!$U$2:$U$101,'Attempt Log'!$B$2:$B$101,A30,'Attempt Log'!$N$2:$N$101,"Yes")/COUNTIFS('Attempt Log'!$B$2:$B$101,A30,'Attempt Log'!$N$2:$N$101,"Yes"),0)</f>
        <v>0</v>
      </c>
    </row>
    <row r="31" spans="1:33">
      <c r="A31" t="s">
        <v>318</v>
      </c>
      <c r="B31" t="s">
        <v>319</v>
      </c>
      <c r="C31" t="s">
        <v>320</v>
      </c>
      <c r="D31" t="s">
        <v>149</v>
      </c>
      <c r="E31" t="s">
        <v>150</v>
      </c>
      <c r="F31" t="s">
        <v>315</v>
      </c>
      <c r="G31" t="s">
        <v>321</v>
      </c>
      <c r="H31" t="s">
        <v>126</v>
      </c>
      <c r="I31" t="s">
        <v>127</v>
      </c>
      <c r="J31" t="s">
        <v>274</v>
      </c>
      <c r="K31" t="s">
        <v>129</v>
      </c>
      <c r="L31" t="s">
        <v>17</v>
      </c>
      <c r="M31">
        <v>2800</v>
      </c>
      <c r="N31" t="s">
        <v>153</v>
      </c>
      <c r="O31" t="s">
        <v>11</v>
      </c>
      <c r="P31" t="s">
        <v>143</v>
      </c>
      <c r="Q31" t="s">
        <v>3051</v>
      </c>
      <c r="R31" t="s">
        <v>3213</v>
      </c>
      <c r="S31" t="s">
        <v>3375</v>
      </c>
      <c r="T31">
        <v>2</v>
      </c>
      <c r="U31">
        <v>3</v>
      </c>
      <c r="V31">
        <v>1</v>
      </c>
      <c r="W31">
        <v>1</v>
      </c>
      <c r="X31">
        <v>0</v>
      </c>
      <c r="Y31" t="s">
        <v>154</v>
      </c>
      <c r="Z31" t="s">
        <v>322</v>
      </c>
      <c r="AA31" t="s">
        <v>7</v>
      </c>
      <c r="AB31" t="s">
        <v>8</v>
      </c>
      <c r="AC31" s="3">
        <f>T31*'Settings &amp; Rates'!$B$5+U31*'Settings &amp; Rates'!$B$6+V31*'Settings &amp; Rates'!$B$7+W31*'Settings &amp; Rates'!$B$8+X31*'Settings &amp; Rates'!$B$9</f>
        <v>75</v>
      </c>
      <c r="AD31" s="3">
        <f>SUMIF('Attempt Log'!$B$2:$B$101,A31,'Attempt Log'!$K$2:$K$101)</f>
        <v>0</v>
      </c>
      <c r="AE31" s="3">
        <f t="shared" si="0"/>
        <v>-75</v>
      </c>
      <c r="AF31">
        <f>COUNTIF('Attempt Log'!$B$2:$B$101,A31)</f>
        <v>0</v>
      </c>
      <c r="AG31">
        <f>IFERROR(SUMIFS('Attempt Log'!$U$2:$U$101,'Attempt Log'!$B$2:$B$101,A31,'Attempt Log'!$N$2:$N$101,"Yes")/COUNTIFS('Attempt Log'!$B$2:$B$101,A31,'Attempt Log'!$N$2:$N$101,"Yes"),0)</f>
        <v>0</v>
      </c>
    </row>
    <row r="32" spans="1:33">
      <c r="A32" t="s">
        <v>323</v>
      </c>
      <c r="B32" t="s">
        <v>324</v>
      </c>
      <c r="C32" t="s">
        <v>325</v>
      </c>
      <c r="D32" t="s">
        <v>149</v>
      </c>
      <c r="E32" t="s">
        <v>150</v>
      </c>
      <c r="F32" t="s">
        <v>315</v>
      </c>
      <c r="G32" t="s">
        <v>326</v>
      </c>
      <c r="H32" t="s">
        <v>126</v>
      </c>
      <c r="I32" t="s">
        <v>127</v>
      </c>
      <c r="J32" t="s">
        <v>274</v>
      </c>
      <c r="K32" t="s">
        <v>129</v>
      </c>
      <c r="L32" t="s">
        <v>17</v>
      </c>
      <c r="M32">
        <v>1200</v>
      </c>
      <c r="N32" t="s">
        <v>153</v>
      </c>
      <c r="O32" t="s">
        <v>11</v>
      </c>
      <c r="P32" t="s">
        <v>143</v>
      </c>
      <c r="Q32" t="s">
        <v>3060</v>
      </c>
      <c r="R32" t="s">
        <v>3222</v>
      </c>
      <c r="S32" t="s">
        <v>3384</v>
      </c>
      <c r="T32">
        <v>2</v>
      </c>
      <c r="U32">
        <v>3</v>
      </c>
      <c r="V32">
        <v>1</v>
      </c>
      <c r="W32">
        <v>1</v>
      </c>
      <c r="X32">
        <v>0</v>
      </c>
      <c r="Y32" t="s">
        <v>154</v>
      </c>
      <c r="Z32" t="s">
        <v>327</v>
      </c>
      <c r="AA32" t="s">
        <v>7</v>
      </c>
      <c r="AB32" t="s">
        <v>8</v>
      </c>
      <c r="AC32" s="3">
        <f>T32*'Settings &amp; Rates'!$B$5+U32*'Settings &amp; Rates'!$B$6+V32*'Settings &amp; Rates'!$B$7+W32*'Settings &amp; Rates'!$B$8+X32*'Settings &amp; Rates'!$B$9</f>
        <v>75</v>
      </c>
      <c r="AD32" s="3">
        <f>SUMIF('Attempt Log'!$B$2:$B$101,A32,'Attempt Log'!$K$2:$K$101)</f>
        <v>0</v>
      </c>
      <c r="AE32" s="3">
        <f t="shared" si="0"/>
        <v>-75</v>
      </c>
      <c r="AF32">
        <f>COUNTIF('Attempt Log'!$B$2:$B$101,A32)</f>
        <v>0</v>
      </c>
      <c r="AG32">
        <f>IFERROR(SUMIFS('Attempt Log'!$U$2:$U$101,'Attempt Log'!$B$2:$B$101,A32,'Attempt Log'!$N$2:$N$101,"Yes")/COUNTIFS('Attempt Log'!$B$2:$B$101,A32,'Attempt Log'!$N$2:$N$101,"Yes"),0)</f>
        <v>0</v>
      </c>
    </row>
    <row r="33" spans="1:33">
      <c r="A33" t="s">
        <v>328</v>
      </c>
      <c r="B33" t="s">
        <v>329</v>
      </c>
      <c r="C33" t="s">
        <v>330</v>
      </c>
      <c r="D33" t="s">
        <v>149</v>
      </c>
      <c r="E33" t="s">
        <v>150</v>
      </c>
      <c r="F33" t="s">
        <v>315</v>
      </c>
      <c r="G33" t="s">
        <v>331</v>
      </c>
      <c r="H33" t="s">
        <v>126</v>
      </c>
      <c r="I33" t="s">
        <v>127</v>
      </c>
      <c r="J33" t="s">
        <v>274</v>
      </c>
      <c r="K33" t="s">
        <v>129</v>
      </c>
      <c r="L33" t="s">
        <v>17</v>
      </c>
      <c r="M33">
        <v>1450</v>
      </c>
      <c r="N33" t="s">
        <v>153</v>
      </c>
      <c r="O33" t="s">
        <v>11</v>
      </c>
      <c r="P33" t="s">
        <v>143</v>
      </c>
      <c r="Q33" t="s">
        <v>3069</v>
      </c>
      <c r="R33" t="s">
        <v>3231</v>
      </c>
      <c r="S33" t="s">
        <v>3393</v>
      </c>
      <c r="T33">
        <v>2</v>
      </c>
      <c r="U33">
        <v>3</v>
      </c>
      <c r="V33">
        <v>1</v>
      </c>
      <c r="W33">
        <v>1</v>
      </c>
      <c r="X33">
        <v>0</v>
      </c>
      <c r="Y33" t="s">
        <v>154</v>
      </c>
      <c r="Z33" t="s">
        <v>332</v>
      </c>
      <c r="AA33" t="s">
        <v>7</v>
      </c>
      <c r="AB33" t="s">
        <v>8</v>
      </c>
      <c r="AC33" s="3">
        <f>T33*'Settings &amp; Rates'!$B$5+U33*'Settings &amp; Rates'!$B$6+V33*'Settings &amp; Rates'!$B$7+W33*'Settings &amp; Rates'!$B$8+X33*'Settings &amp; Rates'!$B$9</f>
        <v>75</v>
      </c>
      <c r="AD33" s="3">
        <f>SUMIF('Attempt Log'!$B$2:$B$101,A33,'Attempt Log'!$K$2:$K$101)</f>
        <v>0</v>
      </c>
      <c r="AE33" s="3">
        <f t="shared" si="0"/>
        <v>-75</v>
      </c>
      <c r="AF33">
        <f>COUNTIF('Attempt Log'!$B$2:$B$101,A33)</f>
        <v>0</v>
      </c>
      <c r="AG33">
        <f>IFERROR(SUMIFS('Attempt Log'!$U$2:$U$101,'Attempt Log'!$B$2:$B$101,A33,'Attempt Log'!$N$2:$N$101,"Yes")/COUNTIFS('Attempt Log'!$B$2:$B$101,A33,'Attempt Log'!$N$2:$N$101,"Yes"),0)</f>
        <v>0</v>
      </c>
    </row>
    <row r="34" spans="1:33">
      <c r="A34" t="s">
        <v>333</v>
      </c>
      <c r="B34" t="s">
        <v>334</v>
      </c>
      <c r="C34" t="s">
        <v>335</v>
      </c>
      <c r="D34" t="s">
        <v>137</v>
      </c>
      <c r="E34" t="s">
        <v>169</v>
      </c>
      <c r="F34" t="s">
        <v>170</v>
      </c>
      <c r="G34" t="s">
        <v>336</v>
      </c>
      <c r="H34" t="s">
        <v>126</v>
      </c>
      <c r="I34" t="s">
        <v>127</v>
      </c>
      <c r="J34" t="s">
        <v>337</v>
      </c>
      <c r="K34" t="s">
        <v>140</v>
      </c>
      <c r="L34" t="s">
        <v>141</v>
      </c>
      <c r="M34">
        <v>5250</v>
      </c>
      <c r="N34" t="s">
        <v>142</v>
      </c>
      <c r="O34" t="s">
        <v>11</v>
      </c>
      <c r="P34" t="s">
        <v>338</v>
      </c>
      <c r="Q34" t="s">
        <v>3510</v>
      </c>
      <c r="R34" t="s">
        <v>3595</v>
      </c>
      <c r="S34" t="s">
        <v>3685</v>
      </c>
      <c r="T34">
        <v>2</v>
      </c>
      <c r="U34">
        <v>3</v>
      </c>
      <c r="V34">
        <v>1</v>
      </c>
      <c r="W34">
        <v>1</v>
      </c>
      <c r="X34">
        <v>0</v>
      </c>
      <c r="Y34" t="s">
        <v>173</v>
      </c>
      <c r="Z34" t="s">
        <v>339</v>
      </c>
      <c r="AA34" t="s">
        <v>7</v>
      </c>
      <c r="AB34" t="s">
        <v>8</v>
      </c>
      <c r="AC34" s="3">
        <f>T34*'Settings &amp; Rates'!$B$5+U34*'Settings &amp; Rates'!$B$6+V34*'Settings &amp; Rates'!$B$7+W34*'Settings &amp; Rates'!$B$8+X34*'Settings &amp; Rates'!$B$9</f>
        <v>75</v>
      </c>
      <c r="AD34" s="3">
        <f>SUMIF('Attempt Log'!$B$2:$B$101,A34,'Attempt Log'!$K$2:$K$101)</f>
        <v>0</v>
      </c>
      <c r="AE34" s="3">
        <f t="shared" si="0"/>
        <v>-75</v>
      </c>
      <c r="AF34">
        <f>COUNTIF('Attempt Log'!$B$2:$B$101,A34)</f>
        <v>0</v>
      </c>
      <c r="AG34">
        <f>IFERROR(SUMIFS('Attempt Log'!$U$2:$U$101,'Attempt Log'!$B$2:$B$101,A34,'Attempt Log'!$N$2:$N$101,"Yes")/COUNTIFS('Attempt Log'!$B$2:$B$101,A34,'Attempt Log'!$N$2:$N$101,"Yes"),0)</f>
        <v>0</v>
      </c>
    </row>
    <row r="35" spans="1:33">
      <c r="A35" t="s">
        <v>340</v>
      </c>
      <c r="B35" t="s">
        <v>341</v>
      </c>
      <c r="C35" t="s">
        <v>342</v>
      </c>
      <c r="D35" t="s">
        <v>137</v>
      </c>
      <c r="E35" t="s">
        <v>169</v>
      </c>
      <c r="F35" t="s">
        <v>170</v>
      </c>
      <c r="G35" t="s">
        <v>343</v>
      </c>
      <c r="H35" t="s">
        <v>126</v>
      </c>
      <c r="I35" t="s">
        <v>127</v>
      </c>
      <c r="J35" t="s">
        <v>337</v>
      </c>
      <c r="K35" t="s">
        <v>140</v>
      </c>
      <c r="L35" t="s">
        <v>141</v>
      </c>
      <c r="M35">
        <v>5250</v>
      </c>
      <c r="N35" t="s">
        <v>142</v>
      </c>
      <c r="O35" t="s">
        <v>11</v>
      </c>
      <c r="P35" t="s">
        <v>344</v>
      </c>
      <c r="Q35" t="s">
        <v>3520</v>
      </c>
      <c r="R35" t="s">
        <v>3605</v>
      </c>
      <c r="S35" t="s">
        <v>3695</v>
      </c>
      <c r="T35">
        <v>2</v>
      </c>
      <c r="U35">
        <v>3</v>
      </c>
      <c r="V35">
        <v>1</v>
      </c>
      <c r="W35">
        <v>1</v>
      </c>
      <c r="X35">
        <v>0</v>
      </c>
      <c r="Y35" t="s">
        <v>173</v>
      </c>
      <c r="Z35" t="s">
        <v>345</v>
      </c>
      <c r="AA35" t="s">
        <v>7</v>
      </c>
      <c r="AB35" t="s">
        <v>8</v>
      </c>
      <c r="AC35" s="3">
        <f>T35*'Settings &amp; Rates'!$B$5+U35*'Settings &amp; Rates'!$B$6+V35*'Settings &amp; Rates'!$B$7+W35*'Settings &amp; Rates'!$B$8+X35*'Settings &amp; Rates'!$B$9</f>
        <v>75</v>
      </c>
      <c r="AD35" s="3">
        <f>SUMIF('Attempt Log'!$B$2:$B$101,A35,'Attempt Log'!$K$2:$K$101)</f>
        <v>0</v>
      </c>
      <c r="AE35" s="3">
        <f t="shared" si="0"/>
        <v>-75</v>
      </c>
      <c r="AF35">
        <f>COUNTIF('Attempt Log'!$B$2:$B$101,A35)</f>
        <v>0</v>
      </c>
      <c r="AG35">
        <f>IFERROR(SUMIFS('Attempt Log'!$U$2:$U$101,'Attempt Log'!$B$2:$B$101,A35,'Attempt Log'!$N$2:$N$101,"Yes")/COUNTIFS('Attempt Log'!$B$2:$B$101,A35,'Attempt Log'!$N$2:$N$101,"Yes"),0)</f>
        <v>0</v>
      </c>
    </row>
    <row r="36" spans="1:33">
      <c r="A36" t="s">
        <v>346</v>
      </c>
      <c r="B36" t="s">
        <v>347</v>
      </c>
      <c r="C36" t="s">
        <v>348</v>
      </c>
      <c r="D36" t="s">
        <v>137</v>
      </c>
      <c r="E36" t="s">
        <v>169</v>
      </c>
      <c r="F36" t="s">
        <v>170</v>
      </c>
      <c r="G36" t="s">
        <v>349</v>
      </c>
      <c r="H36" t="s">
        <v>126</v>
      </c>
      <c r="I36" t="s">
        <v>127</v>
      </c>
      <c r="J36" t="s">
        <v>337</v>
      </c>
      <c r="K36" t="s">
        <v>140</v>
      </c>
      <c r="L36" t="s">
        <v>141</v>
      </c>
      <c r="M36">
        <v>5250</v>
      </c>
      <c r="N36" t="s">
        <v>142</v>
      </c>
      <c r="O36" t="s">
        <v>11</v>
      </c>
      <c r="P36" t="s">
        <v>350</v>
      </c>
      <c r="Q36" t="s">
        <v>3525</v>
      </c>
      <c r="R36" t="s">
        <v>3610</v>
      </c>
      <c r="S36" t="s">
        <v>3700</v>
      </c>
      <c r="T36">
        <v>2</v>
      </c>
      <c r="U36">
        <v>3</v>
      </c>
      <c r="V36">
        <v>1</v>
      </c>
      <c r="W36">
        <v>1</v>
      </c>
      <c r="X36">
        <v>0</v>
      </c>
      <c r="Y36" t="s">
        <v>173</v>
      </c>
      <c r="Z36" t="s">
        <v>351</v>
      </c>
      <c r="AA36" t="s">
        <v>7</v>
      </c>
      <c r="AB36" t="s">
        <v>8</v>
      </c>
      <c r="AC36" s="3">
        <f>T36*'Settings &amp; Rates'!$B$5+U36*'Settings &amp; Rates'!$B$6+V36*'Settings &amp; Rates'!$B$7+W36*'Settings &amp; Rates'!$B$8+X36*'Settings &amp; Rates'!$B$9</f>
        <v>75</v>
      </c>
      <c r="AD36" s="3">
        <f>SUMIF('Attempt Log'!$B$2:$B$101,A36,'Attempt Log'!$K$2:$K$101)</f>
        <v>0</v>
      </c>
      <c r="AE36" s="3">
        <f t="shared" si="0"/>
        <v>-75</v>
      </c>
      <c r="AF36">
        <f>COUNTIF('Attempt Log'!$B$2:$B$101,A36)</f>
        <v>0</v>
      </c>
      <c r="AG36">
        <f>IFERROR(SUMIFS('Attempt Log'!$U$2:$U$101,'Attempt Log'!$B$2:$B$101,A36,'Attempt Log'!$N$2:$N$101,"Yes")/COUNTIFS('Attempt Log'!$B$2:$B$101,A36,'Attempt Log'!$N$2:$N$101,"Yes"),0)</f>
        <v>0</v>
      </c>
    </row>
    <row r="37" spans="1:33">
      <c r="A37" t="s">
        <v>352</v>
      </c>
      <c r="B37" t="s">
        <v>353</v>
      </c>
      <c r="C37" t="s">
        <v>354</v>
      </c>
      <c r="D37" t="s">
        <v>137</v>
      </c>
      <c r="E37" t="s">
        <v>169</v>
      </c>
      <c r="F37" t="s">
        <v>170</v>
      </c>
      <c r="G37" t="s">
        <v>355</v>
      </c>
      <c r="H37" t="s">
        <v>126</v>
      </c>
      <c r="I37" t="s">
        <v>127</v>
      </c>
      <c r="J37" t="s">
        <v>337</v>
      </c>
      <c r="K37" t="s">
        <v>140</v>
      </c>
      <c r="L37" t="s">
        <v>141</v>
      </c>
      <c r="M37">
        <v>5250</v>
      </c>
      <c r="N37" t="s">
        <v>142</v>
      </c>
      <c r="O37" t="s">
        <v>11</v>
      </c>
      <c r="P37" t="s">
        <v>356</v>
      </c>
      <c r="Q37" t="s">
        <v>3530</v>
      </c>
      <c r="R37" t="s">
        <v>3615</v>
      </c>
      <c r="S37" t="s">
        <v>3705</v>
      </c>
      <c r="T37">
        <v>2</v>
      </c>
      <c r="U37">
        <v>3</v>
      </c>
      <c r="V37">
        <v>1</v>
      </c>
      <c r="W37">
        <v>1</v>
      </c>
      <c r="X37">
        <v>0</v>
      </c>
      <c r="Y37" t="s">
        <v>173</v>
      </c>
      <c r="Z37" t="s">
        <v>357</v>
      </c>
      <c r="AA37" t="s">
        <v>7</v>
      </c>
      <c r="AB37" t="s">
        <v>8</v>
      </c>
      <c r="AC37" s="3">
        <f>T37*'Settings &amp; Rates'!$B$5+U37*'Settings &amp; Rates'!$B$6+V37*'Settings &amp; Rates'!$B$7+W37*'Settings &amp; Rates'!$B$8+X37*'Settings &amp; Rates'!$B$9</f>
        <v>75</v>
      </c>
      <c r="AD37" s="3">
        <f>SUMIF('Attempt Log'!$B$2:$B$101,A37,'Attempt Log'!$K$2:$K$101)</f>
        <v>0</v>
      </c>
      <c r="AE37" s="3">
        <f t="shared" si="0"/>
        <v>-75</v>
      </c>
      <c r="AF37">
        <f>COUNTIF('Attempt Log'!$B$2:$B$101,A37)</f>
        <v>0</v>
      </c>
      <c r="AG37">
        <f>IFERROR(SUMIFS('Attempt Log'!$U$2:$U$101,'Attempt Log'!$B$2:$B$101,A37,'Attempt Log'!$N$2:$N$101,"Yes")/COUNTIFS('Attempt Log'!$B$2:$B$101,A37,'Attempt Log'!$N$2:$N$101,"Yes"),0)</f>
        <v>0</v>
      </c>
    </row>
    <row r="38" spans="1:33">
      <c r="A38" t="s">
        <v>358</v>
      </c>
      <c r="B38" t="s">
        <v>359</v>
      </c>
      <c r="C38" t="s">
        <v>360</v>
      </c>
      <c r="D38" t="s">
        <v>137</v>
      </c>
      <c r="E38" t="s">
        <v>138</v>
      </c>
      <c r="F38" t="s">
        <v>138</v>
      </c>
      <c r="G38" t="s">
        <v>361</v>
      </c>
      <c r="H38" t="s">
        <v>126</v>
      </c>
      <c r="I38" t="s">
        <v>127</v>
      </c>
      <c r="J38" t="s">
        <v>362</v>
      </c>
      <c r="K38" t="s">
        <v>140</v>
      </c>
      <c r="L38" t="s">
        <v>141</v>
      </c>
      <c r="M38">
        <v>850</v>
      </c>
      <c r="N38" t="s">
        <v>142</v>
      </c>
      <c r="O38" t="s">
        <v>11</v>
      </c>
      <c r="P38" t="s">
        <v>143</v>
      </c>
      <c r="Q38" t="s">
        <v>3455</v>
      </c>
      <c r="R38" t="s">
        <v>3540</v>
      </c>
      <c r="S38" t="s">
        <v>3630</v>
      </c>
      <c r="T38">
        <v>1</v>
      </c>
      <c r="U38">
        <v>3</v>
      </c>
      <c r="V38">
        <v>1</v>
      </c>
      <c r="W38">
        <v>1</v>
      </c>
      <c r="X38">
        <v>0</v>
      </c>
      <c r="Y38" t="s">
        <v>144</v>
      </c>
      <c r="Z38" t="s">
        <v>145</v>
      </c>
      <c r="AA38" t="s">
        <v>7</v>
      </c>
      <c r="AB38" t="s">
        <v>8</v>
      </c>
      <c r="AC38" s="3">
        <f>T38*'Settings &amp; Rates'!$B$5+U38*'Settings &amp; Rates'!$B$6+V38*'Settings &amp; Rates'!$B$7+W38*'Settings &amp; Rates'!$B$8+X38*'Settings &amp; Rates'!$B$9</f>
        <v>75</v>
      </c>
      <c r="AD38" s="3">
        <f>SUMIF('Attempt Log'!$B$2:$B$101,A38,'Attempt Log'!$K$2:$K$101)</f>
        <v>0</v>
      </c>
      <c r="AE38" s="3">
        <f t="shared" si="0"/>
        <v>-75</v>
      </c>
      <c r="AF38">
        <f>COUNTIF('Attempt Log'!$B$2:$B$101,A38)</f>
        <v>0</v>
      </c>
      <c r="AG38">
        <f>IFERROR(SUMIFS('Attempt Log'!$U$2:$U$101,'Attempt Log'!$B$2:$B$101,A38,'Attempt Log'!$N$2:$N$101,"Yes")/COUNTIFS('Attempt Log'!$B$2:$B$101,A38,'Attempt Log'!$N$2:$N$101,"Yes"),0)</f>
        <v>0</v>
      </c>
    </row>
    <row r="39" spans="1:33">
      <c r="A39" t="s">
        <v>363</v>
      </c>
      <c r="B39" t="s">
        <v>364</v>
      </c>
      <c r="C39" t="s">
        <v>365</v>
      </c>
      <c r="D39" t="s">
        <v>137</v>
      </c>
      <c r="E39" t="s">
        <v>138</v>
      </c>
      <c r="F39" t="s">
        <v>138</v>
      </c>
      <c r="G39" t="s">
        <v>361</v>
      </c>
      <c r="H39" t="s">
        <v>126</v>
      </c>
      <c r="I39" t="s">
        <v>127</v>
      </c>
      <c r="J39" t="s">
        <v>362</v>
      </c>
      <c r="K39" t="s">
        <v>140</v>
      </c>
      <c r="L39" t="s">
        <v>141</v>
      </c>
      <c r="M39">
        <v>1050</v>
      </c>
      <c r="N39" t="s">
        <v>142</v>
      </c>
      <c r="O39" t="s">
        <v>11</v>
      </c>
      <c r="P39" t="s">
        <v>143</v>
      </c>
      <c r="Q39" t="s">
        <v>3456</v>
      </c>
      <c r="R39" t="s">
        <v>3541</v>
      </c>
      <c r="S39" t="s">
        <v>3631</v>
      </c>
      <c r="T39">
        <v>1</v>
      </c>
      <c r="U39">
        <v>3</v>
      </c>
      <c r="V39">
        <v>1</v>
      </c>
      <c r="W39">
        <v>1</v>
      </c>
      <c r="X39">
        <v>0</v>
      </c>
      <c r="Y39" t="s">
        <v>144</v>
      </c>
      <c r="Z39" t="s">
        <v>145</v>
      </c>
      <c r="AA39" t="s">
        <v>7</v>
      </c>
      <c r="AB39" t="s">
        <v>8</v>
      </c>
      <c r="AC39" s="3">
        <f>T39*'Settings &amp; Rates'!$B$5+U39*'Settings &amp; Rates'!$B$6+V39*'Settings &amp; Rates'!$B$7+W39*'Settings &amp; Rates'!$B$8+X39*'Settings &amp; Rates'!$B$9</f>
        <v>75</v>
      </c>
      <c r="AD39" s="3">
        <f>SUMIF('Attempt Log'!$B$2:$B$101,A39,'Attempt Log'!$K$2:$K$101)</f>
        <v>0</v>
      </c>
      <c r="AE39" s="3">
        <f t="shared" si="0"/>
        <v>-75</v>
      </c>
      <c r="AF39">
        <f>COUNTIF('Attempt Log'!$B$2:$B$101,A39)</f>
        <v>0</v>
      </c>
      <c r="AG39">
        <f>IFERROR(SUMIFS('Attempt Log'!$U$2:$U$101,'Attempt Log'!$B$2:$B$101,A39,'Attempt Log'!$N$2:$N$101,"Yes")/COUNTIFS('Attempt Log'!$B$2:$B$101,A39,'Attempt Log'!$N$2:$N$101,"Yes"),0)</f>
        <v>0</v>
      </c>
    </row>
    <row r="40" spans="1:33">
      <c r="A40" t="s">
        <v>366</v>
      </c>
      <c r="B40" t="s">
        <v>367</v>
      </c>
      <c r="C40" t="s">
        <v>368</v>
      </c>
      <c r="D40" t="s">
        <v>137</v>
      </c>
      <c r="E40" t="s">
        <v>138</v>
      </c>
      <c r="F40" t="s">
        <v>138</v>
      </c>
      <c r="G40" t="s">
        <v>369</v>
      </c>
      <c r="H40" t="s">
        <v>126</v>
      </c>
      <c r="I40" t="s">
        <v>127</v>
      </c>
      <c r="J40" t="s">
        <v>362</v>
      </c>
      <c r="K40" t="s">
        <v>129</v>
      </c>
      <c r="L40" t="s">
        <v>17</v>
      </c>
      <c r="M40">
        <v>1900</v>
      </c>
      <c r="N40" t="s">
        <v>142</v>
      </c>
      <c r="O40" t="s">
        <v>11</v>
      </c>
      <c r="P40" t="s">
        <v>143</v>
      </c>
      <c r="Q40" t="s">
        <v>3457</v>
      </c>
      <c r="R40" t="s">
        <v>3542</v>
      </c>
      <c r="S40" t="s">
        <v>3632</v>
      </c>
      <c r="T40">
        <v>2</v>
      </c>
      <c r="U40">
        <v>3</v>
      </c>
      <c r="V40">
        <v>1</v>
      </c>
      <c r="W40">
        <v>1</v>
      </c>
      <c r="X40">
        <v>0</v>
      </c>
      <c r="Y40" t="s">
        <v>144</v>
      </c>
      <c r="Z40" t="s">
        <v>145</v>
      </c>
      <c r="AA40" t="s">
        <v>7</v>
      </c>
      <c r="AB40" t="s">
        <v>8</v>
      </c>
      <c r="AC40" s="3">
        <f>T40*'Settings &amp; Rates'!$B$5+U40*'Settings &amp; Rates'!$B$6+V40*'Settings &amp; Rates'!$B$7+W40*'Settings &amp; Rates'!$B$8+X40*'Settings &amp; Rates'!$B$9</f>
        <v>75</v>
      </c>
      <c r="AD40" s="3">
        <f>SUMIF('Attempt Log'!$B$2:$B$101,A40,'Attempt Log'!$K$2:$K$101)</f>
        <v>0</v>
      </c>
      <c r="AE40" s="3">
        <f t="shared" si="0"/>
        <v>-75</v>
      </c>
      <c r="AF40">
        <f>COUNTIF('Attempt Log'!$B$2:$B$101,A40)</f>
        <v>0</v>
      </c>
      <c r="AG40">
        <f>IFERROR(SUMIFS('Attempt Log'!$U$2:$U$101,'Attempt Log'!$B$2:$B$101,A40,'Attempt Log'!$N$2:$N$101,"Yes")/COUNTIFS('Attempt Log'!$B$2:$B$101,A40,'Attempt Log'!$N$2:$N$101,"Yes"),0)</f>
        <v>0</v>
      </c>
    </row>
    <row r="41" spans="1:33">
      <c r="A41" t="s">
        <v>370</v>
      </c>
      <c r="B41" t="s">
        <v>371</v>
      </c>
      <c r="C41" t="s">
        <v>372</v>
      </c>
      <c r="D41" t="s">
        <v>137</v>
      </c>
      <c r="E41" t="s">
        <v>138</v>
      </c>
      <c r="F41" t="s">
        <v>138</v>
      </c>
      <c r="G41" t="s">
        <v>373</v>
      </c>
      <c r="H41" t="s">
        <v>126</v>
      </c>
      <c r="I41" t="s">
        <v>127</v>
      </c>
      <c r="J41" t="s">
        <v>362</v>
      </c>
      <c r="K41" t="s">
        <v>140</v>
      </c>
      <c r="L41" t="s">
        <v>141</v>
      </c>
      <c r="M41">
        <v>850</v>
      </c>
      <c r="N41" t="s">
        <v>142</v>
      </c>
      <c r="O41" t="s">
        <v>11</v>
      </c>
      <c r="P41" t="s">
        <v>143</v>
      </c>
      <c r="Q41" t="s">
        <v>3459</v>
      </c>
      <c r="R41" t="s">
        <v>3544</v>
      </c>
      <c r="S41" t="s">
        <v>3634</v>
      </c>
      <c r="T41">
        <v>1</v>
      </c>
      <c r="U41">
        <v>3</v>
      </c>
      <c r="V41">
        <v>1</v>
      </c>
      <c r="W41">
        <v>1</v>
      </c>
      <c r="X41">
        <v>0</v>
      </c>
      <c r="Y41" t="s">
        <v>144</v>
      </c>
      <c r="Z41" t="s">
        <v>145</v>
      </c>
      <c r="AA41" t="s">
        <v>7</v>
      </c>
      <c r="AB41" t="s">
        <v>8</v>
      </c>
      <c r="AC41" s="3">
        <f>T41*'Settings &amp; Rates'!$B$5+U41*'Settings &amp; Rates'!$B$6+V41*'Settings &amp; Rates'!$B$7+W41*'Settings &amp; Rates'!$B$8+X41*'Settings &amp; Rates'!$B$9</f>
        <v>75</v>
      </c>
      <c r="AD41" s="3">
        <f>SUMIF('Attempt Log'!$B$2:$B$101,A41,'Attempt Log'!$K$2:$K$101)</f>
        <v>0</v>
      </c>
      <c r="AE41" s="3">
        <f t="shared" si="0"/>
        <v>-75</v>
      </c>
      <c r="AF41">
        <f>COUNTIF('Attempt Log'!$B$2:$B$101,A41)</f>
        <v>0</v>
      </c>
      <c r="AG41">
        <f>IFERROR(SUMIFS('Attempt Log'!$U$2:$U$101,'Attempt Log'!$B$2:$B$101,A41,'Attempt Log'!$N$2:$N$101,"Yes")/COUNTIFS('Attempt Log'!$B$2:$B$101,A41,'Attempt Log'!$N$2:$N$101,"Yes"),0)</f>
        <v>0</v>
      </c>
    </row>
    <row r="42" spans="1:33">
      <c r="A42" t="s">
        <v>374</v>
      </c>
      <c r="B42" t="s">
        <v>375</v>
      </c>
      <c r="C42" t="s">
        <v>376</v>
      </c>
      <c r="D42" t="s">
        <v>137</v>
      </c>
      <c r="E42" t="s">
        <v>138</v>
      </c>
      <c r="F42" t="s">
        <v>138</v>
      </c>
      <c r="G42" t="s">
        <v>373</v>
      </c>
      <c r="H42" t="s">
        <v>126</v>
      </c>
      <c r="I42" t="s">
        <v>127</v>
      </c>
      <c r="J42" t="s">
        <v>362</v>
      </c>
      <c r="K42" t="s">
        <v>140</v>
      </c>
      <c r="L42" t="s">
        <v>141</v>
      </c>
      <c r="M42">
        <v>700</v>
      </c>
      <c r="N42" t="s">
        <v>142</v>
      </c>
      <c r="O42" t="s">
        <v>11</v>
      </c>
      <c r="P42" t="s">
        <v>143</v>
      </c>
      <c r="Q42" t="s">
        <v>3460</v>
      </c>
      <c r="R42" t="s">
        <v>3545</v>
      </c>
      <c r="S42" t="s">
        <v>3635</v>
      </c>
      <c r="T42">
        <v>1</v>
      </c>
      <c r="U42">
        <v>3</v>
      </c>
      <c r="V42">
        <v>1</v>
      </c>
      <c r="W42">
        <v>1</v>
      </c>
      <c r="X42">
        <v>0</v>
      </c>
      <c r="Y42" t="s">
        <v>144</v>
      </c>
      <c r="Z42" t="s">
        <v>145</v>
      </c>
      <c r="AA42" t="s">
        <v>7</v>
      </c>
      <c r="AB42" t="s">
        <v>8</v>
      </c>
      <c r="AC42" s="3">
        <f>T42*'Settings &amp; Rates'!$B$5+U42*'Settings &amp; Rates'!$B$6+V42*'Settings &amp; Rates'!$B$7+W42*'Settings &amp; Rates'!$B$8+X42*'Settings &amp; Rates'!$B$9</f>
        <v>75</v>
      </c>
      <c r="AD42" s="3">
        <f>SUMIF('Attempt Log'!$B$2:$B$101,A42,'Attempt Log'!$K$2:$K$101)</f>
        <v>0</v>
      </c>
      <c r="AE42" s="3">
        <f t="shared" si="0"/>
        <v>-75</v>
      </c>
      <c r="AF42">
        <f>COUNTIF('Attempt Log'!$B$2:$B$101,A42)</f>
        <v>0</v>
      </c>
      <c r="AG42">
        <f>IFERROR(SUMIFS('Attempt Log'!$U$2:$U$101,'Attempt Log'!$B$2:$B$101,A42,'Attempt Log'!$N$2:$N$101,"Yes")/COUNTIFS('Attempt Log'!$B$2:$B$101,A42,'Attempt Log'!$N$2:$N$101,"Yes"),0)</f>
        <v>0</v>
      </c>
    </row>
    <row r="43" spans="1:33">
      <c r="A43" t="s">
        <v>377</v>
      </c>
      <c r="B43" t="s">
        <v>378</v>
      </c>
      <c r="C43" t="s">
        <v>379</v>
      </c>
      <c r="D43" t="s">
        <v>137</v>
      </c>
      <c r="E43" t="s">
        <v>138</v>
      </c>
      <c r="F43" t="s">
        <v>138</v>
      </c>
      <c r="G43" t="s">
        <v>380</v>
      </c>
      <c r="H43" t="s">
        <v>126</v>
      </c>
      <c r="I43" t="s">
        <v>127</v>
      </c>
      <c r="J43" t="s">
        <v>362</v>
      </c>
      <c r="K43" t="s">
        <v>129</v>
      </c>
      <c r="L43" t="s">
        <v>17</v>
      </c>
      <c r="M43">
        <v>2700</v>
      </c>
      <c r="N43" t="s">
        <v>142</v>
      </c>
      <c r="O43" t="s">
        <v>11</v>
      </c>
      <c r="P43" t="s">
        <v>143</v>
      </c>
      <c r="Q43" t="s">
        <v>3461</v>
      </c>
      <c r="R43" t="s">
        <v>3546</v>
      </c>
      <c r="S43" t="s">
        <v>3636</v>
      </c>
      <c r="T43">
        <v>2</v>
      </c>
      <c r="U43">
        <v>3</v>
      </c>
      <c r="V43">
        <v>1</v>
      </c>
      <c r="W43">
        <v>1</v>
      </c>
      <c r="X43">
        <v>0</v>
      </c>
      <c r="Y43" t="s">
        <v>144</v>
      </c>
      <c r="Z43" t="s">
        <v>145</v>
      </c>
      <c r="AA43" t="s">
        <v>7</v>
      </c>
      <c r="AB43" t="s">
        <v>8</v>
      </c>
      <c r="AC43" s="3">
        <f>T43*'Settings &amp; Rates'!$B$5+U43*'Settings &amp; Rates'!$B$6+V43*'Settings &amp; Rates'!$B$7+W43*'Settings &amp; Rates'!$B$8+X43*'Settings &amp; Rates'!$B$9</f>
        <v>75</v>
      </c>
      <c r="AD43" s="3">
        <f>SUMIF('Attempt Log'!$B$2:$B$101,A43,'Attempt Log'!$K$2:$K$101)</f>
        <v>0</v>
      </c>
      <c r="AE43" s="3">
        <f t="shared" si="0"/>
        <v>-75</v>
      </c>
      <c r="AF43">
        <f>COUNTIF('Attempt Log'!$B$2:$B$101,A43)</f>
        <v>0</v>
      </c>
      <c r="AG43">
        <f>IFERROR(SUMIFS('Attempt Log'!$U$2:$U$101,'Attempt Log'!$B$2:$B$101,A43,'Attempt Log'!$N$2:$N$101,"Yes")/COUNTIFS('Attempt Log'!$B$2:$B$101,A43,'Attempt Log'!$N$2:$N$101,"Yes"),0)</f>
        <v>0</v>
      </c>
    </row>
    <row r="44" spans="1:33">
      <c r="A44" t="s">
        <v>381</v>
      </c>
      <c r="B44" t="s">
        <v>382</v>
      </c>
      <c r="C44" t="s">
        <v>383</v>
      </c>
      <c r="D44" t="s">
        <v>137</v>
      </c>
      <c r="E44" t="s">
        <v>138</v>
      </c>
      <c r="F44" t="s">
        <v>138</v>
      </c>
      <c r="G44" t="s">
        <v>380</v>
      </c>
      <c r="H44" t="s">
        <v>126</v>
      </c>
      <c r="I44" t="s">
        <v>127</v>
      </c>
      <c r="J44" t="s">
        <v>362</v>
      </c>
      <c r="K44" t="s">
        <v>129</v>
      </c>
      <c r="L44" t="s">
        <v>17</v>
      </c>
      <c r="M44">
        <v>2350</v>
      </c>
      <c r="N44" t="s">
        <v>142</v>
      </c>
      <c r="O44" t="s">
        <v>11</v>
      </c>
      <c r="P44" t="s">
        <v>143</v>
      </c>
      <c r="Q44" t="s">
        <v>3462</v>
      </c>
      <c r="R44" t="s">
        <v>3547</v>
      </c>
      <c r="S44" t="s">
        <v>3637</v>
      </c>
      <c r="T44">
        <v>2</v>
      </c>
      <c r="U44">
        <v>3</v>
      </c>
      <c r="V44">
        <v>1</v>
      </c>
      <c r="W44">
        <v>1</v>
      </c>
      <c r="X44">
        <v>0</v>
      </c>
      <c r="Y44" t="s">
        <v>144</v>
      </c>
      <c r="Z44" t="s">
        <v>145</v>
      </c>
      <c r="AA44" t="s">
        <v>7</v>
      </c>
      <c r="AB44" t="s">
        <v>8</v>
      </c>
      <c r="AC44" s="3">
        <f>T44*'Settings &amp; Rates'!$B$5+U44*'Settings &amp; Rates'!$B$6+V44*'Settings &amp; Rates'!$B$7+W44*'Settings &amp; Rates'!$B$8+X44*'Settings &amp; Rates'!$B$9</f>
        <v>75</v>
      </c>
      <c r="AD44" s="3">
        <f>SUMIF('Attempt Log'!$B$2:$B$101,A44,'Attempt Log'!$K$2:$K$101)</f>
        <v>0</v>
      </c>
      <c r="AE44" s="3">
        <f t="shared" si="0"/>
        <v>-75</v>
      </c>
      <c r="AF44">
        <f>COUNTIF('Attempt Log'!$B$2:$B$101,A44)</f>
        <v>0</v>
      </c>
      <c r="AG44">
        <f>IFERROR(SUMIFS('Attempt Log'!$U$2:$U$101,'Attempt Log'!$B$2:$B$101,A44,'Attempt Log'!$N$2:$N$101,"Yes")/COUNTIFS('Attempt Log'!$B$2:$B$101,A44,'Attempt Log'!$N$2:$N$101,"Yes"),0)</f>
        <v>0</v>
      </c>
    </row>
    <row r="45" spans="1:33">
      <c r="A45" t="s">
        <v>384</v>
      </c>
      <c r="B45" t="s">
        <v>385</v>
      </c>
      <c r="C45" t="s">
        <v>386</v>
      </c>
      <c r="D45" t="s">
        <v>137</v>
      </c>
      <c r="E45" t="s">
        <v>138</v>
      </c>
      <c r="F45" t="s">
        <v>138</v>
      </c>
      <c r="G45" t="s">
        <v>369</v>
      </c>
      <c r="H45" t="s">
        <v>126</v>
      </c>
      <c r="I45" t="s">
        <v>127</v>
      </c>
      <c r="J45" t="s">
        <v>362</v>
      </c>
      <c r="K45" t="s">
        <v>129</v>
      </c>
      <c r="L45" t="s">
        <v>17</v>
      </c>
      <c r="M45">
        <v>950</v>
      </c>
      <c r="N45" t="s">
        <v>142</v>
      </c>
      <c r="O45" t="s">
        <v>11</v>
      </c>
      <c r="P45" t="s">
        <v>143</v>
      </c>
      <c r="Q45" t="s">
        <v>3469</v>
      </c>
      <c r="R45" t="s">
        <v>3554</v>
      </c>
      <c r="S45" t="s">
        <v>3644</v>
      </c>
      <c r="T45">
        <v>2</v>
      </c>
      <c r="U45">
        <v>3</v>
      </c>
      <c r="V45">
        <v>1</v>
      </c>
      <c r="W45">
        <v>1</v>
      </c>
      <c r="X45">
        <v>0</v>
      </c>
      <c r="Y45" t="s">
        <v>144</v>
      </c>
      <c r="Z45" t="s">
        <v>145</v>
      </c>
      <c r="AA45" t="s">
        <v>7</v>
      </c>
      <c r="AB45" t="s">
        <v>8</v>
      </c>
      <c r="AC45" s="3">
        <f>T45*'Settings &amp; Rates'!$B$5+U45*'Settings &amp; Rates'!$B$6+V45*'Settings &amp; Rates'!$B$7+W45*'Settings &amp; Rates'!$B$8+X45*'Settings &amp; Rates'!$B$9</f>
        <v>75</v>
      </c>
      <c r="AD45" s="3">
        <f>SUMIF('Attempt Log'!$B$2:$B$101,A45,'Attempt Log'!$K$2:$K$101)</f>
        <v>0</v>
      </c>
      <c r="AE45" s="3">
        <f t="shared" si="0"/>
        <v>-75</v>
      </c>
      <c r="AF45">
        <f>COUNTIF('Attempt Log'!$B$2:$B$101,A45)</f>
        <v>0</v>
      </c>
      <c r="AG45">
        <f>IFERROR(SUMIFS('Attempt Log'!$U$2:$U$101,'Attempt Log'!$B$2:$B$101,A45,'Attempt Log'!$N$2:$N$101,"Yes")/COUNTIFS('Attempt Log'!$B$2:$B$101,A45,'Attempt Log'!$N$2:$N$101,"Yes"),0)</f>
        <v>0</v>
      </c>
    </row>
    <row r="46" spans="1:33">
      <c r="A46" t="s">
        <v>387</v>
      </c>
      <c r="B46" t="s">
        <v>388</v>
      </c>
      <c r="C46" t="s">
        <v>389</v>
      </c>
      <c r="D46" t="s">
        <v>149</v>
      </c>
      <c r="E46" t="s">
        <v>150</v>
      </c>
      <c r="F46" t="s">
        <v>244</v>
      </c>
      <c r="G46" t="s">
        <v>245</v>
      </c>
      <c r="H46" t="s">
        <v>390</v>
      </c>
      <c r="I46" t="s">
        <v>391</v>
      </c>
      <c r="J46" t="s">
        <v>392</v>
      </c>
      <c r="K46" t="s">
        <v>140</v>
      </c>
      <c r="L46" t="s">
        <v>141</v>
      </c>
      <c r="M46">
        <v>900</v>
      </c>
      <c r="N46" t="s">
        <v>247</v>
      </c>
      <c r="O46" t="s">
        <v>11</v>
      </c>
      <c r="P46" t="s">
        <v>143</v>
      </c>
      <c r="Q46" t="s">
        <v>2962</v>
      </c>
      <c r="R46" t="s">
        <v>3124</v>
      </c>
      <c r="S46" t="s">
        <v>3286</v>
      </c>
      <c r="T46">
        <v>1</v>
      </c>
      <c r="U46">
        <v>2</v>
      </c>
      <c r="V46">
        <v>1</v>
      </c>
      <c r="W46">
        <v>1</v>
      </c>
      <c r="X46">
        <v>0</v>
      </c>
      <c r="Y46" t="s">
        <v>154</v>
      </c>
      <c r="Z46" t="s">
        <v>393</v>
      </c>
      <c r="AA46" t="s">
        <v>7</v>
      </c>
      <c r="AB46" t="s">
        <v>8</v>
      </c>
      <c r="AC46" s="3">
        <f>T46*'Settings &amp; Rates'!$B$5+U46*'Settings &amp; Rates'!$B$6+V46*'Settings &amp; Rates'!$B$7+W46*'Settings &amp; Rates'!$B$8+X46*'Settings &amp; Rates'!$B$9</f>
        <v>55</v>
      </c>
      <c r="AD46" s="3">
        <f>SUMIF('Attempt Log'!$B$2:$B$101,A46,'Attempt Log'!$K$2:$K$101)</f>
        <v>0</v>
      </c>
      <c r="AE46" s="3">
        <f t="shared" si="0"/>
        <v>-55</v>
      </c>
      <c r="AF46">
        <f>COUNTIF('Attempt Log'!$B$2:$B$101,A46)</f>
        <v>0</v>
      </c>
      <c r="AG46">
        <f>IFERROR(SUMIFS('Attempt Log'!$U$2:$U$101,'Attempt Log'!$B$2:$B$101,A46,'Attempt Log'!$N$2:$N$101,"Yes")/COUNTIFS('Attempt Log'!$B$2:$B$101,A46,'Attempt Log'!$N$2:$N$101,"Yes"),0)</f>
        <v>0</v>
      </c>
    </row>
    <row r="47" spans="1:33">
      <c r="A47" t="s">
        <v>394</v>
      </c>
      <c r="B47" t="s">
        <v>395</v>
      </c>
      <c r="C47" t="s">
        <v>396</v>
      </c>
      <c r="D47" t="s">
        <v>149</v>
      </c>
      <c r="E47" t="s">
        <v>150</v>
      </c>
      <c r="F47" t="s">
        <v>272</v>
      </c>
      <c r="G47" t="s">
        <v>273</v>
      </c>
      <c r="H47" t="s">
        <v>390</v>
      </c>
      <c r="I47" t="s">
        <v>391</v>
      </c>
      <c r="J47" t="s">
        <v>392</v>
      </c>
      <c r="K47" t="s">
        <v>129</v>
      </c>
      <c r="L47" t="s">
        <v>17</v>
      </c>
      <c r="M47">
        <v>1450</v>
      </c>
      <c r="N47" t="s">
        <v>153</v>
      </c>
      <c r="O47" t="s">
        <v>11</v>
      </c>
      <c r="P47" t="s">
        <v>143</v>
      </c>
      <c r="Q47" t="s">
        <v>2971</v>
      </c>
      <c r="R47" t="s">
        <v>3133</v>
      </c>
      <c r="S47" t="s">
        <v>3295</v>
      </c>
      <c r="T47">
        <v>2</v>
      </c>
      <c r="U47">
        <v>2</v>
      </c>
      <c r="V47">
        <v>1</v>
      </c>
      <c r="W47">
        <v>1</v>
      </c>
      <c r="X47">
        <v>0</v>
      </c>
      <c r="Y47" t="s">
        <v>154</v>
      </c>
      <c r="Z47" t="s">
        <v>397</v>
      </c>
      <c r="AA47" t="s">
        <v>7</v>
      </c>
      <c r="AB47" t="s">
        <v>8</v>
      </c>
      <c r="AC47" s="3">
        <f>T47*'Settings &amp; Rates'!$B$5+U47*'Settings &amp; Rates'!$B$6+V47*'Settings &amp; Rates'!$B$7+W47*'Settings &amp; Rates'!$B$8+X47*'Settings &amp; Rates'!$B$9</f>
        <v>55</v>
      </c>
      <c r="AD47" s="3">
        <f>SUMIF('Attempt Log'!$B$2:$B$101,A47,'Attempt Log'!$K$2:$K$101)</f>
        <v>0</v>
      </c>
      <c r="AE47" s="3">
        <f t="shared" si="0"/>
        <v>-55</v>
      </c>
      <c r="AF47">
        <f>COUNTIF('Attempt Log'!$B$2:$B$101,A47)</f>
        <v>0</v>
      </c>
      <c r="AG47">
        <f>IFERROR(SUMIFS('Attempt Log'!$U$2:$U$101,'Attempt Log'!$B$2:$B$101,A47,'Attempt Log'!$N$2:$N$101,"Yes")/COUNTIFS('Attempt Log'!$B$2:$B$101,A47,'Attempt Log'!$N$2:$N$101,"Yes"),0)</f>
        <v>0</v>
      </c>
    </row>
    <row r="48" spans="1:33">
      <c r="A48" t="s">
        <v>398</v>
      </c>
      <c r="B48" t="s">
        <v>399</v>
      </c>
      <c r="C48" t="s">
        <v>400</v>
      </c>
      <c r="D48" t="s">
        <v>149</v>
      </c>
      <c r="E48" t="s">
        <v>150</v>
      </c>
      <c r="F48" t="s">
        <v>272</v>
      </c>
      <c r="G48" t="s">
        <v>279</v>
      </c>
      <c r="H48" t="s">
        <v>390</v>
      </c>
      <c r="I48" t="s">
        <v>391</v>
      </c>
      <c r="J48" t="s">
        <v>392</v>
      </c>
      <c r="K48" t="s">
        <v>129</v>
      </c>
      <c r="L48" t="s">
        <v>17</v>
      </c>
      <c r="M48">
        <v>1200</v>
      </c>
      <c r="N48" t="s">
        <v>153</v>
      </c>
      <c r="O48" t="s">
        <v>11</v>
      </c>
      <c r="P48" t="s">
        <v>143</v>
      </c>
      <c r="Q48" t="s">
        <v>2980</v>
      </c>
      <c r="R48" t="s">
        <v>3142</v>
      </c>
      <c r="S48" t="s">
        <v>3304</v>
      </c>
      <c r="T48">
        <v>2</v>
      </c>
      <c r="U48">
        <v>2</v>
      </c>
      <c r="V48">
        <v>1</v>
      </c>
      <c r="W48">
        <v>1</v>
      </c>
      <c r="X48">
        <v>0</v>
      </c>
      <c r="Y48" t="s">
        <v>154</v>
      </c>
      <c r="Z48" t="s">
        <v>401</v>
      </c>
      <c r="AA48" t="s">
        <v>7</v>
      </c>
      <c r="AB48" t="s">
        <v>8</v>
      </c>
      <c r="AC48" s="3">
        <f>T48*'Settings &amp; Rates'!$B$5+U48*'Settings &amp; Rates'!$B$6+V48*'Settings &amp; Rates'!$B$7+W48*'Settings &amp; Rates'!$B$8+X48*'Settings &amp; Rates'!$B$9</f>
        <v>55</v>
      </c>
      <c r="AD48" s="3">
        <f>SUMIF('Attempt Log'!$B$2:$B$101,A48,'Attempt Log'!$K$2:$K$101)</f>
        <v>0</v>
      </c>
      <c r="AE48" s="3">
        <f t="shared" si="0"/>
        <v>-55</v>
      </c>
      <c r="AF48">
        <f>COUNTIF('Attempt Log'!$B$2:$B$101,A48)</f>
        <v>0</v>
      </c>
      <c r="AG48">
        <f>IFERROR(SUMIFS('Attempt Log'!$U$2:$U$101,'Attempt Log'!$B$2:$B$101,A48,'Attempt Log'!$N$2:$N$101,"Yes")/COUNTIFS('Attempt Log'!$B$2:$B$101,A48,'Attempt Log'!$N$2:$N$101,"Yes"),0)</f>
        <v>0</v>
      </c>
    </row>
    <row r="49" spans="1:33">
      <c r="A49" t="s">
        <v>402</v>
      </c>
      <c r="B49" t="s">
        <v>403</v>
      </c>
      <c r="C49" t="s">
        <v>404</v>
      </c>
      <c r="D49" t="s">
        <v>149</v>
      </c>
      <c r="E49" t="s">
        <v>150</v>
      </c>
      <c r="F49" t="s">
        <v>272</v>
      </c>
      <c r="G49" t="s">
        <v>284</v>
      </c>
      <c r="H49" t="s">
        <v>390</v>
      </c>
      <c r="I49" t="s">
        <v>391</v>
      </c>
      <c r="J49" t="s">
        <v>392</v>
      </c>
      <c r="K49" t="s">
        <v>129</v>
      </c>
      <c r="L49" t="s">
        <v>17</v>
      </c>
      <c r="M49">
        <v>1500</v>
      </c>
      <c r="N49" t="s">
        <v>153</v>
      </c>
      <c r="O49" t="s">
        <v>11</v>
      </c>
      <c r="P49" t="s">
        <v>143</v>
      </c>
      <c r="Q49" t="s">
        <v>2989</v>
      </c>
      <c r="R49" t="s">
        <v>3151</v>
      </c>
      <c r="S49" t="s">
        <v>3313</v>
      </c>
      <c r="T49">
        <v>2</v>
      </c>
      <c r="U49">
        <v>2</v>
      </c>
      <c r="V49">
        <v>1</v>
      </c>
      <c r="W49">
        <v>1</v>
      </c>
      <c r="X49">
        <v>0</v>
      </c>
      <c r="Y49" t="s">
        <v>154</v>
      </c>
      <c r="Z49" t="s">
        <v>405</v>
      </c>
      <c r="AA49" t="s">
        <v>7</v>
      </c>
      <c r="AB49" t="s">
        <v>8</v>
      </c>
      <c r="AC49" s="3">
        <f>T49*'Settings &amp; Rates'!$B$5+U49*'Settings &amp; Rates'!$B$6+V49*'Settings &amp; Rates'!$B$7+W49*'Settings &amp; Rates'!$B$8+X49*'Settings &amp; Rates'!$B$9</f>
        <v>55</v>
      </c>
      <c r="AD49" s="3">
        <f>SUMIF('Attempt Log'!$B$2:$B$101,A49,'Attempt Log'!$K$2:$K$101)</f>
        <v>0</v>
      </c>
      <c r="AE49" s="3">
        <f t="shared" si="0"/>
        <v>-55</v>
      </c>
      <c r="AF49">
        <f>COUNTIF('Attempt Log'!$B$2:$B$101,A49)</f>
        <v>0</v>
      </c>
      <c r="AG49">
        <f>IFERROR(SUMIFS('Attempt Log'!$U$2:$U$101,'Attempt Log'!$B$2:$B$101,A49,'Attempt Log'!$N$2:$N$101,"Yes")/COUNTIFS('Attempt Log'!$B$2:$B$101,A49,'Attempt Log'!$N$2:$N$101,"Yes"),0)</f>
        <v>0</v>
      </c>
    </row>
    <row r="50" spans="1:33">
      <c r="A50" t="s">
        <v>406</v>
      </c>
      <c r="B50" t="s">
        <v>407</v>
      </c>
      <c r="C50" t="s">
        <v>408</v>
      </c>
      <c r="D50" t="s">
        <v>149</v>
      </c>
      <c r="E50" t="s">
        <v>150</v>
      </c>
      <c r="F50" t="s">
        <v>272</v>
      </c>
      <c r="G50" t="s">
        <v>289</v>
      </c>
      <c r="H50" t="s">
        <v>390</v>
      </c>
      <c r="I50" t="s">
        <v>391</v>
      </c>
      <c r="J50" t="s">
        <v>392</v>
      </c>
      <c r="K50" t="s">
        <v>129</v>
      </c>
      <c r="L50" t="s">
        <v>17</v>
      </c>
      <c r="M50">
        <v>3350</v>
      </c>
      <c r="N50" t="s">
        <v>153</v>
      </c>
      <c r="O50" t="s">
        <v>11</v>
      </c>
      <c r="P50" t="s">
        <v>143</v>
      </c>
      <c r="Q50" t="s">
        <v>2998</v>
      </c>
      <c r="R50" t="s">
        <v>3160</v>
      </c>
      <c r="S50" t="s">
        <v>3322</v>
      </c>
      <c r="T50">
        <v>2</v>
      </c>
      <c r="U50">
        <v>2</v>
      </c>
      <c r="V50">
        <v>1</v>
      </c>
      <c r="W50">
        <v>1</v>
      </c>
      <c r="X50">
        <v>0</v>
      </c>
      <c r="Y50" t="s">
        <v>154</v>
      </c>
      <c r="Z50" t="s">
        <v>409</v>
      </c>
      <c r="AA50" t="s">
        <v>7</v>
      </c>
      <c r="AB50" t="s">
        <v>8</v>
      </c>
      <c r="AC50" s="3">
        <f>T50*'Settings &amp; Rates'!$B$5+U50*'Settings &amp; Rates'!$B$6+V50*'Settings &amp; Rates'!$B$7+W50*'Settings &amp; Rates'!$B$8+X50*'Settings &amp; Rates'!$B$9</f>
        <v>55</v>
      </c>
      <c r="AD50" s="3">
        <f>SUMIF('Attempt Log'!$B$2:$B$101,A50,'Attempt Log'!$K$2:$K$101)</f>
        <v>0</v>
      </c>
      <c r="AE50" s="3">
        <f t="shared" si="0"/>
        <v>-55</v>
      </c>
      <c r="AF50">
        <f>COUNTIF('Attempt Log'!$B$2:$B$101,A50)</f>
        <v>0</v>
      </c>
      <c r="AG50">
        <f>IFERROR(SUMIFS('Attempt Log'!$U$2:$U$101,'Attempt Log'!$B$2:$B$101,A50,'Attempt Log'!$N$2:$N$101,"Yes")/COUNTIFS('Attempt Log'!$B$2:$B$101,A50,'Attempt Log'!$N$2:$N$101,"Yes"),0)</f>
        <v>0</v>
      </c>
    </row>
    <row r="51" spans="1:33">
      <c r="A51" t="s">
        <v>410</v>
      </c>
      <c r="B51" t="s">
        <v>411</v>
      </c>
      <c r="C51" t="s">
        <v>412</v>
      </c>
      <c r="D51" t="s">
        <v>149</v>
      </c>
      <c r="E51" t="s">
        <v>150</v>
      </c>
      <c r="F51" t="s">
        <v>294</v>
      </c>
      <c r="G51" t="s">
        <v>295</v>
      </c>
      <c r="H51" t="s">
        <v>390</v>
      </c>
      <c r="I51" t="s">
        <v>391</v>
      </c>
      <c r="J51" t="s">
        <v>392</v>
      </c>
      <c r="K51" t="s">
        <v>129</v>
      </c>
      <c r="L51" t="s">
        <v>17</v>
      </c>
      <c r="M51">
        <v>1750</v>
      </c>
      <c r="N51" t="s">
        <v>153</v>
      </c>
      <c r="O51" t="s">
        <v>11</v>
      </c>
      <c r="P51" t="s">
        <v>143</v>
      </c>
      <c r="Q51" t="s">
        <v>3007</v>
      </c>
      <c r="R51" t="s">
        <v>3169</v>
      </c>
      <c r="S51" t="s">
        <v>3331</v>
      </c>
      <c r="T51">
        <v>2</v>
      </c>
      <c r="U51">
        <v>2</v>
      </c>
      <c r="V51">
        <v>1</v>
      </c>
      <c r="W51">
        <v>1</v>
      </c>
      <c r="X51">
        <v>0</v>
      </c>
      <c r="Y51" t="s">
        <v>154</v>
      </c>
      <c r="Z51" t="s">
        <v>413</v>
      </c>
      <c r="AA51" t="s">
        <v>7</v>
      </c>
      <c r="AB51" t="s">
        <v>8</v>
      </c>
      <c r="AC51" s="3">
        <f>T51*'Settings &amp; Rates'!$B$5+U51*'Settings &amp; Rates'!$B$6+V51*'Settings &amp; Rates'!$B$7+W51*'Settings &amp; Rates'!$B$8+X51*'Settings &amp; Rates'!$B$9</f>
        <v>55</v>
      </c>
      <c r="AD51" s="3">
        <f>SUMIF('Attempt Log'!$B$2:$B$101,A51,'Attempt Log'!$K$2:$K$101)</f>
        <v>0</v>
      </c>
      <c r="AE51" s="3">
        <f t="shared" si="0"/>
        <v>-55</v>
      </c>
      <c r="AF51">
        <f>COUNTIF('Attempt Log'!$B$2:$B$101,A51)</f>
        <v>0</v>
      </c>
      <c r="AG51">
        <f>IFERROR(SUMIFS('Attempt Log'!$U$2:$U$101,'Attempt Log'!$B$2:$B$101,A51,'Attempt Log'!$N$2:$N$101,"Yes")/COUNTIFS('Attempt Log'!$B$2:$B$101,A51,'Attempt Log'!$N$2:$N$101,"Yes"),0)</f>
        <v>0</v>
      </c>
    </row>
    <row r="52" spans="1:33">
      <c r="A52" t="s">
        <v>414</v>
      </c>
      <c r="B52" t="s">
        <v>415</v>
      </c>
      <c r="C52" t="s">
        <v>416</v>
      </c>
      <c r="D52" t="s">
        <v>149</v>
      </c>
      <c r="E52" t="s">
        <v>150</v>
      </c>
      <c r="F52" t="s">
        <v>294</v>
      </c>
      <c r="G52" t="s">
        <v>300</v>
      </c>
      <c r="H52" t="s">
        <v>390</v>
      </c>
      <c r="I52" t="s">
        <v>391</v>
      </c>
      <c r="J52" t="s">
        <v>392</v>
      </c>
      <c r="K52" t="s">
        <v>129</v>
      </c>
      <c r="L52" t="s">
        <v>17</v>
      </c>
      <c r="M52">
        <v>3750</v>
      </c>
      <c r="N52" t="s">
        <v>153</v>
      </c>
      <c r="O52" t="s">
        <v>11</v>
      </c>
      <c r="P52" t="s">
        <v>143</v>
      </c>
      <c r="Q52" t="s">
        <v>3016</v>
      </c>
      <c r="R52" t="s">
        <v>3178</v>
      </c>
      <c r="S52" t="s">
        <v>3340</v>
      </c>
      <c r="T52">
        <v>2</v>
      </c>
      <c r="U52">
        <v>2</v>
      </c>
      <c r="V52">
        <v>1</v>
      </c>
      <c r="W52">
        <v>1</v>
      </c>
      <c r="X52">
        <v>0</v>
      </c>
      <c r="Y52" t="s">
        <v>154</v>
      </c>
      <c r="Z52" t="s">
        <v>417</v>
      </c>
      <c r="AA52" t="s">
        <v>7</v>
      </c>
      <c r="AB52" t="s">
        <v>8</v>
      </c>
      <c r="AC52" s="3">
        <f>T52*'Settings &amp; Rates'!$B$5+U52*'Settings &amp; Rates'!$B$6+V52*'Settings &amp; Rates'!$B$7+W52*'Settings &amp; Rates'!$B$8+X52*'Settings &amp; Rates'!$B$9</f>
        <v>55</v>
      </c>
      <c r="AD52" s="3">
        <f>SUMIF('Attempt Log'!$B$2:$B$101,A52,'Attempt Log'!$K$2:$K$101)</f>
        <v>0</v>
      </c>
      <c r="AE52" s="3">
        <f t="shared" si="0"/>
        <v>-55</v>
      </c>
      <c r="AF52">
        <f>COUNTIF('Attempt Log'!$B$2:$B$101,A52)</f>
        <v>0</v>
      </c>
      <c r="AG52">
        <f>IFERROR(SUMIFS('Attempt Log'!$U$2:$U$101,'Attempt Log'!$B$2:$B$101,A52,'Attempt Log'!$N$2:$N$101,"Yes")/COUNTIFS('Attempt Log'!$B$2:$B$101,A52,'Attempt Log'!$N$2:$N$101,"Yes"),0)</f>
        <v>0</v>
      </c>
    </row>
    <row r="53" spans="1:33">
      <c r="A53" t="s">
        <v>418</v>
      </c>
      <c r="B53" t="s">
        <v>419</v>
      </c>
      <c r="C53" t="s">
        <v>420</v>
      </c>
      <c r="D53" t="s">
        <v>149</v>
      </c>
      <c r="E53" t="s">
        <v>150</v>
      </c>
      <c r="F53" t="s">
        <v>294</v>
      </c>
      <c r="G53" t="s">
        <v>305</v>
      </c>
      <c r="H53" t="s">
        <v>390</v>
      </c>
      <c r="I53" t="s">
        <v>391</v>
      </c>
      <c r="J53" t="s">
        <v>392</v>
      </c>
      <c r="K53" t="s">
        <v>129</v>
      </c>
      <c r="L53" t="s">
        <v>17</v>
      </c>
      <c r="M53">
        <v>1550</v>
      </c>
      <c r="N53" t="s">
        <v>153</v>
      </c>
      <c r="O53" t="s">
        <v>11</v>
      </c>
      <c r="P53" t="s">
        <v>143</v>
      </c>
      <c r="Q53" t="s">
        <v>3025</v>
      </c>
      <c r="R53" t="s">
        <v>3187</v>
      </c>
      <c r="S53" t="s">
        <v>3349</v>
      </c>
      <c r="T53">
        <v>2</v>
      </c>
      <c r="U53">
        <v>2</v>
      </c>
      <c r="V53">
        <v>1</v>
      </c>
      <c r="W53">
        <v>1</v>
      </c>
      <c r="X53">
        <v>0</v>
      </c>
      <c r="Y53" t="s">
        <v>154</v>
      </c>
      <c r="Z53" t="s">
        <v>421</v>
      </c>
      <c r="AA53" t="s">
        <v>7</v>
      </c>
      <c r="AB53" t="s">
        <v>8</v>
      </c>
      <c r="AC53" s="3">
        <f>T53*'Settings &amp; Rates'!$B$5+U53*'Settings &amp; Rates'!$B$6+V53*'Settings &amp; Rates'!$B$7+W53*'Settings &amp; Rates'!$B$8+X53*'Settings &amp; Rates'!$B$9</f>
        <v>55</v>
      </c>
      <c r="AD53" s="3">
        <f>SUMIF('Attempt Log'!$B$2:$B$101,A53,'Attempt Log'!$K$2:$K$101)</f>
        <v>0</v>
      </c>
      <c r="AE53" s="3">
        <f t="shared" si="0"/>
        <v>-55</v>
      </c>
      <c r="AF53">
        <f>COUNTIF('Attempt Log'!$B$2:$B$101,A53)</f>
        <v>0</v>
      </c>
      <c r="AG53">
        <f>IFERROR(SUMIFS('Attempt Log'!$U$2:$U$101,'Attempt Log'!$B$2:$B$101,A53,'Attempt Log'!$N$2:$N$101,"Yes")/COUNTIFS('Attempt Log'!$B$2:$B$101,A53,'Attempt Log'!$N$2:$N$101,"Yes"),0)</f>
        <v>0</v>
      </c>
    </row>
    <row r="54" spans="1:33">
      <c r="A54" t="s">
        <v>422</v>
      </c>
      <c r="B54" t="s">
        <v>423</v>
      </c>
      <c r="C54" t="s">
        <v>424</v>
      </c>
      <c r="D54" t="s">
        <v>149</v>
      </c>
      <c r="E54" t="s">
        <v>150</v>
      </c>
      <c r="F54" t="s">
        <v>294</v>
      </c>
      <c r="G54" t="s">
        <v>310</v>
      </c>
      <c r="H54" t="s">
        <v>390</v>
      </c>
      <c r="I54" t="s">
        <v>391</v>
      </c>
      <c r="J54" t="s">
        <v>392</v>
      </c>
      <c r="K54" t="s">
        <v>129</v>
      </c>
      <c r="L54" t="s">
        <v>17</v>
      </c>
      <c r="M54">
        <v>2200</v>
      </c>
      <c r="N54" t="s">
        <v>153</v>
      </c>
      <c r="O54" t="s">
        <v>11</v>
      </c>
      <c r="P54" t="s">
        <v>143</v>
      </c>
      <c r="Q54" t="s">
        <v>3034</v>
      </c>
      <c r="R54" t="s">
        <v>3196</v>
      </c>
      <c r="S54" t="s">
        <v>3358</v>
      </c>
      <c r="T54">
        <v>2</v>
      </c>
      <c r="U54">
        <v>2</v>
      </c>
      <c r="V54">
        <v>1</v>
      </c>
      <c r="W54">
        <v>1</v>
      </c>
      <c r="X54">
        <v>0</v>
      </c>
      <c r="Y54" t="s">
        <v>154</v>
      </c>
      <c r="Z54" t="s">
        <v>425</v>
      </c>
      <c r="AA54" t="s">
        <v>7</v>
      </c>
      <c r="AB54" t="s">
        <v>8</v>
      </c>
      <c r="AC54" s="3">
        <f>T54*'Settings &amp; Rates'!$B$5+U54*'Settings &amp; Rates'!$B$6+V54*'Settings &amp; Rates'!$B$7+W54*'Settings &amp; Rates'!$B$8+X54*'Settings &amp; Rates'!$B$9</f>
        <v>55</v>
      </c>
      <c r="AD54" s="3">
        <f>SUMIF('Attempt Log'!$B$2:$B$101,A54,'Attempt Log'!$K$2:$K$101)</f>
        <v>0</v>
      </c>
      <c r="AE54" s="3">
        <f t="shared" si="0"/>
        <v>-55</v>
      </c>
      <c r="AF54">
        <f>COUNTIF('Attempt Log'!$B$2:$B$101,A54)</f>
        <v>0</v>
      </c>
      <c r="AG54">
        <f>IFERROR(SUMIFS('Attempt Log'!$U$2:$U$101,'Attempt Log'!$B$2:$B$101,A54,'Attempt Log'!$N$2:$N$101,"Yes")/COUNTIFS('Attempt Log'!$B$2:$B$101,A54,'Attempt Log'!$N$2:$N$101,"Yes"),0)</f>
        <v>0</v>
      </c>
    </row>
    <row r="55" spans="1:33">
      <c r="A55" t="s">
        <v>426</v>
      </c>
      <c r="B55" t="s">
        <v>427</v>
      </c>
      <c r="C55" t="s">
        <v>428</v>
      </c>
      <c r="D55" t="s">
        <v>149</v>
      </c>
      <c r="E55" t="s">
        <v>150</v>
      </c>
      <c r="F55" t="s">
        <v>315</v>
      </c>
      <c r="G55" t="s">
        <v>316</v>
      </c>
      <c r="H55" t="s">
        <v>390</v>
      </c>
      <c r="I55" t="s">
        <v>391</v>
      </c>
      <c r="J55" t="s">
        <v>392</v>
      </c>
      <c r="K55" t="s">
        <v>129</v>
      </c>
      <c r="L55" t="s">
        <v>17</v>
      </c>
      <c r="M55">
        <v>1450</v>
      </c>
      <c r="N55" t="s">
        <v>153</v>
      </c>
      <c r="O55" t="s">
        <v>11</v>
      </c>
      <c r="P55" t="s">
        <v>143</v>
      </c>
      <c r="Q55" t="s">
        <v>3043</v>
      </c>
      <c r="R55" t="s">
        <v>3205</v>
      </c>
      <c r="S55" t="s">
        <v>3367</v>
      </c>
      <c r="T55">
        <v>2</v>
      </c>
      <c r="U55">
        <v>2</v>
      </c>
      <c r="V55">
        <v>1</v>
      </c>
      <c r="W55">
        <v>1</v>
      </c>
      <c r="X55">
        <v>0</v>
      </c>
      <c r="Y55" t="s">
        <v>154</v>
      </c>
      <c r="Z55" t="s">
        <v>429</v>
      </c>
      <c r="AA55" t="s">
        <v>7</v>
      </c>
      <c r="AB55" t="s">
        <v>8</v>
      </c>
      <c r="AC55" s="3">
        <f>T55*'Settings &amp; Rates'!$B$5+U55*'Settings &amp; Rates'!$B$6+V55*'Settings &amp; Rates'!$B$7+W55*'Settings &amp; Rates'!$B$8+X55*'Settings &amp; Rates'!$B$9</f>
        <v>55</v>
      </c>
      <c r="AD55" s="3">
        <f>SUMIF('Attempt Log'!$B$2:$B$101,A55,'Attempt Log'!$K$2:$K$101)</f>
        <v>0</v>
      </c>
      <c r="AE55" s="3">
        <f t="shared" si="0"/>
        <v>-55</v>
      </c>
      <c r="AF55">
        <f>COUNTIF('Attempt Log'!$B$2:$B$101,A55)</f>
        <v>0</v>
      </c>
      <c r="AG55">
        <f>IFERROR(SUMIFS('Attempt Log'!$U$2:$U$101,'Attempt Log'!$B$2:$B$101,A55,'Attempt Log'!$N$2:$N$101,"Yes")/COUNTIFS('Attempt Log'!$B$2:$B$101,A55,'Attempt Log'!$N$2:$N$101,"Yes"),0)</f>
        <v>0</v>
      </c>
    </row>
    <row r="56" spans="1:33">
      <c r="A56" t="s">
        <v>430</v>
      </c>
      <c r="B56" t="s">
        <v>431</v>
      </c>
      <c r="C56" t="s">
        <v>432</v>
      </c>
      <c r="D56" t="s">
        <v>149</v>
      </c>
      <c r="E56" t="s">
        <v>150</v>
      </c>
      <c r="F56" t="s">
        <v>315</v>
      </c>
      <c r="G56" t="s">
        <v>321</v>
      </c>
      <c r="H56" t="s">
        <v>390</v>
      </c>
      <c r="I56" t="s">
        <v>391</v>
      </c>
      <c r="J56" t="s">
        <v>392</v>
      </c>
      <c r="K56" t="s">
        <v>129</v>
      </c>
      <c r="L56" t="s">
        <v>17</v>
      </c>
      <c r="M56">
        <v>2800</v>
      </c>
      <c r="N56" t="s">
        <v>153</v>
      </c>
      <c r="O56" t="s">
        <v>11</v>
      </c>
      <c r="P56" t="s">
        <v>143</v>
      </c>
      <c r="Q56" t="s">
        <v>3052</v>
      </c>
      <c r="R56" t="s">
        <v>3214</v>
      </c>
      <c r="S56" t="s">
        <v>3376</v>
      </c>
      <c r="T56">
        <v>2</v>
      </c>
      <c r="U56">
        <v>2</v>
      </c>
      <c r="V56">
        <v>1</v>
      </c>
      <c r="W56">
        <v>1</v>
      </c>
      <c r="X56">
        <v>0</v>
      </c>
      <c r="Y56" t="s">
        <v>154</v>
      </c>
      <c r="Z56" t="s">
        <v>433</v>
      </c>
      <c r="AA56" t="s">
        <v>7</v>
      </c>
      <c r="AB56" t="s">
        <v>8</v>
      </c>
      <c r="AC56" s="3">
        <f>T56*'Settings &amp; Rates'!$B$5+U56*'Settings &amp; Rates'!$B$6+V56*'Settings &amp; Rates'!$B$7+W56*'Settings &amp; Rates'!$B$8+X56*'Settings &amp; Rates'!$B$9</f>
        <v>55</v>
      </c>
      <c r="AD56" s="3">
        <f>SUMIF('Attempt Log'!$B$2:$B$101,A56,'Attempt Log'!$K$2:$K$101)</f>
        <v>0</v>
      </c>
      <c r="AE56" s="3">
        <f t="shared" si="0"/>
        <v>-55</v>
      </c>
      <c r="AF56">
        <f>COUNTIF('Attempt Log'!$B$2:$B$101,A56)</f>
        <v>0</v>
      </c>
      <c r="AG56">
        <f>IFERROR(SUMIFS('Attempt Log'!$U$2:$U$101,'Attempt Log'!$B$2:$B$101,A56,'Attempt Log'!$N$2:$N$101,"Yes")/COUNTIFS('Attempt Log'!$B$2:$B$101,A56,'Attempt Log'!$N$2:$N$101,"Yes"),0)</f>
        <v>0</v>
      </c>
    </row>
    <row r="57" spans="1:33">
      <c r="A57" t="s">
        <v>434</v>
      </c>
      <c r="B57" t="s">
        <v>435</v>
      </c>
      <c r="C57" t="s">
        <v>436</v>
      </c>
      <c r="D57" t="s">
        <v>149</v>
      </c>
      <c r="E57" t="s">
        <v>150</v>
      </c>
      <c r="F57" t="s">
        <v>315</v>
      </c>
      <c r="G57" t="s">
        <v>326</v>
      </c>
      <c r="H57" t="s">
        <v>390</v>
      </c>
      <c r="I57" t="s">
        <v>391</v>
      </c>
      <c r="J57" t="s">
        <v>392</v>
      </c>
      <c r="K57" t="s">
        <v>129</v>
      </c>
      <c r="L57" t="s">
        <v>17</v>
      </c>
      <c r="M57">
        <v>1200</v>
      </c>
      <c r="N57" t="s">
        <v>153</v>
      </c>
      <c r="O57" t="s">
        <v>11</v>
      </c>
      <c r="P57" t="s">
        <v>143</v>
      </c>
      <c r="Q57" t="s">
        <v>3061</v>
      </c>
      <c r="R57" t="s">
        <v>3223</v>
      </c>
      <c r="S57" t="s">
        <v>3385</v>
      </c>
      <c r="T57">
        <v>2</v>
      </c>
      <c r="U57">
        <v>2</v>
      </c>
      <c r="V57">
        <v>1</v>
      </c>
      <c r="W57">
        <v>1</v>
      </c>
      <c r="X57">
        <v>0</v>
      </c>
      <c r="Y57" t="s">
        <v>154</v>
      </c>
      <c r="Z57" t="s">
        <v>437</v>
      </c>
      <c r="AA57" t="s">
        <v>7</v>
      </c>
      <c r="AB57" t="s">
        <v>8</v>
      </c>
      <c r="AC57" s="3">
        <f>T57*'Settings &amp; Rates'!$B$5+U57*'Settings &amp; Rates'!$B$6+V57*'Settings &amp; Rates'!$B$7+W57*'Settings &amp; Rates'!$B$8+X57*'Settings &amp; Rates'!$B$9</f>
        <v>55</v>
      </c>
      <c r="AD57" s="3">
        <f>SUMIF('Attempt Log'!$B$2:$B$101,A57,'Attempt Log'!$K$2:$K$101)</f>
        <v>0</v>
      </c>
      <c r="AE57" s="3">
        <f t="shared" si="0"/>
        <v>-55</v>
      </c>
      <c r="AF57">
        <f>COUNTIF('Attempt Log'!$B$2:$B$101,A57)</f>
        <v>0</v>
      </c>
      <c r="AG57">
        <f>IFERROR(SUMIFS('Attempt Log'!$U$2:$U$101,'Attempt Log'!$B$2:$B$101,A57,'Attempt Log'!$N$2:$N$101,"Yes")/COUNTIFS('Attempt Log'!$B$2:$B$101,A57,'Attempt Log'!$N$2:$N$101,"Yes"),0)</f>
        <v>0</v>
      </c>
    </row>
    <row r="58" spans="1:33">
      <c r="A58" t="s">
        <v>438</v>
      </c>
      <c r="B58" t="s">
        <v>439</v>
      </c>
      <c r="C58" t="s">
        <v>440</v>
      </c>
      <c r="D58" t="s">
        <v>149</v>
      </c>
      <c r="E58" t="s">
        <v>150</v>
      </c>
      <c r="F58" t="s">
        <v>315</v>
      </c>
      <c r="G58" t="s">
        <v>331</v>
      </c>
      <c r="H58" t="s">
        <v>390</v>
      </c>
      <c r="I58" t="s">
        <v>391</v>
      </c>
      <c r="J58" t="s">
        <v>392</v>
      </c>
      <c r="K58" t="s">
        <v>129</v>
      </c>
      <c r="L58" t="s">
        <v>17</v>
      </c>
      <c r="M58">
        <v>1450</v>
      </c>
      <c r="N58" t="s">
        <v>153</v>
      </c>
      <c r="O58" t="s">
        <v>11</v>
      </c>
      <c r="P58" t="s">
        <v>143</v>
      </c>
      <c r="Q58" t="s">
        <v>3070</v>
      </c>
      <c r="R58" t="s">
        <v>3232</v>
      </c>
      <c r="S58" t="s">
        <v>3394</v>
      </c>
      <c r="T58">
        <v>2</v>
      </c>
      <c r="U58">
        <v>2</v>
      </c>
      <c r="V58">
        <v>1</v>
      </c>
      <c r="W58">
        <v>1</v>
      </c>
      <c r="X58">
        <v>0</v>
      </c>
      <c r="Y58" t="s">
        <v>154</v>
      </c>
      <c r="Z58" t="s">
        <v>441</v>
      </c>
      <c r="AA58" t="s">
        <v>7</v>
      </c>
      <c r="AB58" t="s">
        <v>8</v>
      </c>
      <c r="AC58" s="3">
        <f>T58*'Settings &amp; Rates'!$B$5+U58*'Settings &amp; Rates'!$B$6+V58*'Settings &amp; Rates'!$B$7+W58*'Settings &amp; Rates'!$B$8+X58*'Settings &amp; Rates'!$B$9</f>
        <v>55</v>
      </c>
      <c r="AD58" s="3">
        <f>SUMIF('Attempt Log'!$B$2:$B$101,A58,'Attempt Log'!$K$2:$K$101)</f>
        <v>0</v>
      </c>
      <c r="AE58" s="3">
        <f t="shared" si="0"/>
        <v>-55</v>
      </c>
      <c r="AF58">
        <f>COUNTIF('Attempt Log'!$B$2:$B$101,A58)</f>
        <v>0</v>
      </c>
      <c r="AG58">
        <f>IFERROR(SUMIFS('Attempt Log'!$U$2:$U$101,'Attempt Log'!$B$2:$B$101,A58,'Attempt Log'!$N$2:$N$101,"Yes")/COUNTIFS('Attempt Log'!$B$2:$B$101,A58,'Attempt Log'!$N$2:$N$101,"Yes"),0)</f>
        <v>0</v>
      </c>
    </row>
    <row r="59" spans="1:33">
      <c r="A59" t="s">
        <v>442</v>
      </c>
      <c r="B59" t="s">
        <v>443</v>
      </c>
      <c r="C59" t="s">
        <v>444</v>
      </c>
      <c r="D59" t="s">
        <v>149</v>
      </c>
      <c r="E59" t="s">
        <v>150</v>
      </c>
      <c r="F59" t="s">
        <v>151</v>
      </c>
      <c r="G59" t="s">
        <v>252</v>
      </c>
      <c r="H59" t="s">
        <v>390</v>
      </c>
      <c r="I59" t="s">
        <v>391</v>
      </c>
      <c r="J59" t="s">
        <v>392</v>
      </c>
      <c r="K59" t="s">
        <v>140</v>
      </c>
      <c r="L59" t="s">
        <v>141</v>
      </c>
      <c r="M59">
        <v>1700</v>
      </c>
      <c r="N59" t="s">
        <v>153</v>
      </c>
      <c r="O59" t="s">
        <v>11</v>
      </c>
      <c r="P59" t="s">
        <v>143</v>
      </c>
      <c r="Q59" t="s">
        <v>3079</v>
      </c>
      <c r="R59" t="s">
        <v>3241</v>
      </c>
      <c r="S59" t="s">
        <v>3403</v>
      </c>
      <c r="T59">
        <v>1</v>
      </c>
      <c r="U59">
        <v>2</v>
      </c>
      <c r="V59">
        <v>1</v>
      </c>
      <c r="W59">
        <v>1</v>
      </c>
      <c r="X59">
        <v>0</v>
      </c>
      <c r="Y59" t="s">
        <v>154</v>
      </c>
      <c r="Z59" t="s">
        <v>445</v>
      </c>
      <c r="AA59" t="s">
        <v>7</v>
      </c>
      <c r="AB59" t="s">
        <v>8</v>
      </c>
      <c r="AC59" s="3">
        <f>T59*'Settings &amp; Rates'!$B$5+U59*'Settings &amp; Rates'!$B$6+V59*'Settings &amp; Rates'!$B$7+W59*'Settings &amp; Rates'!$B$8+X59*'Settings &amp; Rates'!$B$9</f>
        <v>55</v>
      </c>
      <c r="AD59" s="3">
        <f>SUMIF('Attempt Log'!$B$2:$B$101,A59,'Attempt Log'!$K$2:$K$101)</f>
        <v>0</v>
      </c>
      <c r="AE59" s="3">
        <f t="shared" si="0"/>
        <v>-55</v>
      </c>
      <c r="AF59">
        <f>COUNTIF('Attempt Log'!$B$2:$B$101,A59)</f>
        <v>0</v>
      </c>
      <c r="AG59">
        <f>IFERROR(SUMIFS('Attempt Log'!$U$2:$U$101,'Attempt Log'!$B$2:$B$101,A59,'Attempt Log'!$N$2:$N$101,"Yes")/COUNTIFS('Attempt Log'!$B$2:$B$101,A59,'Attempt Log'!$N$2:$N$101,"Yes"),0)</f>
        <v>0</v>
      </c>
    </row>
    <row r="60" spans="1:33">
      <c r="A60" t="s">
        <v>446</v>
      </c>
      <c r="B60" t="s">
        <v>447</v>
      </c>
      <c r="C60" t="s">
        <v>448</v>
      </c>
      <c r="D60" t="s">
        <v>149</v>
      </c>
      <c r="E60" t="s">
        <v>150</v>
      </c>
      <c r="F60" t="s">
        <v>244</v>
      </c>
      <c r="G60" t="s">
        <v>257</v>
      </c>
      <c r="H60" t="s">
        <v>390</v>
      </c>
      <c r="I60" t="s">
        <v>391</v>
      </c>
      <c r="J60" t="s">
        <v>392</v>
      </c>
      <c r="K60" t="s">
        <v>140</v>
      </c>
      <c r="L60" t="s">
        <v>141</v>
      </c>
      <c r="M60">
        <v>550</v>
      </c>
      <c r="N60" t="s">
        <v>247</v>
      </c>
      <c r="O60" t="s">
        <v>11</v>
      </c>
      <c r="P60" t="s">
        <v>143</v>
      </c>
      <c r="Q60" t="s">
        <v>3088</v>
      </c>
      <c r="R60" t="s">
        <v>3250</v>
      </c>
      <c r="S60" t="s">
        <v>3412</v>
      </c>
      <c r="T60">
        <v>1</v>
      </c>
      <c r="U60">
        <v>2</v>
      </c>
      <c r="V60">
        <v>1</v>
      </c>
      <c r="W60">
        <v>1</v>
      </c>
      <c r="X60">
        <v>0</v>
      </c>
      <c r="Y60" t="s">
        <v>154</v>
      </c>
      <c r="Z60" t="s">
        <v>449</v>
      </c>
      <c r="AA60" t="s">
        <v>7</v>
      </c>
      <c r="AB60" t="s">
        <v>8</v>
      </c>
      <c r="AC60" s="3">
        <f>T60*'Settings &amp; Rates'!$B$5+U60*'Settings &amp; Rates'!$B$6+V60*'Settings &amp; Rates'!$B$7+W60*'Settings &amp; Rates'!$B$8+X60*'Settings &amp; Rates'!$B$9</f>
        <v>55</v>
      </c>
      <c r="AD60" s="3">
        <f>SUMIF('Attempt Log'!$B$2:$B$101,A60,'Attempt Log'!$K$2:$K$101)</f>
        <v>0</v>
      </c>
      <c r="AE60" s="3">
        <f t="shared" si="0"/>
        <v>-55</v>
      </c>
      <c r="AF60">
        <f>COUNTIF('Attempt Log'!$B$2:$B$101,A60)</f>
        <v>0</v>
      </c>
      <c r="AG60">
        <f>IFERROR(SUMIFS('Attempt Log'!$U$2:$U$101,'Attempt Log'!$B$2:$B$101,A60,'Attempt Log'!$N$2:$N$101,"Yes")/COUNTIFS('Attempt Log'!$B$2:$B$101,A60,'Attempt Log'!$N$2:$N$101,"Yes"),0)</f>
        <v>0</v>
      </c>
    </row>
    <row r="61" spans="1:33">
      <c r="A61" t="s">
        <v>450</v>
      </c>
      <c r="B61" t="s">
        <v>451</v>
      </c>
      <c r="C61" t="s">
        <v>452</v>
      </c>
      <c r="D61" t="s">
        <v>149</v>
      </c>
      <c r="E61" t="s">
        <v>150</v>
      </c>
      <c r="F61" t="s">
        <v>151</v>
      </c>
      <c r="G61" t="s">
        <v>262</v>
      </c>
      <c r="H61" t="s">
        <v>390</v>
      </c>
      <c r="I61" t="s">
        <v>391</v>
      </c>
      <c r="J61" t="s">
        <v>392</v>
      </c>
      <c r="K61" t="s">
        <v>140</v>
      </c>
      <c r="L61" t="s">
        <v>141</v>
      </c>
      <c r="M61">
        <v>2500</v>
      </c>
      <c r="N61" t="s">
        <v>153</v>
      </c>
      <c r="O61" t="s">
        <v>11</v>
      </c>
      <c r="P61" t="s">
        <v>143</v>
      </c>
      <c r="Q61" t="s">
        <v>3097</v>
      </c>
      <c r="R61" t="s">
        <v>3259</v>
      </c>
      <c r="S61" t="s">
        <v>3421</v>
      </c>
      <c r="T61">
        <v>1</v>
      </c>
      <c r="U61">
        <v>2</v>
      </c>
      <c r="V61">
        <v>1</v>
      </c>
      <c r="W61">
        <v>1</v>
      </c>
      <c r="X61">
        <v>0</v>
      </c>
      <c r="Y61" t="s">
        <v>154</v>
      </c>
      <c r="Z61" t="s">
        <v>453</v>
      </c>
      <c r="AA61" t="s">
        <v>7</v>
      </c>
      <c r="AB61" t="s">
        <v>8</v>
      </c>
      <c r="AC61" s="3">
        <f>T61*'Settings &amp; Rates'!$B$5+U61*'Settings &amp; Rates'!$B$6+V61*'Settings &amp; Rates'!$B$7+W61*'Settings &amp; Rates'!$B$8+X61*'Settings &amp; Rates'!$B$9</f>
        <v>55</v>
      </c>
      <c r="AD61" s="3">
        <f>SUMIF('Attempt Log'!$B$2:$B$101,A61,'Attempt Log'!$K$2:$K$101)</f>
        <v>0</v>
      </c>
      <c r="AE61" s="3">
        <f t="shared" si="0"/>
        <v>-55</v>
      </c>
      <c r="AF61">
        <f>COUNTIF('Attempt Log'!$B$2:$B$101,A61)</f>
        <v>0</v>
      </c>
      <c r="AG61">
        <f>IFERROR(SUMIFS('Attempt Log'!$U$2:$U$101,'Attempt Log'!$B$2:$B$101,A61,'Attempt Log'!$N$2:$N$101,"Yes")/COUNTIFS('Attempt Log'!$B$2:$B$101,A61,'Attempt Log'!$N$2:$N$101,"Yes"),0)</f>
        <v>0</v>
      </c>
    </row>
    <row r="62" spans="1:33">
      <c r="A62" t="s">
        <v>454</v>
      </c>
      <c r="B62" t="s">
        <v>455</v>
      </c>
      <c r="C62" t="s">
        <v>456</v>
      </c>
      <c r="D62" t="s">
        <v>149</v>
      </c>
      <c r="E62" t="s">
        <v>150</v>
      </c>
      <c r="F62" t="s">
        <v>151</v>
      </c>
      <c r="G62" t="s">
        <v>267</v>
      </c>
      <c r="H62" t="s">
        <v>390</v>
      </c>
      <c r="I62" t="s">
        <v>391</v>
      </c>
      <c r="J62" t="s">
        <v>392</v>
      </c>
      <c r="K62" t="s">
        <v>140</v>
      </c>
      <c r="L62" t="s">
        <v>141</v>
      </c>
      <c r="M62">
        <v>2400</v>
      </c>
      <c r="N62" t="s">
        <v>153</v>
      </c>
      <c r="O62" t="s">
        <v>11</v>
      </c>
      <c r="P62" t="s">
        <v>143</v>
      </c>
      <c r="Q62" t="s">
        <v>3106</v>
      </c>
      <c r="R62" t="s">
        <v>3268</v>
      </c>
      <c r="S62" t="s">
        <v>3430</v>
      </c>
      <c r="T62">
        <v>1</v>
      </c>
      <c r="U62">
        <v>2</v>
      </c>
      <c r="V62">
        <v>1</v>
      </c>
      <c r="W62">
        <v>1</v>
      </c>
      <c r="X62">
        <v>0</v>
      </c>
      <c r="Y62" t="s">
        <v>154</v>
      </c>
      <c r="Z62" t="s">
        <v>457</v>
      </c>
      <c r="AA62" t="s">
        <v>7</v>
      </c>
      <c r="AB62" t="s">
        <v>8</v>
      </c>
      <c r="AC62" s="3">
        <f>T62*'Settings &amp; Rates'!$B$5+U62*'Settings &amp; Rates'!$B$6+V62*'Settings &amp; Rates'!$B$7+W62*'Settings &amp; Rates'!$B$8+X62*'Settings &amp; Rates'!$B$9</f>
        <v>55</v>
      </c>
      <c r="AD62" s="3">
        <f>SUMIF('Attempt Log'!$B$2:$B$101,A62,'Attempt Log'!$K$2:$K$101)</f>
        <v>0</v>
      </c>
      <c r="AE62" s="3">
        <f t="shared" si="0"/>
        <v>-55</v>
      </c>
      <c r="AF62">
        <f>COUNTIF('Attempt Log'!$B$2:$B$101,A62)</f>
        <v>0</v>
      </c>
      <c r="AG62">
        <f>IFERROR(SUMIFS('Attempt Log'!$U$2:$U$101,'Attempt Log'!$B$2:$B$101,A62,'Attempt Log'!$N$2:$N$101,"Yes")/COUNTIFS('Attempt Log'!$B$2:$B$101,A62,'Attempt Log'!$N$2:$N$101,"Yes"),0)</f>
        <v>0</v>
      </c>
    </row>
    <row r="63" spans="1:33">
      <c r="A63" t="s">
        <v>458</v>
      </c>
      <c r="B63" t="s">
        <v>459</v>
      </c>
      <c r="C63" t="s">
        <v>460</v>
      </c>
      <c r="D63" t="s">
        <v>149</v>
      </c>
      <c r="E63" t="s">
        <v>150</v>
      </c>
      <c r="F63" t="s">
        <v>151</v>
      </c>
      <c r="G63" t="s">
        <v>152</v>
      </c>
      <c r="H63" t="s">
        <v>390</v>
      </c>
      <c r="I63" t="s">
        <v>391</v>
      </c>
      <c r="J63" t="s">
        <v>392</v>
      </c>
      <c r="K63" t="s">
        <v>140</v>
      </c>
      <c r="L63" t="s">
        <v>141</v>
      </c>
      <c r="M63">
        <v>2000</v>
      </c>
      <c r="N63" t="s">
        <v>153</v>
      </c>
      <c r="O63" t="s">
        <v>11</v>
      </c>
      <c r="P63" t="s">
        <v>143</v>
      </c>
      <c r="Q63" t="s">
        <v>3115</v>
      </c>
      <c r="R63" t="s">
        <v>3277</v>
      </c>
      <c r="S63" t="s">
        <v>3439</v>
      </c>
      <c r="T63">
        <v>1</v>
      </c>
      <c r="U63">
        <v>2</v>
      </c>
      <c r="V63">
        <v>1</v>
      </c>
      <c r="W63">
        <v>1</v>
      </c>
      <c r="X63">
        <v>0</v>
      </c>
      <c r="Y63" t="s">
        <v>154</v>
      </c>
      <c r="Z63" t="s">
        <v>461</v>
      </c>
      <c r="AA63" t="s">
        <v>7</v>
      </c>
      <c r="AB63" t="s">
        <v>8</v>
      </c>
      <c r="AC63" s="3">
        <f>T63*'Settings &amp; Rates'!$B$5+U63*'Settings &amp; Rates'!$B$6+V63*'Settings &amp; Rates'!$B$7+W63*'Settings &amp; Rates'!$B$8+X63*'Settings &amp; Rates'!$B$9</f>
        <v>55</v>
      </c>
      <c r="AD63" s="3">
        <f>SUMIF('Attempt Log'!$B$2:$B$101,A63,'Attempt Log'!$K$2:$K$101)</f>
        <v>0</v>
      </c>
      <c r="AE63" s="3">
        <f t="shared" si="0"/>
        <v>-55</v>
      </c>
      <c r="AF63">
        <f>COUNTIF('Attempt Log'!$B$2:$B$101,A63)</f>
        <v>0</v>
      </c>
      <c r="AG63">
        <f>IFERROR(SUMIFS('Attempt Log'!$U$2:$U$101,'Attempt Log'!$B$2:$B$101,A63,'Attempt Log'!$N$2:$N$101,"Yes")/COUNTIFS('Attempt Log'!$B$2:$B$101,A63,'Attempt Log'!$N$2:$N$101,"Yes"),0)</f>
        <v>0</v>
      </c>
    </row>
    <row r="64" spans="1:33">
      <c r="A64" t="s">
        <v>462</v>
      </c>
      <c r="B64" t="s">
        <v>463</v>
      </c>
      <c r="C64" t="s">
        <v>464</v>
      </c>
      <c r="D64" t="s">
        <v>149</v>
      </c>
      <c r="E64" t="s">
        <v>150</v>
      </c>
      <c r="F64" t="s">
        <v>244</v>
      </c>
      <c r="G64" t="s">
        <v>245</v>
      </c>
      <c r="H64" t="s">
        <v>390</v>
      </c>
      <c r="I64" t="s">
        <v>391</v>
      </c>
      <c r="J64" t="s">
        <v>465</v>
      </c>
      <c r="K64" t="s">
        <v>140</v>
      </c>
      <c r="L64" t="s">
        <v>141</v>
      </c>
      <c r="M64">
        <v>900</v>
      </c>
      <c r="N64" t="s">
        <v>247</v>
      </c>
      <c r="O64" t="s">
        <v>11</v>
      </c>
      <c r="P64" t="s">
        <v>143</v>
      </c>
      <c r="Q64" t="s">
        <v>2963</v>
      </c>
      <c r="R64" t="s">
        <v>3125</v>
      </c>
      <c r="S64" t="s">
        <v>3287</v>
      </c>
      <c r="T64">
        <v>1</v>
      </c>
      <c r="U64">
        <v>2</v>
      </c>
      <c r="V64">
        <v>1</v>
      </c>
      <c r="W64">
        <v>1</v>
      </c>
      <c r="X64">
        <v>0</v>
      </c>
      <c r="Y64" t="s">
        <v>154</v>
      </c>
      <c r="Z64" t="s">
        <v>466</v>
      </c>
      <c r="AA64" t="s">
        <v>7</v>
      </c>
      <c r="AB64" t="s">
        <v>8</v>
      </c>
      <c r="AC64" s="3">
        <f>T64*'Settings &amp; Rates'!$B$5+U64*'Settings &amp; Rates'!$B$6+V64*'Settings &amp; Rates'!$B$7+W64*'Settings &amp; Rates'!$B$8+X64*'Settings &amp; Rates'!$B$9</f>
        <v>55</v>
      </c>
      <c r="AD64" s="3">
        <f>SUMIF('Attempt Log'!$B$2:$B$101,A64,'Attempt Log'!$K$2:$K$101)</f>
        <v>0</v>
      </c>
      <c r="AE64" s="3">
        <f t="shared" si="0"/>
        <v>-55</v>
      </c>
      <c r="AF64">
        <f>COUNTIF('Attempt Log'!$B$2:$B$101,A64)</f>
        <v>0</v>
      </c>
      <c r="AG64">
        <f>IFERROR(SUMIFS('Attempt Log'!$U$2:$U$101,'Attempt Log'!$B$2:$B$101,A64,'Attempt Log'!$N$2:$N$101,"Yes")/COUNTIFS('Attempt Log'!$B$2:$B$101,A64,'Attempt Log'!$N$2:$N$101,"Yes"),0)</f>
        <v>0</v>
      </c>
    </row>
    <row r="65" spans="1:33">
      <c r="A65" t="s">
        <v>467</v>
      </c>
      <c r="B65" t="s">
        <v>468</v>
      </c>
      <c r="C65" t="s">
        <v>469</v>
      </c>
      <c r="D65" t="s">
        <v>149</v>
      </c>
      <c r="E65" t="s">
        <v>150</v>
      </c>
      <c r="F65" t="s">
        <v>272</v>
      </c>
      <c r="G65" t="s">
        <v>273</v>
      </c>
      <c r="H65" t="s">
        <v>390</v>
      </c>
      <c r="I65" t="s">
        <v>391</v>
      </c>
      <c r="J65" t="s">
        <v>465</v>
      </c>
      <c r="K65" t="s">
        <v>129</v>
      </c>
      <c r="L65" t="s">
        <v>17</v>
      </c>
      <c r="M65">
        <v>1450</v>
      </c>
      <c r="N65" t="s">
        <v>153</v>
      </c>
      <c r="O65" t="s">
        <v>11</v>
      </c>
      <c r="P65" t="s">
        <v>143</v>
      </c>
      <c r="Q65" t="s">
        <v>2972</v>
      </c>
      <c r="R65" t="s">
        <v>3134</v>
      </c>
      <c r="S65" t="s">
        <v>3296</v>
      </c>
      <c r="T65">
        <v>2</v>
      </c>
      <c r="U65">
        <v>2</v>
      </c>
      <c r="V65">
        <v>1</v>
      </c>
      <c r="W65">
        <v>1</v>
      </c>
      <c r="X65">
        <v>0</v>
      </c>
      <c r="Y65" t="s">
        <v>154</v>
      </c>
      <c r="Z65" t="s">
        <v>470</v>
      </c>
      <c r="AA65" t="s">
        <v>7</v>
      </c>
      <c r="AB65" t="s">
        <v>8</v>
      </c>
      <c r="AC65" s="3">
        <f>T65*'Settings &amp; Rates'!$B$5+U65*'Settings &amp; Rates'!$B$6+V65*'Settings &amp; Rates'!$B$7+W65*'Settings &amp; Rates'!$B$8+X65*'Settings &amp; Rates'!$B$9</f>
        <v>55</v>
      </c>
      <c r="AD65" s="3">
        <f>SUMIF('Attempt Log'!$B$2:$B$101,A65,'Attempt Log'!$K$2:$K$101)</f>
        <v>0</v>
      </c>
      <c r="AE65" s="3">
        <f t="shared" si="0"/>
        <v>-55</v>
      </c>
      <c r="AF65">
        <f>COUNTIF('Attempt Log'!$B$2:$B$101,A65)</f>
        <v>0</v>
      </c>
      <c r="AG65">
        <f>IFERROR(SUMIFS('Attempt Log'!$U$2:$U$101,'Attempt Log'!$B$2:$B$101,A65,'Attempt Log'!$N$2:$N$101,"Yes")/COUNTIFS('Attempt Log'!$B$2:$B$101,A65,'Attempt Log'!$N$2:$N$101,"Yes"),0)</f>
        <v>0</v>
      </c>
    </row>
    <row r="66" spans="1:33">
      <c r="A66" t="s">
        <v>471</v>
      </c>
      <c r="B66" t="s">
        <v>472</v>
      </c>
      <c r="C66" t="s">
        <v>473</v>
      </c>
      <c r="D66" t="s">
        <v>149</v>
      </c>
      <c r="E66" t="s">
        <v>150</v>
      </c>
      <c r="F66" t="s">
        <v>272</v>
      </c>
      <c r="G66" t="s">
        <v>279</v>
      </c>
      <c r="H66" t="s">
        <v>390</v>
      </c>
      <c r="I66" t="s">
        <v>391</v>
      </c>
      <c r="J66" t="s">
        <v>465</v>
      </c>
      <c r="K66" t="s">
        <v>129</v>
      </c>
      <c r="L66" t="s">
        <v>17</v>
      </c>
      <c r="M66">
        <v>1200</v>
      </c>
      <c r="N66" t="s">
        <v>153</v>
      </c>
      <c r="O66" t="s">
        <v>11</v>
      </c>
      <c r="P66" t="s">
        <v>143</v>
      </c>
      <c r="Q66" t="s">
        <v>2981</v>
      </c>
      <c r="R66" t="s">
        <v>3143</v>
      </c>
      <c r="S66" t="s">
        <v>3305</v>
      </c>
      <c r="T66">
        <v>2</v>
      </c>
      <c r="U66">
        <v>2</v>
      </c>
      <c r="V66">
        <v>1</v>
      </c>
      <c r="W66">
        <v>1</v>
      </c>
      <c r="X66">
        <v>0</v>
      </c>
      <c r="Y66" t="s">
        <v>154</v>
      </c>
      <c r="Z66" t="s">
        <v>474</v>
      </c>
      <c r="AA66" t="s">
        <v>7</v>
      </c>
      <c r="AB66" t="s">
        <v>8</v>
      </c>
      <c r="AC66" s="3">
        <f>T66*'Settings &amp; Rates'!$B$5+U66*'Settings &amp; Rates'!$B$6+V66*'Settings &amp; Rates'!$B$7+W66*'Settings &amp; Rates'!$B$8+X66*'Settings &amp; Rates'!$B$9</f>
        <v>55</v>
      </c>
      <c r="AD66" s="3">
        <f>SUMIF('Attempt Log'!$B$2:$B$101,A66,'Attempt Log'!$K$2:$K$101)</f>
        <v>0</v>
      </c>
      <c r="AE66" s="3">
        <f t="shared" ref="AE66:AE129" si="1">AD66-AC66</f>
        <v>-55</v>
      </c>
      <c r="AF66">
        <f>COUNTIF('Attempt Log'!$B$2:$B$101,A66)</f>
        <v>0</v>
      </c>
      <c r="AG66">
        <f>IFERROR(SUMIFS('Attempt Log'!$U$2:$U$101,'Attempt Log'!$B$2:$B$101,A66,'Attempt Log'!$N$2:$N$101,"Yes")/COUNTIFS('Attempt Log'!$B$2:$B$101,A66,'Attempt Log'!$N$2:$N$101,"Yes"),0)</f>
        <v>0</v>
      </c>
    </row>
    <row r="67" spans="1:33">
      <c r="A67" t="s">
        <v>475</v>
      </c>
      <c r="B67" t="s">
        <v>476</v>
      </c>
      <c r="C67" t="s">
        <v>477</v>
      </c>
      <c r="D67" t="s">
        <v>149</v>
      </c>
      <c r="E67" t="s">
        <v>150</v>
      </c>
      <c r="F67" t="s">
        <v>272</v>
      </c>
      <c r="G67" t="s">
        <v>284</v>
      </c>
      <c r="H67" t="s">
        <v>390</v>
      </c>
      <c r="I67" t="s">
        <v>391</v>
      </c>
      <c r="J67" t="s">
        <v>465</v>
      </c>
      <c r="K67" t="s">
        <v>129</v>
      </c>
      <c r="L67" t="s">
        <v>17</v>
      </c>
      <c r="M67">
        <v>1500</v>
      </c>
      <c r="N67" t="s">
        <v>153</v>
      </c>
      <c r="O67" t="s">
        <v>11</v>
      </c>
      <c r="P67" t="s">
        <v>143</v>
      </c>
      <c r="Q67" t="s">
        <v>2990</v>
      </c>
      <c r="R67" t="s">
        <v>3152</v>
      </c>
      <c r="S67" t="s">
        <v>3314</v>
      </c>
      <c r="T67">
        <v>2</v>
      </c>
      <c r="U67">
        <v>2</v>
      </c>
      <c r="V67">
        <v>1</v>
      </c>
      <c r="W67">
        <v>1</v>
      </c>
      <c r="X67">
        <v>0</v>
      </c>
      <c r="Y67" t="s">
        <v>154</v>
      </c>
      <c r="Z67" t="s">
        <v>478</v>
      </c>
      <c r="AA67" t="s">
        <v>7</v>
      </c>
      <c r="AB67" t="s">
        <v>8</v>
      </c>
      <c r="AC67" s="3">
        <f>T67*'Settings &amp; Rates'!$B$5+U67*'Settings &amp; Rates'!$B$6+V67*'Settings &amp; Rates'!$B$7+W67*'Settings &amp; Rates'!$B$8+X67*'Settings &amp; Rates'!$B$9</f>
        <v>55</v>
      </c>
      <c r="AD67" s="3">
        <f>SUMIF('Attempt Log'!$B$2:$B$101,A67,'Attempt Log'!$K$2:$K$101)</f>
        <v>0</v>
      </c>
      <c r="AE67" s="3">
        <f t="shared" si="1"/>
        <v>-55</v>
      </c>
      <c r="AF67">
        <f>COUNTIF('Attempt Log'!$B$2:$B$101,A67)</f>
        <v>0</v>
      </c>
      <c r="AG67">
        <f>IFERROR(SUMIFS('Attempt Log'!$U$2:$U$101,'Attempt Log'!$B$2:$B$101,A67,'Attempt Log'!$N$2:$N$101,"Yes")/COUNTIFS('Attempt Log'!$B$2:$B$101,A67,'Attempt Log'!$N$2:$N$101,"Yes"),0)</f>
        <v>0</v>
      </c>
    </row>
    <row r="68" spans="1:33">
      <c r="A68" t="s">
        <v>479</v>
      </c>
      <c r="B68" t="s">
        <v>480</v>
      </c>
      <c r="C68" t="s">
        <v>481</v>
      </c>
      <c r="D68" t="s">
        <v>149</v>
      </c>
      <c r="E68" t="s">
        <v>150</v>
      </c>
      <c r="F68" t="s">
        <v>272</v>
      </c>
      <c r="G68" t="s">
        <v>289</v>
      </c>
      <c r="H68" t="s">
        <v>390</v>
      </c>
      <c r="I68" t="s">
        <v>391</v>
      </c>
      <c r="J68" t="s">
        <v>465</v>
      </c>
      <c r="K68" t="s">
        <v>129</v>
      </c>
      <c r="L68" t="s">
        <v>17</v>
      </c>
      <c r="M68">
        <v>3350</v>
      </c>
      <c r="N68" t="s">
        <v>153</v>
      </c>
      <c r="O68" t="s">
        <v>11</v>
      </c>
      <c r="P68" t="s">
        <v>143</v>
      </c>
      <c r="Q68" t="s">
        <v>2999</v>
      </c>
      <c r="R68" t="s">
        <v>3161</v>
      </c>
      <c r="S68" t="s">
        <v>3323</v>
      </c>
      <c r="T68">
        <v>2</v>
      </c>
      <c r="U68">
        <v>2</v>
      </c>
      <c r="V68">
        <v>1</v>
      </c>
      <c r="W68">
        <v>1</v>
      </c>
      <c r="X68">
        <v>0</v>
      </c>
      <c r="Y68" t="s">
        <v>154</v>
      </c>
      <c r="Z68" t="s">
        <v>482</v>
      </c>
      <c r="AA68" t="s">
        <v>7</v>
      </c>
      <c r="AB68" t="s">
        <v>8</v>
      </c>
      <c r="AC68" s="3">
        <f>T68*'Settings &amp; Rates'!$B$5+U68*'Settings &amp; Rates'!$B$6+V68*'Settings &amp; Rates'!$B$7+W68*'Settings &amp; Rates'!$B$8+X68*'Settings &amp; Rates'!$B$9</f>
        <v>55</v>
      </c>
      <c r="AD68" s="3">
        <f>SUMIF('Attempt Log'!$B$2:$B$101,A68,'Attempt Log'!$K$2:$K$101)</f>
        <v>0</v>
      </c>
      <c r="AE68" s="3">
        <f t="shared" si="1"/>
        <v>-55</v>
      </c>
      <c r="AF68">
        <f>COUNTIF('Attempt Log'!$B$2:$B$101,A68)</f>
        <v>0</v>
      </c>
      <c r="AG68">
        <f>IFERROR(SUMIFS('Attempt Log'!$U$2:$U$101,'Attempt Log'!$B$2:$B$101,A68,'Attempt Log'!$N$2:$N$101,"Yes")/COUNTIFS('Attempt Log'!$B$2:$B$101,A68,'Attempt Log'!$N$2:$N$101,"Yes"),0)</f>
        <v>0</v>
      </c>
    </row>
    <row r="69" spans="1:33">
      <c r="A69" t="s">
        <v>483</v>
      </c>
      <c r="B69" t="s">
        <v>484</v>
      </c>
      <c r="C69" t="s">
        <v>485</v>
      </c>
      <c r="D69" t="s">
        <v>149</v>
      </c>
      <c r="E69" t="s">
        <v>150</v>
      </c>
      <c r="F69" t="s">
        <v>294</v>
      </c>
      <c r="G69" t="s">
        <v>295</v>
      </c>
      <c r="H69" t="s">
        <v>390</v>
      </c>
      <c r="I69" t="s">
        <v>391</v>
      </c>
      <c r="J69" t="s">
        <v>465</v>
      </c>
      <c r="K69" t="s">
        <v>129</v>
      </c>
      <c r="L69" t="s">
        <v>17</v>
      </c>
      <c r="M69">
        <v>1750</v>
      </c>
      <c r="N69" t="s">
        <v>153</v>
      </c>
      <c r="O69" t="s">
        <v>11</v>
      </c>
      <c r="P69" t="s">
        <v>143</v>
      </c>
      <c r="Q69" t="s">
        <v>3008</v>
      </c>
      <c r="R69" t="s">
        <v>3170</v>
      </c>
      <c r="S69" t="s">
        <v>3332</v>
      </c>
      <c r="T69">
        <v>2</v>
      </c>
      <c r="U69">
        <v>2</v>
      </c>
      <c r="V69">
        <v>1</v>
      </c>
      <c r="W69">
        <v>1</v>
      </c>
      <c r="X69">
        <v>0</v>
      </c>
      <c r="Y69" t="s">
        <v>154</v>
      </c>
      <c r="Z69" t="s">
        <v>486</v>
      </c>
      <c r="AA69" t="s">
        <v>7</v>
      </c>
      <c r="AB69" t="s">
        <v>8</v>
      </c>
      <c r="AC69" s="3">
        <f>T69*'Settings &amp; Rates'!$B$5+U69*'Settings &amp; Rates'!$B$6+V69*'Settings &amp; Rates'!$B$7+W69*'Settings &amp; Rates'!$B$8+X69*'Settings &amp; Rates'!$B$9</f>
        <v>55</v>
      </c>
      <c r="AD69" s="3">
        <f>SUMIF('Attempt Log'!$B$2:$B$101,A69,'Attempt Log'!$K$2:$K$101)</f>
        <v>0</v>
      </c>
      <c r="AE69" s="3">
        <f t="shared" si="1"/>
        <v>-55</v>
      </c>
      <c r="AF69">
        <f>COUNTIF('Attempt Log'!$B$2:$B$101,A69)</f>
        <v>0</v>
      </c>
      <c r="AG69">
        <f>IFERROR(SUMIFS('Attempt Log'!$U$2:$U$101,'Attempt Log'!$B$2:$B$101,A69,'Attempt Log'!$N$2:$N$101,"Yes")/COUNTIFS('Attempt Log'!$B$2:$B$101,A69,'Attempt Log'!$N$2:$N$101,"Yes"),0)</f>
        <v>0</v>
      </c>
    </row>
    <row r="70" spans="1:33">
      <c r="A70" t="s">
        <v>487</v>
      </c>
      <c r="B70" t="s">
        <v>488</v>
      </c>
      <c r="C70" t="s">
        <v>489</v>
      </c>
      <c r="D70" t="s">
        <v>149</v>
      </c>
      <c r="E70" t="s">
        <v>150</v>
      </c>
      <c r="F70" t="s">
        <v>294</v>
      </c>
      <c r="G70" t="s">
        <v>300</v>
      </c>
      <c r="H70" t="s">
        <v>390</v>
      </c>
      <c r="I70" t="s">
        <v>391</v>
      </c>
      <c r="J70" t="s">
        <v>465</v>
      </c>
      <c r="K70" t="s">
        <v>129</v>
      </c>
      <c r="L70" t="s">
        <v>17</v>
      </c>
      <c r="M70">
        <v>3750</v>
      </c>
      <c r="N70" t="s">
        <v>153</v>
      </c>
      <c r="O70" t="s">
        <v>11</v>
      </c>
      <c r="P70" t="s">
        <v>143</v>
      </c>
      <c r="Q70" t="s">
        <v>3017</v>
      </c>
      <c r="R70" t="s">
        <v>3179</v>
      </c>
      <c r="S70" t="s">
        <v>3341</v>
      </c>
      <c r="T70">
        <v>2</v>
      </c>
      <c r="U70">
        <v>2</v>
      </c>
      <c r="V70">
        <v>1</v>
      </c>
      <c r="W70">
        <v>1</v>
      </c>
      <c r="X70">
        <v>0</v>
      </c>
      <c r="Y70" t="s">
        <v>154</v>
      </c>
      <c r="Z70" t="s">
        <v>490</v>
      </c>
      <c r="AA70" t="s">
        <v>7</v>
      </c>
      <c r="AB70" t="s">
        <v>8</v>
      </c>
      <c r="AC70" s="3">
        <f>T70*'Settings &amp; Rates'!$B$5+U70*'Settings &amp; Rates'!$B$6+V70*'Settings &amp; Rates'!$B$7+W70*'Settings &amp; Rates'!$B$8+X70*'Settings &amp; Rates'!$B$9</f>
        <v>55</v>
      </c>
      <c r="AD70" s="3">
        <f>SUMIF('Attempt Log'!$B$2:$B$101,A70,'Attempt Log'!$K$2:$K$101)</f>
        <v>0</v>
      </c>
      <c r="AE70" s="3">
        <f t="shared" si="1"/>
        <v>-55</v>
      </c>
      <c r="AF70">
        <f>COUNTIF('Attempt Log'!$B$2:$B$101,A70)</f>
        <v>0</v>
      </c>
      <c r="AG70">
        <f>IFERROR(SUMIFS('Attempt Log'!$U$2:$U$101,'Attempt Log'!$B$2:$B$101,A70,'Attempt Log'!$N$2:$N$101,"Yes")/COUNTIFS('Attempt Log'!$B$2:$B$101,A70,'Attempt Log'!$N$2:$N$101,"Yes"),0)</f>
        <v>0</v>
      </c>
    </row>
    <row r="71" spans="1:33">
      <c r="A71" t="s">
        <v>491</v>
      </c>
      <c r="B71" t="s">
        <v>492</v>
      </c>
      <c r="C71" t="s">
        <v>493</v>
      </c>
      <c r="D71" t="s">
        <v>149</v>
      </c>
      <c r="E71" t="s">
        <v>150</v>
      </c>
      <c r="F71" t="s">
        <v>294</v>
      </c>
      <c r="G71" t="s">
        <v>305</v>
      </c>
      <c r="H71" t="s">
        <v>390</v>
      </c>
      <c r="I71" t="s">
        <v>391</v>
      </c>
      <c r="J71" t="s">
        <v>465</v>
      </c>
      <c r="K71" t="s">
        <v>129</v>
      </c>
      <c r="L71" t="s">
        <v>17</v>
      </c>
      <c r="M71">
        <v>1550</v>
      </c>
      <c r="N71" t="s">
        <v>153</v>
      </c>
      <c r="O71" t="s">
        <v>11</v>
      </c>
      <c r="P71" t="s">
        <v>143</v>
      </c>
      <c r="Q71" t="s">
        <v>3026</v>
      </c>
      <c r="R71" t="s">
        <v>3188</v>
      </c>
      <c r="S71" t="s">
        <v>3350</v>
      </c>
      <c r="T71">
        <v>2</v>
      </c>
      <c r="U71">
        <v>2</v>
      </c>
      <c r="V71">
        <v>1</v>
      </c>
      <c r="W71">
        <v>1</v>
      </c>
      <c r="X71">
        <v>0</v>
      </c>
      <c r="Y71" t="s">
        <v>154</v>
      </c>
      <c r="Z71" t="s">
        <v>494</v>
      </c>
      <c r="AA71" t="s">
        <v>7</v>
      </c>
      <c r="AB71" t="s">
        <v>8</v>
      </c>
      <c r="AC71" s="3">
        <f>T71*'Settings &amp; Rates'!$B$5+U71*'Settings &amp; Rates'!$B$6+V71*'Settings &amp; Rates'!$B$7+W71*'Settings &amp; Rates'!$B$8+X71*'Settings &amp; Rates'!$B$9</f>
        <v>55</v>
      </c>
      <c r="AD71" s="3">
        <f>SUMIF('Attempt Log'!$B$2:$B$101,A71,'Attempt Log'!$K$2:$K$101)</f>
        <v>0</v>
      </c>
      <c r="AE71" s="3">
        <f t="shared" si="1"/>
        <v>-55</v>
      </c>
      <c r="AF71">
        <f>COUNTIF('Attempt Log'!$B$2:$B$101,A71)</f>
        <v>0</v>
      </c>
      <c r="AG71">
        <f>IFERROR(SUMIFS('Attempt Log'!$U$2:$U$101,'Attempt Log'!$B$2:$B$101,A71,'Attempt Log'!$N$2:$N$101,"Yes")/COUNTIFS('Attempt Log'!$B$2:$B$101,A71,'Attempt Log'!$N$2:$N$101,"Yes"),0)</f>
        <v>0</v>
      </c>
    </row>
    <row r="72" spans="1:33">
      <c r="A72" t="s">
        <v>495</v>
      </c>
      <c r="B72" t="s">
        <v>496</v>
      </c>
      <c r="C72" t="s">
        <v>497</v>
      </c>
      <c r="D72" t="s">
        <v>149</v>
      </c>
      <c r="E72" t="s">
        <v>150</v>
      </c>
      <c r="F72" t="s">
        <v>294</v>
      </c>
      <c r="G72" t="s">
        <v>310</v>
      </c>
      <c r="H72" t="s">
        <v>390</v>
      </c>
      <c r="I72" t="s">
        <v>391</v>
      </c>
      <c r="J72" t="s">
        <v>465</v>
      </c>
      <c r="K72" t="s">
        <v>129</v>
      </c>
      <c r="L72" t="s">
        <v>17</v>
      </c>
      <c r="M72">
        <v>2200</v>
      </c>
      <c r="N72" t="s">
        <v>153</v>
      </c>
      <c r="O72" t="s">
        <v>11</v>
      </c>
      <c r="P72" t="s">
        <v>143</v>
      </c>
      <c r="Q72" t="s">
        <v>3035</v>
      </c>
      <c r="R72" t="s">
        <v>3197</v>
      </c>
      <c r="S72" t="s">
        <v>3359</v>
      </c>
      <c r="T72">
        <v>2</v>
      </c>
      <c r="U72">
        <v>2</v>
      </c>
      <c r="V72">
        <v>1</v>
      </c>
      <c r="W72">
        <v>1</v>
      </c>
      <c r="X72">
        <v>0</v>
      </c>
      <c r="Y72" t="s">
        <v>154</v>
      </c>
      <c r="Z72" t="s">
        <v>498</v>
      </c>
      <c r="AA72" t="s">
        <v>7</v>
      </c>
      <c r="AB72" t="s">
        <v>8</v>
      </c>
      <c r="AC72" s="3">
        <f>T72*'Settings &amp; Rates'!$B$5+U72*'Settings &amp; Rates'!$B$6+V72*'Settings &amp; Rates'!$B$7+W72*'Settings &amp; Rates'!$B$8+X72*'Settings &amp; Rates'!$B$9</f>
        <v>55</v>
      </c>
      <c r="AD72" s="3">
        <f>SUMIF('Attempt Log'!$B$2:$B$101,A72,'Attempt Log'!$K$2:$K$101)</f>
        <v>0</v>
      </c>
      <c r="AE72" s="3">
        <f t="shared" si="1"/>
        <v>-55</v>
      </c>
      <c r="AF72">
        <f>COUNTIF('Attempt Log'!$B$2:$B$101,A72)</f>
        <v>0</v>
      </c>
      <c r="AG72">
        <f>IFERROR(SUMIFS('Attempt Log'!$U$2:$U$101,'Attempt Log'!$B$2:$B$101,A72,'Attempt Log'!$N$2:$N$101,"Yes")/COUNTIFS('Attempt Log'!$B$2:$B$101,A72,'Attempt Log'!$N$2:$N$101,"Yes"),0)</f>
        <v>0</v>
      </c>
    </row>
    <row r="73" spans="1:33">
      <c r="A73" t="s">
        <v>499</v>
      </c>
      <c r="B73" t="s">
        <v>500</v>
      </c>
      <c r="C73" t="s">
        <v>501</v>
      </c>
      <c r="D73" t="s">
        <v>149</v>
      </c>
      <c r="E73" t="s">
        <v>150</v>
      </c>
      <c r="F73" t="s">
        <v>315</v>
      </c>
      <c r="G73" t="s">
        <v>316</v>
      </c>
      <c r="H73" t="s">
        <v>390</v>
      </c>
      <c r="I73" t="s">
        <v>391</v>
      </c>
      <c r="J73" t="s">
        <v>465</v>
      </c>
      <c r="K73" t="s">
        <v>129</v>
      </c>
      <c r="L73" t="s">
        <v>17</v>
      </c>
      <c r="M73">
        <v>1450</v>
      </c>
      <c r="N73" t="s">
        <v>153</v>
      </c>
      <c r="O73" t="s">
        <v>11</v>
      </c>
      <c r="P73" t="s">
        <v>143</v>
      </c>
      <c r="Q73" t="s">
        <v>3044</v>
      </c>
      <c r="R73" t="s">
        <v>3206</v>
      </c>
      <c r="S73" t="s">
        <v>3368</v>
      </c>
      <c r="T73">
        <v>2</v>
      </c>
      <c r="U73">
        <v>2</v>
      </c>
      <c r="V73">
        <v>1</v>
      </c>
      <c r="W73">
        <v>1</v>
      </c>
      <c r="X73">
        <v>0</v>
      </c>
      <c r="Y73" t="s">
        <v>154</v>
      </c>
      <c r="Z73" t="s">
        <v>502</v>
      </c>
      <c r="AA73" t="s">
        <v>7</v>
      </c>
      <c r="AB73" t="s">
        <v>8</v>
      </c>
      <c r="AC73" s="3">
        <f>T73*'Settings &amp; Rates'!$B$5+U73*'Settings &amp; Rates'!$B$6+V73*'Settings &amp; Rates'!$B$7+W73*'Settings &amp; Rates'!$B$8+X73*'Settings &amp; Rates'!$B$9</f>
        <v>55</v>
      </c>
      <c r="AD73" s="3">
        <f>SUMIF('Attempt Log'!$B$2:$B$101,A73,'Attempt Log'!$K$2:$K$101)</f>
        <v>0</v>
      </c>
      <c r="AE73" s="3">
        <f t="shared" si="1"/>
        <v>-55</v>
      </c>
      <c r="AF73">
        <f>COUNTIF('Attempt Log'!$B$2:$B$101,A73)</f>
        <v>0</v>
      </c>
      <c r="AG73">
        <f>IFERROR(SUMIFS('Attempt Log'!$U$2:$U$101,'Attempt Log'!$B$2:$B$101,A73,'Attempt Log'!$N$2:$N$101,"Yes")/COUNTIFS('Attempt Log'!$B$2:$B$101,A73,'Attempt Log'!$N$2:$N$101,"Yes"),0)</f>
        <v>0</v>
      </c>
    </row>
    <row r="74" spans="1:33">
      <c r="A74" t="s">
        <v>503</v>
      </c>
      <c r="B74" t="s">
        <v>504</v>
      </c>
      <c r="C74" t="s">
        <v>505</v>
      </c>
      <c r="D74" t="s">
        <v>149</v>
      </c>
      <c r="E74" t="s">
        <v>150</v>
      </c>
      <c r="F74" t="s">
        <v>315</v>
      </c>
      <c r="G74" t="s">
        <v>321</v>
      </c>
      <c r="H74" t="s">
        <v>390</v>
      </c>
      <c r="I74" t="s">
        <v>391</v>
      </c>
      <c r="J74" t="s">
        <v>465</v>
      </c>
      <c r="K74" t="s">
        <v>129</v>
      </c>
      <c r="L74" t="s">
        <v>17</v>
      </c>
      <c r="M74">
        <v>2800</v>
      </c>
      <c r="N74" t="s">
        <v>153</v>
      </c>
      <c r="O74" t="s">
        <v>11</v>
      </c>
      <c r="P74" t="s">
        <v>143</v>
      </c>
      <c r="Q74" t="s">
        <v>3053</v>
      </c>
      <c r="R74" t="s">
        <v>3215</v>
      </c>
      <c r="S74" t="s">
        <v>3377</v>
      </c>
      <c r="T74">
        <v>2</v>
      </c>
      <c r="U74">
        <v>2</v>
      </c>
      <c r="V74">
        <v>1</v>
      </c>
      <c r="W74">
        <v>1</v>
      </c>
      <c r="X74">
        <v>0</v>
      </c>
      <c r="Y74" t="s">
        <v>154</v>
      </c>
      <c r="Z74" t="s">
        <v>506</v>
      </c>
      <c r="AA74" t="s">
        <v>7</v>
      </c>
      <c r="AB74" t="s">
        <v>8</v>
      </c>
      <c r="AC74" s="3">
        <f>T74*'Settings &amp; Rates'!$B$5+U74*'Settings &amp; Rates'!$B$6+V74*'Settings &amp; Rates'!$B$7+W74*'Settings &amp; Rates'!$B$8+X74*'Settings &amp; Rates'!$B$9</f>
        <v>55</v>
      </c>
      <c r="AD74" s="3">
        <f>SUMIF('Attempt Log'!$B$2:$B$101,A74,'Attempt Log'!$K$2:$K$101)</f>
        <v>0</v>
      </c>
      <c r="AE74" s="3">
        <f t="shared" si="1"/>
        <v>-55</v>
      </c>
      <c r="AF74">
        <f>COUNTIF('Attempt Log'!$B$2:$B$101,A74)</f>
        <v>0</v>
      </c>
      <c r="AG74">
        <f>IFERROR(SUMIFS('Attempt Log'!$U$2:$U$101,'Attempt Log'!$B$2:$B$101,A74,'Attempt Log'!$N$2:$N$101,"Yes")/COUNTIFS('Attempt Log'!$B$2:$B$101,A74,'Attempt Log'!$N$2:$N$101,"Yes"),0)</f>
        <v>0</v>
      </c>
    </row>
    <row r="75" spans="1:33">
      <c r="A75" t="s">
        <v>507</v>
      </c>
      <c r="B75" t="s">
        <v>508</v>
      </c>
      <c r="C75" t="s">
        <v>509</v>
      </c>
      <c r="D75" t="s">
        <v>149</v>
      </c>
      <c r="E75" t="s">
        <v>150</v>
      </c>
      <c r="F75" t="s">
        <v>315</v>
      </c>
      <c r="G75" t="s">
        <v>326</v>
      </c>
      <c r="H75" t="s">
        <v>390</v>
      </c>
      <c r="I75" t="s">
        <v>391</v>
      </c>
      <c r="J75" t="s">
        <v>465</v>
      </c>
      <c r="K75" t="s">
        <v>129</v>
      </c>
      <c r="L75" t="s">
        <v>17</v>
      </c>
      <c r="M75">
        <v>1200</v>
      </c>
      <c r="N75" t="s">
        <v>153</v>
      </c>
      <c r="O75" t="s">
        <v>11</v>
      </c>
      <c r="P75" t="s">
        <v>143</v>
      </c>
      <c r="Q75" t="s">
        <v>3062</v>
      </c>
      <c r="R75" t="s">
        <v>3224</v>
      </c>
      <c r="S75" t="s">
        <v>3386</v>
      </c>
      <c r="T75">
        <v>2</v>
      </c>
      <c r="U75">
        <v>2</v>
      </c>
      <c r="V75">
        <v>1</v>
      </c>
      <c r="W75">
        <v>1</v>
      </c>
      <c r="X75">
        <v>0</v>
      </c>
      <c r="Y75" t="s">
        <v>154</v>
      </c>
      <c r="Z75" t="s">
        <v>510</v>
      </c>
      <c r="AA75" t="s">
        <v>7</v>
      </c>
      <c r="AB75" t="s">
        <v>8</v>
      </c>
      <c r="AC75" s="3">
        <f>T75*'Settings &amp; Rates'!$B$5+U75*'Settings &amp; Rates'!$B$6+V75*'Settings &amp; Rates'!$B$7+W75*'Settings &amp; Rates'!$B$8+X75*'Settings &amp; Rates'!$B$9</f>
        <v>55</v>
      </c>
      <c r="AD75" s="3">
        <f>SUMIF('Attempt Log'!$B$2:$B$101,A75,'Attempt Log'!$K$2:$K$101)</f>
        <v>0</v>
      </c>
      <c r="AE75" s="3">
        <f t="shared" si="1"/>
        <v>-55</v>
      </c>
      <c r="AF75">
        <f>COUNTIF('Attempt Log'!$B$2:$B$101,A75)</f>
        <v>0</v>
      </c>
      <c r="AG75">
        <f>IFERROR(SUMIFS('Attempt Log'!$U$2:$U$101,'Attempt Log'!$B$2:$B$101,A75,'Attempt Log'!$N$2:$N$101,"Yes")/COUNTIFS('Attempt Log'!$B$2:$B$101,A75,'Attempt Log'!$N$2:$N$101,"Yes"),0)</f>
        <v>0</v>
      </c>
    </row>
    <row r="76" spans="1:33">
      <c r="A76" t="s">
        <v>511</v>
      </c>
      <c r="B76" t="s">
        <v>512</v>
      </c>
      <c r="C76" t="s">
        <v>513</v>
      </c>
      <c r="D76" t="s">
        <v>149</v>
      </c>
      <c r="E76" t="s">
        <v>150</v>
      </c>
      <c r="F76" t="s">
        <v>315</v>
      </c>
      <c r="G76" t="s">
        <v>331</v>
      </c>
      <c r="H76" t="s">
        <v>390</v>
      </c>
      <c r="I76" t="s">
        <v>391</v>
      </c>
      <c r="J76" t="s">
        <v>465</v>
      </c>
      <c r="K76" t="s">
        <v>129</v>
      </c>
      <c r="L76" t="s">
        <v>17</v>
      </c>
      <c r="M76">
        <v>1450</v>
      </c>
      <c r="N76" t="s">
        <v>153</v>
      </c>
      <c r="O76" t="s">
        <v>11</v>
      </c>
      <c r="P76" t="s">
        <v>143</v>
      </c>
      <c r="Q76" t="s">
        <v>3071</v>
      </c>
      <c r="R76" t="s">
        <v>3233</v>
      </c>
      <c r="S76" t="s">
        <v>3395</v>
      </c>
      <c r="T76">
        <v>2</v>
      </c>
      <c r="U76">
        <v>2</v>
      </c>
      <c r="V76">
        <v>1</v>
      </c>
      <c r="W76">
        <v>1</v>
      </c>
      <c r="X76">
        <v>0</v>
      </c>
      <c r="Y76" t="s">
        <v>154</v>
      </c>
      <c r="Z76" t="s">
        <v>514</v>
      </c>
      <c r="AA76" t="s">
        <v>7</v>
      </c>
      <c r="AB76" t="s">
        <v>8</v>
      </c>
      <c r="AC76" s="3">
        <f>T76*'Settings &amp; Rates'!$B$5+U76*'Settings &amp; Rates'!$B$6+V76*'Settings &amp; Rates'!$B$7+W76*'Settings &amp; Rates'!$B$8+X76*'Settings &amp; Rates'!$B$9</f>
        <v>55</v>
      </c>
      <c r="AD76" s="3">
        <f>SUMIF('Attempt Log'!$B$2:$B$101,A76,'Attempt Log'!$K$2:$K$101)</f>
        <v>0</v>
      </c>
      <c r="AE76" s="3">
        <f t="shared" si="1"/>
        <v>-55</v>
      </c>
      <c r="AF76">
        <f>COUNTIF('Attempt Log'!$B$2:$B$101,A76)</f>
        <v>0</v>
      </c>
      <c r="AG76">
        <f>IFERROR(SUMIFS('Attempt Log'!$U$2:$U$101,'Attempt Log'!$B$2:$B$101,A76,'Attempt Log'!$N$2:$N$101,"Yes")/COUNTIFS('Attempt Log'!$B$2:$B$101,A76,'Attempt Log'!$N$2:$N$101,"Yes"),0)</f>
        <v>0</v>
      </c>
    </row>
    <row r="77" spans="1:33">
      <c r="A77" t="s">
        <v>515</v>
      </c>
      <c r="B77" t="s">
        <v>516</v>
      </c>
      <c r="C77" t="s">
        <v>517</v>
      </c>
      <c r="D77" t="s">
        <v>149</v>
      </c>
      <c r="E77" t="s">
        <v>150</v>
      </c>
      <c r="F77" t="s">
        <v>151</v>
      </c>
      <c r="G77" t="s">
        <v>252</v>
      </c>
      <c r="H77" t="s">
        <v>390</v>
      </c>
      <c r="I77" t="s">
        <v>391</v>
      </c>
      <c r="J77" t="s">
        <v>465</v>
      </c>
      <c r="K77" t="s">
        <v>140</v>
      </c>
      <c r="L77" t="s">
        <v>141</v>
      </c>
      <c r="M77">
        <v>1700</v>
      </c>
      <c r="N77" t="s">
        <v>153</v>
      </c>
      <c r="O77" t="s">
        <v>11</v>
      </c>
      <c r="P77" t="s">
        <v>143</v>
      </c>
      <c r="Q77" t="s">
        <v>3080</v>
      </c>
      <c r="R77" t="s">
        <v>3242</v>
      </c>
      <c r="S77" t="s">
        <v>3404</v>
      </c>
      <c r="T77">
        <v>1</v>
      </c>
      <c r="U77">
        <v>2</v>
      </c>
      <c r="V77">
        <v>1</v>
      </c>
      <c r="W77">
        <v>1</v>
      </c>
      <c r="X77">
        <v>0</v>
      </c>
      <c r="Y77" t="s">
        <v>154</v>
      </c>
      <c r="Z77" t="s">
        <v>518</v>
      </c>
      <c r="AA77" t="s">
        <v>7</v>
      </c>
      <c r="AB77" t="s">
        <v>8</v>
      </c>
      <c r="AC77" s="3">
        <f>T77*'Settings &amp; Rates'!$B$5+U77*'Settings &amp; Rates'!$B$6+V77*'Settings &amp; Rates'!$B$7+W77*'Settings &amp; Rates'!$B$8+X77*'Settings &amp; Rates'!$B$9</f>
        <v>55</v>
      </c>
      <c r="AD77" s="3">
        <f>SUMIF('Attempt Log'!$B$2:$B$101,A77,'Attempt Log'!$K$2:$K$101)</f>
        <v>0</v>
      </c>
      <c r="AE77" s="3">
        <f t="shared" si="1"/>
        <v>-55</v>
      </c>
      <c r="AF77">
        <f>COUNTIF('Attempt Log'!$B$2:$B$101,A77)</f>
        <v>0</v>
      </c>
      <c r="AG77">
        <f>IFERROR(SUMIFS('Attempt Log'!$U$2:$U$101,'Attempt Log'!$B$2:$B$101,A77,'Attempt Log'!$N$2:$N$101,"Yes")/COUNTIFS('Attempt Log'!$B$2:$B$101,A77,'Attempt Log'!$N$2:$N$101,"Yes"),0)</f>
        <v>0</v>
      </c>
    </row>
    <row r="78" spans="1:33">
      <c r="A78" t="s">
        <v>519</v>
      </c>
      <c r="B78" t="s">
        <v>520</v>
      </c>
      <c r="C78" t="s">
        <v>521</v>
      </c>
      <c r="D78" t="s">
        <v>149</v>
      </c>
      <c r="E78" t="s">
        <v>150</v>
      </c>
      <c r="F78" t="s">
        <v>244</v>
      </c>
      <c r="G78" t="s">
        <v>257</v>
      </c>
      <c r="H78" t="s">
        <v>390</v>
      </c>
      <c r="I78" t="s">
        <v>391</v>
      </c>
      <c r="J78" t="s">
        <v>465</v>
      </c>
      <c r="K78" t="s">
        <v>140</v>
      </c>
      <c r="L78" t="s">
        <v>141</v>
      </c>
      <c r="M78">
        <v>550</v>
      </c>
      <c r="N78" t="s">
        <v>247</v>
      </c>
      <c r="O78" t="s">
        <v>11</v>
      </c>
      <c r="P78" t="s">
        <v>143</v>
      </c>
      <c r="Q78" t="s">
        <v>3089</v>
      </c>
      <c r="R78" t="s">
        <v>3251</v>
      </c>
      <c r="S78" t="s">
        <v>3413</v>
      </c>
      <c r="T78">
        <v>1</v>
      </c>
      <c r="U78">
        <v>2</v>
      </c>
      <c r="V78">
        <v>1</v>
      </c>
      <c r="W78">
        <v>1</v>
      </c>
      <c r="X78">
        <v>0</v>
      </c>
      <c r="Y78" t="s">
        <v>154</v>
      </c>
      <c r="Z78" t="s">
        <v>522</v>
      </c>
      <c r="AA78" t="s">
        <v>7</v>
      </c>
      <c r="AB78" t="s">
        <v>8</v>
      </c>
      <c r="AC78" s="3">
        <f>T78*'Settings &amp; Rates'!$B$5+U78*'Settings &amp; Rates'!$B$6+V78*'Settings &amp; Rates'!$B$7+W78*'Settings &amp; Rates'!$B$8+X78*'Settings &amp; Rates'!$B$9</f>
        <v>55</v>
      </c>
      <c r="AD78" s="3">
        <f>SUMIF('Attempt Log'!$B$2:$B$101,A78,'Attempt Log'!$K$2:$K$101)</f>
        <v>0</v>
      </c>
      <c r="AE78" s="3">
        <f t="shared" si="1"/>
        <v>-55</v>
      </c>
      <c r="AF78">
        <f>COUNTIF('Attempt Log'!$B$2:$B$101,A78)</f>
        <v>0</v>
      </c>
      <c r="AG78">
        <f>IFERROR(SUMIFS('Attempt Log'!$U$2:$U$101,'Attempt Log'!$B$2:$B$101,A78,'Attempt Log'!$N$2:$N$101,"Yes")/COUNTIFS('Attempt Log'!$B$2:$B$101,A78,'Attempt Log'!$N$2:$N$101,"Yes"),0)</f>
        <v>0</v>
      </c>
    </row>
    <row r="79" spans="1:33">
      <c r="A79" t="s">
        <v>523</v>
      </c>
      <c r="B79" t="s">
        <v>524</v>
      </c>
      <c r="C79" t="s">
        <v>525</v>
      </c>
      <c r="D79" t="s">
        <v>149</v>
      </c>
      <c r="E79" t="s">
        <v>150</v>
      </c>
      <c r="F79" t="s">
        <v>151</v>
      </c>
      <c r="G79" t="s">
        <v>262</v>
      </c>
      <c r="H79" t="s">
        <v>390</v>
      </c>
      <c r="I79" t="s">
        <v>391</v>
      </c>
      <c r="J79" t="s">
        <v>465</v>
      </c>
      <c r="K79" t="s">
        <v>140</v>
      </c>
      <c r="L79" t="s">
        <v>141</v>
      </c>
      <c r="M79">
        <v>2500</v>
      </c>
      <c r="N79" t="s">
        <v>153</v>
      </c>
      <c r="O79" t="s">
        <v>11</v>
      </c>
      <c r="P79" t="s">
        <v>143</v>
      </c>
      <c r="Q79" t="s">
        <v>3098</v>
      </c>
      <c r="R79" t="s">
        <v>3260</v>
      </c>
      <c r="S79" t="s">
        <v>3422</v>
      </c>
      <c r="T79">
        <v>1</v>
      </c>
      <c r="U79">
        <v>2</v>
      </c>
      <c r="V79">
        <v>1</v>
      </c>
      <c r="W79">
        <v>1</v>
      </c>
      <c r="X79">
        <v>0</v>
      </c>
      <c r="Y79" t="s">
        <v>154</v>
      </c>
      <c r="Z79" t="s">
        <v>526</v>
      </c>
      <c r="AA79" t="s">
        <v>7</v>
      </c>
      <c r="AB79" t="s">
        <v>8</v>
      </c>
      <c r="AC79" s="3">
        <f>T79*'Settings &amp; Rates'!$B$5+U79*'Settings &amp; Rates'!$B$6+V79*'Settings &amp; Rates'!$B$7+W79*'Settings &amp; Rates'!$B$8+X79*'Settings &amp; Rates'!$B$9</f>
        <v>55</v>
      </c>
      <c r="AD79" s="3">
        <f>SUMIF('Attempt Log'!$B$2:$B$101,A79,'Attempt Log'!$K$2:$K$101)</f>
        <v>0</v>
      </c>
      <c r="AE79" s="3">
        <f t="shared" si="1"/>
        <v>-55</v>
      </c>
      <c r="AF79">
        <f>COUNTIF('Attempt Log'!$B$2:$B$101,A79)</f>
        <v>0</v>
      </c>
      <c r="AG79">
        <f>IFERROR(SUMIFS('Attempt Log'!$U$2:$U$101,'Attempt Log'!$B$2:$B$101,A79,'Attempt Log'!$N$2:$N$101,"Yes")/COUNTIFS('Attempt Log'!$B$2:$B$101,A79,'Attempt Log'!$N$2:$N$101,"Yes"),0)</f>
        <v>0</v>
      </c>
    </row>
    <row r="80" spans="1:33">
      <c r="A80" t="s">
        <v>527</v>
      </c>
      <c r="B80" t="s">
        <v>528</v>
      </c>
      <c r="C80" t="s">
        <v>529</v>
      </c>
      <c r="D80" t="s">
        <v>149</v>
      </c>
      <c r="E80" t="s">
        <v>150</v>
      </c>
      <c r="F80" t="s">
        <v>151</v>
      </c>
      <c r="G80" t="s">
        <v>267</v>
      </c>
      <c r="H80" t="s">
        <v>390</v>
      </c>
      <c r="I80" t="s">
        <v>391</v>
      </c>
      <c r="J80" t="s">
        <v>465</v>
      </c>
      <c r="K80" t="s">
        <v>140</v>
      </c>
      <c r="L80" t="s">
        <v>141</v>
      </c>
      <c r="M80">
        <v>2400</v>
      </c>
      <c r="N80" t="s">
        <v>153</v>
      </c>
      <c r="O80" t="s">
        <v>11</v>
      </c>
      <c r="P80" t="s">
        <v>143</v>
      </c>
      <c r="Q80" t="s">
        <v>3107</v>
      </c>
      <c r="R80" t="s">
        <v>3269</v>
      </c>
      <c r="S80" t="s">
        <v>3431</v>
      </c>
      <c r="T80">
        <v>1</v>
      </c>
      <c r="U80">
        <v>2</v>
      </c>
      <c r="V80">
        <v>1</v>
      </c>
      <c r="W80">
        <v>1</v>
      </c>
      <c r="X80">
        <v>0</v>
      </c>
      <c r="Y80" t="s">
        <v>154</v>
      </c>
      <c r="Z80" t="s">
        <v>530</v>
      </c>
      <c r="AA80" t="s">
        <v>7</v>
      </c>
      <c r="AB80" t="s">
        <v>8</v>
      </c>
      <c r="AC80" s="3">
        <f>T80*'Settings &amp; Rates'!$B$5+U80*'Settings &amp; Rates'!$B$6+V80*'Settings &amp; Rates'!$B$7+W80*'Settings &amp; Rates'!$B$8+X80*'Settings &amp; Rates'!$B$9</f>
        <v>55</v>
      </c>
      <c r="AD80" s="3">
        <f>SUMIF('Attempt Log'!$B$2:$B$101,A80,'Attempt Log'!$K$2:$K$101)</f>
        <v>0</v>
      </c>
      <c r="AE80" s="3">
        <f t="shared" si="1"/>
        <v>-55</v>
      </c>
      <c r="AF80">
        <f>COUNTIF('Attempt Log'!$B$2:$B$101,A80)</f>
        <v>0</v>
      </c>
      <c r="AG80">
        <f>IFERROR(SUMIFS('Attempt Log'!$U$2:$U$101,'Attempt Log'!$B$2:$B$101,A80,'Attempt Log'!$N$2:$N$101,"Yes")/COUNTIFS('Attempt Log'!$B$2:$B$101,A80,'Attempt Log'!$N$2:$N$101,"Yes"),0)</f>
        <v>0</v>
      </c>
    </row>
    <row r="81" spans="1:33">
      <c r="A81" t="s">
        <v>531</v>
      </c>
      <c r="B81" t="s">
        <v>532</v>
      </c>
      <c r="C81" t="s">
        <v>533</v>
      </c>
      <c r="D81" t="s">
        <v>149</v>
      </c>
      <c r="E81" t="s">
        <v>150</v>
      </c>
      <c r="F81" t="s">
        <v>151</v>
      </c>
      <c r="G81" t="s">
        <v>152</v>
      </c>
      <c r="H81" t="s">
        <v>390</v>
      </c>
      <c r="I81" t="s">
        <v>391</v>
      </c>
      <c r="J81" t="s">
        <v>465</v>
      </c>
      <c r="K81" t="s">
        <v>140</v>
      </c>
      <c r="L81" t="s">
        <v>141</v>
      </c>
      <c r="M81">
        <v>2000</v>
      </c>
      <c r="N81" t="s">
        <v>153</v>
      </c>
      <c r="O81" t="s">
        <v>11</v>
      </c>
      <c r="P81" t="s">
        <v>143</v>
      </c>
      <c r="Q81" t="s">
        <v>3116</v>
      </c>
      <c r="R81" t="s">
        <v>3278</v>
      </c>
      <c r="S81" t="s">
        <v>3440</v>
      </c>
      <c r="T81">
        <v>1</v>
      </c>
      <c r="U81">
        <v>2</v>
      </c>
      <c r="V81">
        <v>1</v>
      </c>
      <c r="W81">
        <v>1</v>
      </c>
      <c r="X81">
        <v>0</v>
      </c>
      <c r="Y81" t="s">
        <v>154</v>
      </c>
      <c r="Z81" t="s">
        <v>534</v>
      </c>
      <c r="AA81" t="s">
        <v>7</v>
      </c>
      <c r="AB81" t="s">
        <v>8</v>
      </c>
      <c r="AC81" s="3">
        <f>T81*'Settings &amp; Rates'!$B$5+U81*'Settings &amp; Rates'!$B$6+V81*'Settings &amp; Rates'!$B$7+W81*'Settings &amp; Rates'!$B$8+X81*'Settings &amp; Rates'!$B$9</f>
        <v>55</v>
      </c>
      <c r="AD81" s="3">
        <f>SUMIF('Attempt Log'!$B$2:$B$101,A81,'Attempt Log'!$K$2:$K$101)</f>
        <v>0</v>
      </c>
      <c r="AE81" s="3">
        <f t="shared" si="1"/>
        <v>-55</v>
      </c>
      <c r="AF81">
        <f>COUNTIF('Attempt Log'!$B$2:$B$101,A81)</f>
        <v>0</v>
      </c>
      <c r="AG81">
        <f>IFERROR(SUMIFS('Attempt Log'!$U$2:$U$101,'Attempt Log'!$B$2:$B$101,A81,'Attempt Log'!$N$2:$N$101,"Yes")/COUNTIFS('Attempt Log'!$B$2:$B$101,A81,'Attempt Log'!$N$2:$N$101,"Yes"),0)</f>
        <v>0</v>
      </c>
    </row>
    <row r="82" spans="1:33">
      <c r="A82" t="s">
        <v>535</v>
      </c>
      <c r="B82" t="s">
        <v>536</v>
      </c>
      <c r="C82" t="s">
        <v>537</v>
      </c>
      <c r="D82" t="s">
        <v>149</v>
      </c>
      <c r="E82" t="s">
        <v>150</v>
      </c>
      <c r="F82" t="s">
        <v>244</v>
      </c>
      <c r="G82" t="s">
        <v>245</v>
      </c>
      <c r="H82" t="s">
        <v>538</v>
      </c>
      <c r="I82" t="s">
        <v>539</v>
      </c>
      <c r="J82" t="s">
        <v>540</v>
      </c>
      <c r="K82" t="s">
        <v>140</v>
      </c>
      <c r="L82" t="s">
        <v>141</v>
      </c>
      <c r="M82">
        <v>900</v>
      </c>
      <c r="N82" t="s">
        <v>247</v>
      </c>
      <c r="O82" t="s">
        <v>11</v>
      </c>
      <c r="P82" t="s">
        <v>143</v>
      </c>
      <c r="Q82" t="s">
        <v>2964</v>
      </c>
      <c r="R82" t="s">
        <v>3126</v>
      </c>
      <c r="S82" t="s">
        <v>3288</v>
      </c>
      <c r="T82">
        <v>1</v>
      </c>
      <c r="U82">
        <v>2</v>
      </c>
      <c r="V82">
        <v>1</v>
      </c>
      <c r="W82">
        <v>1</v>
      </c>
      <c r="X82">
        <v>0</v>
      </c>
      <c r="Y82" t="s">
        <v>154</v>
      </c>
      <c r="Z82" t="s">
        <v>541</v>
      </c>
      <c r="AA82" t="s">
        <v>7</v>
      </c>
      <c r="AB82" t="s">
        <v>8</v>
      </c>
      <c r="AC82" s="3">
        <f>T82*'Settings &amp; Rates'!$B$5+U82*'Settings &amp; Rates'!$B$6+V82*'Settings &amp; Rates'!$B$7+W82*'Settings &amp; Rates'!$B$8+X82*'Settings &amp; Rates'!$B$9</f>
        <v>55</v>
      </c>
      <c r="AD82" s="3">
        <f>SUMIF('Attempt Log'!$B$2:$B$101,A82,'Attempt Log'!$K$2:$K$101)</f>
        <v>0</v>
      </c>
      <c r="AE82" s="3">
        <f t="shared" si="1"/>
        <v>-55</v>
      </c>
      <c r="AF82">
        <f>COUNTIF('Attempt Log'!$B$2:$B$101,A82)</f>
        <v>0</v>
      </c>
      <c r="AG82">
        <f>IFERROR(SUMIFS('Attempt Log'!$U$2:$U$101,'Attempt Log'!$B$2:$B$101,A82,'Attempt Log'!$N$2:$N$101,"Yes")/COUNTIFS('Attempt Log'!$B$2:$B$101,A82,'Attempt Log'!$N$2:$N$101,"Yes"),0)</f>
        <v>0</v>
      </c>
    </row>
    <row r="83" spans="1:33">
      <c r="A83" t="s">
        <v>542</v>
      </c>
      <c r="B83" t="s">
        <v>543</v>
      </c>
      <c r="C83" t="s">
        <v>544</v>
      </c>
      <c r="D83" t="s">
        <v>149</v>
      </c>
      <c r="E83" t="s">
        <v>150</v>
      </c>
      <c r="F83" t="s">
        <v>272</v>
      </c>
      <c r="G83" t="s">
        <v>273</v>
      </c>
      <c r="H83" t="s">
        <v>538</v>
      </c>
      <c r="I83" t="s">
        <v>539</v>
      </c>
      <c r="J83" t="s">
        <v>540</v>
      </c>
      <c r="K83" t="s">
        <v>129</v>
      </c>
      <c r="L83" t="s">
        <v>17</v>
      </c>
      <c r="M83">
        <v>1450</v>
      </c>
      <c r="N83" t="s">
        <v>153</v>
      </c>
      <c r="O83" t="s">
        <v>11</v>
      </c>
      <c r="P83" t="s">
        <v>143</v>
      </c>
      <c r="Q83" t="s">
        <v>2973</v>
      </c>
      <c r="R83" t="s">
        <v>3135</v>
      </c>
      <c r="S83" t="s">
        <v>3297</v>
      </c>
      <c r="T83">
        <v>2</v>
      </c>
      <c r="U83">
        <v>2</v>
      </c>
      <c r="V83">
        <v>1</v>
      </c>
      <c r="W83">
        <v>1</v>
      </c>
      <c r="X83">
        <v>0</v>
      </c>
      <c r="Y83" t="s">
        <v>154</v>
      </c>
      <c r="Z83" t="s">
        <v>545</v>
      </c>
      <c r="AA83" t="s">
        <v>7</v>
      </c>
      <c r="AB83" t="s">
        <v>8</v>
      </c>
      <c r="AC83" s="3">
        <f>T83*'Settings &amp; Rates'!$B$5+U83*'Settings &amp; Rates'!$B$6+V83*'Settings &amp; Rates'!$B$7+W83*'Settings &amp; Rates'!$B$8+X83*'Settings &amp; Rates'!$B$9</f>
        <v>55</v>
      </c>
      <c r="AD83" s="3">
        <f>SUMIF('Attempt Log'!$B$2:$B$101,A83,'Attempt Log'!$K$2:$K$101)</f>
        <v>0</v>
      </c>
      <c r="AE83" s="3">
        <f t="shared" si="1"/>
        <v>-55</v>
      </c>
      <c r="AF83">
        <f>COUNTIF('Attempt Log'!$B$2:$B$101,A83)</f>
        <v>0</v>
      </c>
      <c r="AG83">
        <f>IFERROR(SUMIFS('Attempt Log'!$U$2:$U$101,'Attempt Log'!$B$2:$B$101,A83,'Attempt Log'!$N$2:$N$101,"Yes")/COUNTIFS('Attempt Log'!$B$2:$B$101,A83,'Attempt Log'!$N$2:$N$101,"Yes"),0)</f>
        <v>0</v>
      </c>
    </row>
    <row r="84" spans="1:33">
      <c r="A84" t="s">
        <v>546</v>
      </c>
      <c r="B84" t="s">
        <v>547</v>
      </c>
      <c r="C84" t="s">
        <v>548</v>
      </c>
      <c r="D84" t="s">
        <v>149</v>
      </c>
      <c r="E84" t="s">
        <v>150</v>
      </c>
      <c r="F84" t="s">
        <v>272</v>
      </c>
      <c r="G84" t="s">
        <v>279</v>
      </c>
      <c r="H84" t="s">
        <v>538</v>
      </c>
      <c r="I84" t="s">
        <v>539</v>
      </c>
      <c r="J84" t="s">
        <v>540</v>
      </c>
      <c r="K84" t="s">
        <v>129</v>
      </c>
      <c r="L84" t="s">
        <v>17</v>
      </c>
      <c r="M84">
        <v>1200</v>
      </c>
      <c r="N84" t="s">
        <v>153</v>
      </c>
      <c r="O84" t="s">
        <v>11</v>
      </c>
      <c r="P84" t="s">
        <v>143</v>
      </c>
      <c r="Q84" t="s">
        <v>2982</v>
      </c>
      <c r="R84" t="s">
        <v>3144</v>
      </c>
      <c r="S84" t="s">
        <v>3306</v>
      </c>
      <c r="T84">
        <v>2</v>
      </c>
      <c r="U84">
        <v>2</v>
      </c>
      <c r="V84">
        <v>1</v>
      </c>
      <c r="W84">
        <v>1</v>
      </c>
      <c r="X84">
        <v>0</v>
      </c>
      <c r="Y84" t="s">
        <v>154</v>
      </c>
      <c r="Z84" t="s">
        <v>549</v>
      </c>
      <c r="AA84" t="s">
        <v>7</v>
      </c>
      <c r="AB84" t="s">
        <v>8</v>
      </c>
      <c r="AC84" s="3">
        <f>T84*'Settings &amp; Rates'!$B$5+U84*'Settings &amp; Rates'!$B$6+V84*'Settings &amp; Rates'!$B$7+W84*'Settings &amp; Rates'!$B$8+X84*'Settings &amp; Rates'!$B$9</f>
        <v>55</v>
      </c>
      <c r="AD84" s="3">
        <f>SUMIF('Attempt Log'!$B$2:$B$101,A84,'Attempt Log'!$K$2:$K$101)</f>
        <v>0</v>
      </c>
      <c r="AE84" s="3">
        <f t="shared" si="1"/>
        <v>-55</v>
      </c>
      <c r="AF84">
        <f>COUNTIF('Attempt Log'!$B$2:$B$101,A84)</f>
        <v>0</v>
      </c>
      <c r="AG84">
        <f>IFERROR(SUMIFS('Attempt Log'!$U$2:$U$101,'Attempt Log'!$B$2:$B$101,A84,'Attempt Log'!$N$2:$N$101,"Yes")/COUNTIFS('Attempt Log'!$B$2:$B$101,A84,'Attempt Log'!$N$2:$N$101,"Yes"),0)</f>
        <v>0</v>
      </c>
    </row>
    <row r="85" spans="1:33">
      <c r="A85" t="s">
        <v>550</v>
      </c>
      <c r="B85" t="s">
        <v>551</v>
      </c>
      <c r="C85" t="s">
        <v>552</v>
      </c>
      <c r="D85" t="s">
        <v>149</v>
      </c>
      <c r="E85" t="s">
        <v>150</v>
      </c>
      <c r="F85" t="s">
        <v>272</v>
      </c>
      <c r="G85" t="s">
        <v>284</v>
      </c>
      <c r="H85" t="s">
        <v>538</v>
      </c>
      <c r="I85" t="s">
        <v>539</v>
      </c>
      <c r="J85" t="s">
        <v>540</v>
      </c>
      <c r="K85" t="s">
        <v>129</v>
      </c>
      <c r="L85" t="s">
        <v>17</v>
      </c>
      <c r="M85">
        <v>1500</v>
      </c>
      <c r="N85" t="s">
        <v>153</v>
      </c>
      <c r="O85" t="s">
        <v>11</v>
      </c>
      <c r="P85" t="s">
        <v>143</v>
      </c>
      <c r="Q85" t="s">
        <v>2991</v>
      </c>
      <c r="R85" t="s">
        <v>3153</v>
      </c>
      <c r="S85" t="s">
        <v>3315</v>
      </c>
      <c r="T85">
        <v>2</v>
      </c>
      <c r="U85">
        <v>2</v>
      </c>
      <c r="V85">
        <v>1</v>
      </c>
      <c r="W85">
        <v>1</v>
      </c>
      <c r="X85">
        <v>0</v>
      </c>
      <c r="Y85" t="s">
        <v>154</v>
      </c>
      <c r="Z85" t="s">
        <v>553</v>
      </c>
      <c r="AA85" t="s">
        <v>7</v>
      </c>
      <c r="AB85" t="s">
        <v>8</v>
      </c>
      <c r="AC85" s="3">
        <f>T85*'Settings &amp; Rates'!$B$5+U85*'Settings &amp; Rates'!$B$6+V85*'Settings &amp; Rates'!$B$7+W85*'Settings &amp; Rates'!$B$8+X85*'Settings &amp; Rates'!$B$9</f>
        <v>55</v>
      </c>
      <c r="AD85" s="3">
        <f>SUMIF('Attempt Log'!$B$2:$B$101,A85,'Attempt Log'!$K$2:$K$101)</f>
        <v>0</v>
      </c>
      <c r="AE85" s="3">
        <f t="shared" si="1"/>
        <v>-55</v>
      </c>
      <c r="AF85">
        <f>COUNTIF('Attempt Log'!$B$2:$B$101,A85)</f>
        <v>0</v>
      </c>
      <c r="AG85">
        <f>IFERROR(SUMIFS('Attempt Log'!$U$2:$U$101,'Attempt Log'!$B$2:$B$101,A85,'Attempt Log'!$N$2:$N$101,"Yes")/COUNTIFS('Attempt Log'!$B$2:$B$101,A85,'Attempt Log'!$N$2:$N$101,"Yes"),0)</f>
        <v>0</v>
      </c>
    </row>
    <row r="86" spans="1:33">
      <c r="A86" t="s">
        <v>554</v>
      </c>
      <c r="B86" t="s">
        <v>555</v>
      </c>
      <c r="C86" t="s">
        <v>556</v>
      </c>
      <c r="D86" t="s">
        <v>149</v>
      </c>
      <c r="E86" t="s">
        <v>150</v>
      </c>
      <c r="F86" t="s">
        <v>272</v>
      </c>
      <c r="G86" t="s">
        <v>289</v>
      </c>
      <c r="H86" t="s">
        <v>538</v>
      </c>
      <c r="I86" t="s">
        <v>539</v>
      </c>
      <c r="J86" t="s">
        <v>540</v>
      </c>
      <c r="K86" t="s">
        <v>129</v>
      </c>
      <c r="L86" t="s">
        <v>17</v>
      </c>
      <c r="M86">
        <v>3350</v>
      </c>
      <c r="N86" t="s">
        <v>153</v>
      </c>
      <c r="O86" t="s">
        <v>11</v>
      </c>
      <c r="P86" t="s">
        <v>143</v>
      </c>
      <c r="Q86" t="s">
        <v>3000</v>
      </c>
      <c r="R86" t="s">
        <v>3162</v>
      </c>
      <c r="S86" t="s">
        <v>3324</v>
      </c>
      <c r="T86">
        <v>2</v>
      </c>
      <c r="U86">
        <v>2</v>
      </c>
      <c r="V86">
        <v>1</v>
      </c>
      <c r="W86">
        <v>1</v>
      </c>
      <c r="X86">
        <v>0</v>
      </c>
      <c r="Y86" t="s">
        <v>154</v>
      </c>
      <c r="Z86" t="s">
        <v>557</v>
      </c>
      <c r="AA86" t="s">
        <v>7</v>
      </c>
      <c r="AB86" t="s">
        <v>8</v>
      </c>
      <c r="AC86" s="3">
        <f>T86*'Settings &amp; Rates'!$B$5+U86*'Settings &amp; Rates'!$B$6+V86*'Settings &amp; Rates'!$B$7+W86*'Settings &amp; Rates'!$B$8+X86*'Settings &amp; Rates'!$B$9</f>
        <v>55</v>
      </c>
      <c r="AD86" s="3">
        <f>SUMIF('Attempt Log'!$B$2:$B$101,A86,'Attempt Log'!$K$2:$K$101)</f>
        <v>0</v>
      </c>
      <c r="AE86" s="3">
        <f t="shared" si="1"/>
        <v>-55</v>
      </c>
      <c r="AF86">
        <f>COUNTIF('Attempt Log'!$B$2:$B$101,A86)</f>
        <v>0</v>
      </c>
      <c r="AG86">
        <f>IFERROR(SUMIFS('Attempt Log'!$U$2:$U$101,'Attempt Log'!$B$2:$B$101,A86,'Attempt Log'!$N$2:$N$101,"Yes")/COUNTIFS('Attempt Log'!$B$2:$B$101,A86,'Attempt Log'!$N$2:$N$101,"Yes"),0)</f>
        <v>0</v>
      </c>
    </row>
    <row r="87" spans="1:33">
      <c r="A87" t="s">
        <v>558</v>
      </c>
      <c r="B87" t="s">
        <v>559</v>
      </c>
      <c r="C87" t="s">
        <v>560</v>
      </c>
      <c r="D87" t="s">
        <v>149</v>
      </c>
      <c r="E87" t="s">
        <v>150</v>
      </c>
      <c r="F87" t="s">
        <v>294</v>
      </c>
      <c r="G87" t="s">
        <v>295</v>
      </c>
      <c r="H87" t="s">
        <v>538</v>
      </c>
      <c r="I87" t="s">
        <v>539</v>
      </c>
      <c r="J87" t="s">
        <v>540</v>
      </c>
      <c r="K87" t="s">
        <v>129</v>
      </c>
      <c r="L87" t="s">
        <v>17</v>
      </c>
      <c r="M87">
        <v>1750</v>
      </c>
      <c r="N87" t="s">
        <v>153</v>
      </c>
      <c r="O87" t="s">
        <v>11</v>
      </c>
      <c r="P87" t="s">
        <v>143</v>
      </c>
      <c r="Q87" t="s">
        <v>3009</v>
      </c>
      <c r="R87" t="s">
        <v>3171</v>
      </c>
      <c r="S87" t="s">
        <v>3333</v>
      </c>
      <c r="T87">
        <v>2</v>
      </c>
      <c r="U87">
        <v>2</v>
      </c>
      <c r="V87">
        <v>1</v>
      </c>
      <c r="W87">
        <v>1</v>
      </c>
      <c r="X87">
        <v>0</v>
      </c>
      <c r="Y87" t="s">
        <v>154</v>
      </c>
      <c r="Z87" t="s">
        <v>561</v>
      </c>
      <c r="AA87" t="s">
        <v>7</v>
      </c>
      <c r="AB87" t="s">
        <v>8</v>
      </c>
      <c r="AC87" s="3">
        <f>T87*'Settings &amp; Rates'!$B$5+U87*'Settings &amp; Rates'!$B$6+V87*'Settings &amp; Rates'!$B$7+W87*'Settings &amp; Rates'!$B$8+X87*'Settings &amp; Rates'!$B$9</f>
        <v>55</v>
      </c>
      <c r="AD87" s="3">
        <f>SUMIF('Attempt Log'!$B$2:$B$101,A87,'Attempt Log'!$K$2:$K$101)</f>
        <v>0</v>
      </c>
      <c r="AE87" s="3">
        <f t="shared" si="1"/>
        <v>-55</v>
      </c>
      <c r="AF87">
        <f>COUNTIF('Attempt Log'!$B$2:$B$101,A87)</f>
        <v>0</v>
      </c>
      <c r="AG87">
        <f>IFERROR(SUMIFS('Attempt Log'!$U$2:$U$101,'Attempt Log'!$B$2:$B$101,A87,'Attempt Log'!$N$2:$N$101,"Yes")/COUNTIFS('Attempt Log'!$B$2:$B$101,A87,'Attempt Log'!$N$2:$N$101,"Yes"),0)</f>
        <v>0</v>
      </c>
    </row>
    <row r="88" spans="1:33">
      <c r="A88" t="s">
        <v>562</v>
      </c>
      <c r="B88" t="s">
        <v>563</v>
      </c>
      <c r="C88" t="s">
        <v>564</v>
      </c>
      <c r="D88" t="s">
        <v>149</v>
      </c>
      <c r="E88" t="s">
        <v>150</v>
      </c>
      <c r="F88" t="s">
        <v>294</v>
      </c>
      <c r="G88" t="s">
        <v>300</v>
      </c>
      <c r="H88" t="s">
        <v>538</v>
      </c>
      <c r="I88" t="s">
        <v>539</v>
      </c>
      <c r="J88" t="s">
        <v>540</v>
      </c>
      <c r="K88" t="s">
        <v>129</v>
      </c>
      <c r="L88" t="s">
        <v>17</v>
      </c>
      <c r="M88">
        <v>3750</v>
      </c>
      <c r="N88" t="s">
        <v>153</v>
      </c>
      <c r="O88" t="s">
        <v>11</v>
      </c>
      <c r="P88" t="s">
        <v>143</v>
      </c>
      <c r="Q88" t="s">
        <v>3018</v>
      </c>
      <c r="R88" t="s">
        <v>3180</v>
      </c>
      <c r="S88" t="s">
        <v>3342</v>
      </c>
      <c r="T88">
        <v>2</v>
      </c>
      <c r="U88">
        <v>2</v>
      </c>
      <c r="V88">
        <v>1</v>
      </c>
      <c r="W88">
        <v>1</v>
      </c>
      <c r="X88">
        <v>0</v>
      </c>
      <c r="Y88" t="s">
        <v>154</v>
      </c>
      <c r="Z88" t="s">
        <v>565</v>
      </c>
      <c r="AA88" t="s">
        <v>7</v>
      </c>
      <c r="AB88" t="s">
        <v>8</v>
      </c>
      <c r="AC88" s="3">
        <f>T88*'Settings &amp; Rates'!$B$5+U88*'Settings &amp; Rates'!$B$6+V88*'Settings &amp; Rates'!$B$7+W88*'Settings &amp; Rates'!$B$8+X88*'Settings &amp; Rates'!$B$9</f>
        <v>55</v>
      </c>
      <c r="AD88" s="3">
        <f>SUMIF('Attempt Log'!$B$2:$B$101,A88,'Attempt Log'!$K$2:$K$101)</f>
        <v>0</v>
      </c>
      <c r="AE88" s="3">
        <f t="shared" si="1"/>
        <v>-55</v>
      </c>
      <c r="AF88">
        <f>COUNTIF('Attempt Log'!$B$2:$B$101,A88)</f>
        <v>0</v>
      </c>
      <c r="AG88">
        <f>IFERROR(SUMIFS('Attempt Log'!$U$2:$U$101,'Attempt Log'!$B$2:$B$101,A88,'Attempt Log'!$N$2:$N$101,"Yes")/COUNTIFS('Attempt Log'!$B$2:$B$101,A88,'Attempt Log'!$N$2:$N$101,"Yes"),0)</f>
        <v>0</v>
      </c>
    </row>
    <row r="89" spans="1:33">
      <c r="A89" t="s">
        <v>566</v>
      </c>
      <c r="B89" t="s">
        <v>567</v>
      </c>
      <c r="C89" t="s">
        <v>568</v>
      </c>
      <c r="D89" t="s">
        <v>149</v>
      </c>
      <c r="E89" t="s">
        <v>150</v>
      </c>
      <c r="F89" t="s">
        <v>294</v>
      </c>
      <c r="G89" t="s">
        <v>305</v>
      </c>
      <c r="H89" t="s">
        <v>538</v>
      </c>
      <c r="I89" t="s">
        <v>539</v>
      </c>
      <c r="J89" t="s">
        <v>540</v>
      </c>
      <c r="K89" t="s">
        <v>129</v>
      </c>
      <c r="L89" t="s">
        <v>17</v>
      </c>
      <c r="M89">
        <v>1550</v>
      </c>
      <c r="N89" t="s">
        <v>153</v>
      </c>
      <c r="O89" t="s">
        <v>11</v>
      </c>
      <c r="P89" t="s">
        <v>143</v>
      </c>
      <c r="Q89" t="s">
        <v>3027</v>
      </c>
      <c r="R89" t="s">
        <v>3189</v>
      </c>
      <c r="S89" t="s">
        <v>3351</v>
      </c>
      <c r="T89">
        <v>2</v>
      </c>
      <c r="U89">
        <v>2</v>
      </c>
      <c r="V89">
        <v>1</v>
      </c>
      <c r="W89">
        <v>1</v>
      </c>
      <c r="X89">
        <v>0</v>
      </c>
      <c r="Y89" t="s">
        <v>154</v>
      </c>
      <c r="Z89" t="s">
        <v>569</v>
      </c>
      <c r="AA89" t="s">
        <v>7</v>
      </c>
      <c r="AB89" t="s">
        <v>8</v>
      </c>
      <c r="AC89" s="3">
        <f>T89*'Settings &amp; Rates'!$B$5+U89*'Settings &amp; Rates'!$B$6+V89*'Settings &amp; Rates'!$B$7+W89*'Settings &amp; Rates'!$B$8+X89*'Settings &amp; Rates'!$B$9</f>
        <v>55</v>
      </c>
      <c r="AD89" s="3">
        <f>SUMIF('Attempt Log'!$B$2:$B$101,A89,'Attempt Log'!$K$2:$K$101)</f>
        <v>0</v>
      </c>
      <c r="AE89" s="3">
        <f t="shared" si="1"/>
        <v>-55</v>
      </c>
      <c r="AF89">
        <f>COUNTIF('Attempt Log'!$B$2:$B$101,A89)</f>
        <v>0</v>
      </c>
      <c r="AG89">
        <f>IFERROR(SUMIFS('Attempt Log'!$U$2:$U$101,'Attempt Log'!$B$2:$B$101,A89,'Attempt Log'!$N$2:$N$101,"Yes")/COUNTIFS('Attempt Log'!$B$2:$B$101,A89,'Attempt Log'!$N$2:$N$101,"Yes"),0)</f>
        <v>0</v>
      </c>
    </row>
    <row r="90" spans="1:33">
      <c r="A90" t="s">
        <v>570</v>
      </c>
      <c r="B90" t="s">
        <v>571</v>
      </c>
      <c r="C90" t="s">
        <v>572</v>
      </c>
      <c r="D90" t="s">
        <v>149</v>
      </c>
      <c r="E90" t="s">
        <v>150</v>
      </c>
      <c r="F90" t="s">
        <v>294</v>
      </c>
      <c r="G90" t="s">
        <v>310</v>
      </c>
      <c r="H90" t="s">
        <v>538</v>
      </c>
      <c r="I90" t="s">
        <v>539</v>
      </c>
      <c r="J90" t="s">
        <v>540</v>
      </c>
      <c r="K90" t="s">
        <v>129</v>
      </c>
      <c r="L90" t="s">
        <v>17</v>
      </c>
      <c r="M90">
        <v>2200</v>
      </c>
      <c r="N90" t="s">
        <v>153</v>
      </c>
      <c r="O90" t="s">
        <v>11</v>
      </c>
      <c r="P90" t="s">
        <v>143</v>
      </c>
      <c r="Q90" t="s">
        <v>3036</v>
      </c>
      <c r="R90" t="s">
        <v>3198</v>
      </c>
      <c r="S90" t="s">
        <v>3360</v>
      </c>
      <c r="T90">
        <v>2</v>
      </c>
      <c r="U90">
        <v>2</v>
      </c>
      <c r="V90">
        <v>1</v>
      </c>
      <c r="W90">
        <v>1</v>
      </c>
      <c r="X90">
        <v>0</v>
      </c>
      <c r="Y90" t="s">
        <v>154</v>
      </c>
      <c r="Z90" t="s">
        <v>573</v>
      </c>
      <c r="AA90" t="s">
        <v>7</v>
      </c>
      <c r="AB90" t="s">
        <v>8</v>
      </c>
      <c r="AC90" s="3">
        <f>T90*'Settings &amp; Rates'!$B$5+U90*'Settings &amp; Rates'!$B$6+V90*'Settings &amp; Rates'!$B$7+W90*'Settings &amp; Rates'!$B$8+X90*'Settings &amp; Rates'!$B$9</f>
        <v>55</v>
      </c>
      <c r="AD90" s="3">
        <f>SUMIF('Attempt Log'!$B$2:$B$101,A90,'Attempt Log'!$K$2:$K$101)</f>
        <v>0</v>
      </c>
      <c r="AE90" s="3">
        <f t="shared" si="1"/>
        <v>-55</v>
      </c>
      <c r="AF90">
        <f>COUNTIF('Attempt Log'!$B$2:$B$101,A90)</f>
        <v>0</v>
      </c>
      <c r="AG90">
        <f>IFERROR(SUMIFS('Attempt Log'!$U$2:$U$101,'Attempt Log'!$B$2:$B$101,A90,'Attempt Log'!$N$2:$N$101,"Yes")/COUNTIFS('Attempt Log'!$B$2:$B$101,A90,'Attempt Log'!$N$2:$N$101,"Yes"),0)</f>
        <v>0</v>
      </c>
    </row>
    <row r="91" spans="1:33">
      <c r="A91" t="s">
        <v>574</v>
      </c>
      <c r="B91" t="s">
        <v>575</v>
      </c>
      <c r="C91" t="s">
        <v>576</v>
      </c>
      <c r="D91" t="s">
        <v>149</v>
      </c>
      <c r="E91" t="s">
        <v>150</v>
      </c>
      <c r="F91" t="s">
        <v>315</v>
      </c>
      <c r="G91" t="s">
        <v>316</v>
      </c>
      <c r="H91" t="s">
        <v>538</v>
      </c>
      <c r="I91" t="s">
        <v>539</v>
      </c>
      <c r="J91" t="s">
        <v>540</v>
      </c>
      <c r="K91" t="s">
        <v>129</v>
      </c>
      <c r="L91" t="s">
        <v>17</v>
      </c>
      <c r="M91">
        <v>1450</v>
      </c>
      <c r="N91" t="s">
        <v>153</v>
      </c>
      <c r="O91" t="s">
        <v>11</v>
      </c>
      <c r="P91" t="s">
        <v>143</v>
      </c>
      <c r="Q91" t="s">
        <v>3045</v>
      </c>
      <c r="R91" t="s">
        <v>3207</v>
      </c>
      <c r="S91" t="s">
        <v>3369</v>
      </c>
      <c r="T91">
        <v>2</v>
      </c>
      <c r="U91">
        <v>2</v>
      </c>
      <c r="V91">
        <v>1</v>
      </c>
      <c r="W91">
        <v>1</v>
      </c>
      <c r="X91">
        <v>0</v>
      </c>
      <c r="Y91" t="s">
        <v>154</v>
      </c>
      <c r="Z91" t="s">
        <v>577</v>
      </c>
      <c r="AA91" t="s">
        <v>7</v>
      </c>
      <c r="AB91" t="s">
        <v>8</v>
      </c>
      <c r="AC91" s="3">
        <f>T91*'Settings &amp; Rates'!$B$5+U91*'Settings &amp; Rates'!$B$6+V91*'Settings &amp; Rates'!$B$7+W91*'Settings &amp; Rates'!$B$8+X91*'Settings &amp; Rates'!$B$9</f>
        <v>55</v>
      </c>
      <c r="AD91" s="3">
        <f>SUMIF('Attempt Log'!$B$2:$B$101,A91,'Attempt Log'!$K$2:$K$101)</f>
        <v>0</v>
      </c>
      <c r="AE91" s="3">
        <f t="shared" si="1"/>
        <v>-55</v>
      </c>
      <c r="AF91">
        <f>COUNTIF('Attempt Log'!$B$2:$B$101,A91)</f>
        <v>0</v>
      </c>
      <c r="AG91">
        <f>IFERROR(SUMIFS('Attempt Log'!$U$2:$U$101,'Attempt Log'!$B$2:$B$101,A91,'Attempt Log'!$N$2:$N$101,"Yes")/COUNTIFS('Attempt Log'!$B$2:$B$101,A91,'Attempt Log'!$N$2:$N$101,"Yes"),0)</f>
        <v>0</v>
      </c>
    </row>
    <row r="92" spans="1:33">
      <c r="A92" t="s">
        <v>578</v>
      </c>
      <c r="B92" t="s">
        <v>579</v>
      </c>
      <c r="C92" t="s">
        <v>580</v>
      </c>
      <c r="D92" t="s">
        <v>149</v>
      </c>
      <c r="E92" t="s">
        <v>150</v>
      </c>
      <c r="F92" t="s">
        <v>315</v>
      </c>
      <c r="G92" t="s">
        <v>321</v>
      </c>
      <c r="H92" t="s">
        <v>538</v>
      </c>
      <c r="I92" t="s">
        <v>539</v>
      </c>
      <c r="J92" t="s">
        <v>540</v>
      </c>
      <c r="K92" t="s">
        <v>129</v>
      </c>
      <c r="L92" t="s">
        <v>17</v>
      </c>
      <c r="M92">
        <v>2800</v>
      </c>
      <c r="N92" t="s">
        <v>153</v>
      </c>
      <c r="O92" t="s">
        <v>11</v>
      </c>
      <c r="P92" t="s">
        <v>143</v>
      </c>
      <c r="Q92" t="s">
        <v>3054</v>
      </c>
      <c r="R92" t="s">
        <v>3216</v>
      </c>
      <c r="S92" t="s">
        <v>3378</v>
      </c>
      <c r="T92">
        <v>2</v>
      </c>
      <c r="U92">
        <v>2</v>
      </c>
      <c r="V92">
        <v>1</v>
      </c>
      <c r="W92">
        <v>1</v>
      </c>
      <c r="X92">
        <v>0</v>
      </c>
      <c r="Y92" t="s">
        <v>154</v>
      </c>
      <c r="Z92" t="s">
        <v>581</v>
      </c>
      <c r="AA92" t="s">
        <v>7</v>
      </c>
      <c r="AB92" t="s">
        <v>8</v>
      </c>
      <c r="AC92" s="3">
        <f>T92*'Settings &amp; Rates'!$B$5+U92*'Settings &amp; Rates'!$B$6+V92*'Settings &amp; Rates'!$B$7+W92*'Settings &amp; Rates'!$B$8+X92*'Settings &amp; Rates'!$B$9</f>
        <v>55</v>
      </c>
      <c r="AD92" s="3">
        <f>SUMIF('Attempt Log'!$B$2:$B$101,A92,'Attempt Log'!$K$2:$K$101)</f>
        <v>0</v>
      </c>
      <c r="AE92" s="3">
        <f t="shared" si="1"/>
        <v>-55</v>
      </c>
      <c r="AF92">
        <f>COUNTIF('Attempt Log'!$B$2:$B$101,A92)</f>
        <v>0</v>
      </c>
      <c r="AG92">
        <f>IFERROR(SUMIFS('Attempt Log'!$U$2:$U$101,'Attempt Log'!$B$2:$B$101,A92,'Attempt Log'!$N$2:$N$101,"Yes")/COUNTIFS('Attempt Log'!$B$2:$B$101,A92,'Attempt Log'!$N$2:$N$101,"Yes"),0)</f>
        <v>0</v>
      </c>
    </row>
    <row r="93" spans="1:33">
      <c r="A93" t="s">
        <v>582</v>
      </c>
      <c r="B93" t="s">
        <v>583</v>
      </c>
      <c r="C93" t="s">
        <v>584</v>
      </c>
      <c r="D93" t="s">
        <v>149</v>
      </c>
      <c r="E93" t="s">
        <v>150</v>
      </c>
      <c r="F93" t="s">
        <v>315</v>
      </c>
      <c r="G93" t="s">
        <v>326</v>
      </c>
      <c r="H93" t="s">
        <v>538</v>
      </c>
      <c r="I93" t="s">
        <v>539</v>
      </c>
      <c r="J93" t="s">
        <v>540</v>
      </c>
      <c r="K93" t="s">
        <v>129</v>
      </c>
      <c r="L93" t="s">
        <v>17</v>
      </c>
      <c r="M93">
        <v>1200</v>
      </c>
      <c r="N93" t="s">
        <v>153</v>
      </c>
      <c r="O93" t="s">
        <v>11</v>
      </c>
      <c r="P93" t="s">
        <v>143</v>
      </c>
      <c r="Q93" t="s">
        <v>3063</v>
      </c>
      <c r="R93" t="s">
        <v>3225</v>
      </c>
      <c r="S93" t="s">
        <v>3387</v>
      </c>
      <c r="T93">
        <v>2</v>
      </c>
      <c r="U93">
        <v>2</v>
      </c>
      <c r="V93">
        <v>1</v>
      </c>
      <c r="W93">
        <v>1</v>
      </c>
      <c r="X93">
        <v>0</v>
      </c>
      <c r="Y93" t="s">
        <v>154</v>
      </c>
      <c r="Z93" t="s">
        <v>585</v>
      </c>
      <c r="AA93" t="s">
        <v>7</v>
      </c>
      <c r="AB93" t="s">
        <v>8</v>
      </c>
      <c r="AC93" s="3">
        <f>T93*'Settings &amp; Rates'!$B$5+U93*'Settings &amp; Rates'!$B$6+V93*'Settings &amp; Rates'!$B$7+W93*'Settings &amp; Rates'!$B$8+X93*'Settings &amp; Rates'!$B$9</f>
        <v>55</v>
      </c>
      <c r="AD93" s="3">
        <f>SUMIF('Attempt Log'!$B$2:$B$101,A93,'Attempt Log'!$K$2:$K$101)</f>
        <v>0</v>
      </c>
      <c r="AE93" s="3">
        <f t="shared" si="1"/>
        <v>-55</v>
      </c>
      <c r="AF93">
        <f>COUNTIF('Attempt Log'!$B$2:$B$101,A93)</f>
        <v>0</v>
      </c>
      <c r="AG93">
        <f>IFERROR(SUMIFS('Attempt Log'!$U$2:$U$101,'Attempt Log'!$B$2:$B$101,A93,'Attempt Log'!$N$2:$N$101,"Yes")/COUNTIFS('Attempt Log'!$B$2:$B$101,A93,'Attempt Log'!$N$2:$N$101,"Yes"),0)</f>
        <v>0</v>
      </c>
    </row>
    <row r="94" spans="1:33">
      <c r="A94" t="s">
        <v>586</v>
      </c>
      <c r="B94" t="s">
        <v>587</v>
      </c>
      <c r="C94" t="s">
        <v>588</v>
      </c>
      <c r="D94" t="s">
        <v>149</v>
      </c>
      <c r="E94" t="s">
        <v>150</v>
      </c>
      <c r="F94" t="s">
        <v>315</v>
      </c>
      <c r="G94" t="s">
        <v>331</v>
      </c>
      <c r="H94" t="s">
        <v>538</v>
      </c>
      <c r="I94" t="s">
        <v>539</v>
      </c>
      <c r="J94" t="s">
        <v>540</v>
      </c>
      <c r="K94" t="s">
        <v>129</v>
      </c>
      <c r="L94" t="s">
        <v>17</v>
      </c>
      <c r="M94">
        <v>1450</v>
      </c>
      <c r="N94" t="s">
        <v>153</v>
      </c>
      <c r="O94" t="s">
        <v>11</v>
      </c>
      <c r="P94" t="s">
        <v>143</v>
      </c>
      <c r="Q94" t="s">
        <v>3072</v>
      </c>
      <c r="R94" t="s">
        <v>3234</v>
      </c>
      <c r="S94" t="s">
        <v>3396</v>
      </c>
      <c r="T94">
        <v>2</v>
      </c>
      <c r="U94">
        <v>2</v>
      </c>
      <c r="V94">
        <v>1</v>
      </c>
      <c r="W94">
        <v>1</v>
      </c>
      <c r="X94">
        <v>0</v>
      </c>
      <c r="Y94" t="s">
        <v>154</v>
      </c>
      <c r="Z94" t="s">
        <v>589</v>
      </c>
      <c r="AA94" t="s">
        <v>7</v>
      </c>
      <c r="AB94" t="s">
        <v>8</v>
      </c>
      <c r="AC94" s="3">
        <f>T94*'Settings &amp; Rates'!$B$5+U94*'Settings &amp; Rates'!$B$6+V94*'Settings &amp; Rates'!$B$7+W94*'Settings &amp; Rates'!$B$8+X94*'Settings &amp; Rates'!$B$9</f>
        <v>55</v>
      </c>
      <c r="AD94" s="3">
        <f>SUMIF('Attempt Log'!$B$2:$B$101,A94,'Attempt Log'!$K$2:$K$101)</f>
        <v>0</v>
      </c>
      <c r="AE94" s="3">
        <f t="shared" si="1"/>
        <v>-55</v>
      </c>
      <c r="AF94">
        <f>COUNTIF('Attempt Log'!$B$2:$B$101,A94)</f>
        <v>0</v>
      </c>
      <c r="AG94">
        <f>IFERROR(SUMIFS('Attempt Log'!$U$2:$U$101,'Attempt Log'!$B$2:$B$101,A94,'Attempt Log'!$N$2:$N$101,"Yes")/COUNTIFS('Attempt Log'!$B$2:$B$101,A94,'Attempt Log'!$N$2:$N$101,"Yes"),0)</f>
        <v>0</v>
      </c>
    </row>
    <row r="95" spans="1:33">
      <c r="A95" t="s">
        <v>590</v>
      </c>
      <c r="B95" t="s">
        <v>591</v>
      </c>
      <c r="C95" t="s">
        <v>592</v>
      </c>
      <c r="D95" t="s">
        <v>149</v>
      </c>
      <c r="E95" t="s">
        <v>150</v>
      </c>
      <c r="F95" t="s">
        <v>151</v>
      </c>
      <c r="G95" t="s">
        <v>252</v>
      </c>
      <c r="H95" t="s">
        <v>538</v>
      </c>
      <c r="I95" t="s">
        <v>539</v>
      </c>
      <c r="J95" t="s">
        <v>540</v>
      </c>
      <c r="K95" t="s">
        <v>140</v>
      </c>
      <c r="L95" t="s">
        <v>141</v>
      </c>
      <c r="M95">
        <v>1700</v>
      </c>
      <c r="N95" t="s">
        <v>153</v>
      </c>
      <c r="O95" t="s">
        <v>11</v>
      </c>
      <c r="P95" t="s">
        <v>143</v>
      </c>
      <c r="Q95" t="s">
        <v>3081</v>
      </c>
      <c r="R95" t="s">
        <v>3243</v>
      </c>
      <c r="S95" t="s">
        <v>3405</v>
      </c>
      <c r="T95">
        <v>1</v>
      </c>
      <c r="U95">
        <v>2</v>
      </c>
      <c r="V95">
        <v>1</v>
      </c>
      <c r="W95">
        <v>1</v>
      </c>
      <c r="X95">
        <v>0</v>
      </c>
      <c r="Y95" t="s">
        <v>154</v>
      </c>
      <c r="Z95" t="s">
        <v>593</v>
      </c>
      <c r="AA95" t="s">
        <v>7</v>
      </c>
      <c r="AB95" t="s">
        <v>8</v>
      </c>
      <c r="AC95" s="3">
        <f>T95*'Settings &amp; Rates'!$B$5+U95*'Settings &amp; Rates'!$B$6+V95*'Settings &amp; Rates'!$B$7+W95*'Settings &amp; Rates'!$B$8+X95*'Settings &amp; Rates'!$B$9</f>
        <v>55</v>
      </c>
      <c r="AD95" s="3">
        <f>SUMIF('Attempt Log'!$B$2:$B$101,A95,'Attempt Log'!$K$2:$K$101)</f>
        <v>0</v>
      </c>
      <c r="AE95" s="3">
        <f t="shared" si="1"/>
        <v>-55</v>
      </c>
      <c r="AF95">
        <f>COUNTIF('Attempt Log'!$B$2:$B$101,A95)</f>
        <v>0</v>
      </c>
      <c r="AG95">
        <f>IFERROR(SUMIFS('Attempt Log'!$U$2:$U$101,'Attempt Log'!$B$2:$B$101,A95,'Attempt Log'!$N$2:$N$101,"Yes")/COUNTIFS('Attempt Log'!$B$2:$B$101,A95,'Attempt Log'!$N$2:$N$101,"Yes"),0)</f>
        <v>0</v>
      </c>
    </row>
    <row r="96" spans="1:33">
      <c r="A96" t="s">
        <v>594</v>
      </c>
      <c r="B96" t="s">
        <v>595</v>
      </c>
      <c r="C96" t="s">
        <v>596</v>
      </c>
      <c r="D96" t="s">
        <v>149</v>
      </c>
      <c r="E96" t="s">
        <v>150</v>
      </c>
      <c r="F96" t="s">
        <v>244</v>
      </c>
      <c r="G96" t="s">
        <v>257</v>
      </c>
      <c r="H96" t="s">
        <v>538</v>
      </c>
      <c r="I96" t="s">
        <v>539</v>
      </c>
      <c r="J96" t="s">
        <v>540</v>
      </c>
      <c r="K96" t="s">
        <v>140</v>
      </c>
      <c r="L96" t="s">
        <v>141</v>
      </c>
      <c r="M96">
        <v>550</v>
      </c>
      <c r="N96" t="s">
        <v>247</v>
      </c>
      <c r="O96" t="s">
        <v>11</v>
      </c>
      <c r="P96" t="s">
        <v>143</v>
      </c>
      <c r="Q96" t="s">
        <v>3090</v>
      </c>
      <c r="R96" t="s">
        <v>3252</v>
      </c>
      <c r="S96" t="s">
        <v>3414</v>
      </c>
      <c r="T96">
        <v>1</v>
      </c>
      <c r="U96">
        <v>2</v>
      </c>
      <c r="V96">
        <v>1</v>
      </c>
      <c r="W96">
        <v>1</v>
      </c>
      <c r="X96">
        <v>0</v>
      </c>
      <c r="Y96" t="s">
        <v>154</v>
      </c>
      <c r="Z96" t="s">
        <v>597</v>
      </c>
      <c r="AA96" t="s">
        <v>7</v>
      </c>
      <c r="AB96" t="s">
        <v>8</v>
      </c>
      <c r="AC96" s="3">
        <f>T96*'Settings &amp; Rates'!$B$5+U96*'Settings &amp; Rates'!$B$6+V96*'Settings &amp; Rates'!$B$7+W96*'Settings &amp; Rates'!$B$8+X96*'Settings &amp; Rates'!$B$9</f>
        <v>55</v>
      </c>
      <c r="AD96" s="3">
        <f>SUMIF('Attempt Log'!$B$2:$B$101,A96,'Attempt Log'!$K$2:$K$101)</f>
        <v>0</v>
      </c>
      <c r="AE96" s="3">
        <f t="shared" si="1"/>
        <v>-55</v>
      </c>
      <c r="AF96">
        <f>COUNTIF('Attempt Log'!$B$2:$B$101,A96)</f>
        <v>0</v>
      </c>
      <c r="AG96">
        <f>IFERROR(SUMIFS('Attempt Log'!$U$2:$U$101,'Attempt Log'!$B$2:$B$101,A96,'Attempt Log'!$N$2:$N$101,"Yes")/COUNTIFS('Attempt Log'!$B$2:$B$101,A96,'Attempt Log'!$N$2:$N$101,"Yes"),0)</f>
        <v>0</v>
      </c>
    </row>
    <row r="97" spans="1:33">
      <c r="A97" t="s">
        <v>598</v>
      </c>
      <c r="B97" t="s">
        <v>599</v>
      </c>
      <c r="C97" t="s">
        <v>600</v>
      </c>
      <c r="D97" t="s">
        <v>149</v>
      </c>
      <c r="E97" t="s">
        <v>150</v>
      </c>
      <c r="F97" t="s">
        <v>151</v>
      </c>
      <c r="G97" t="s">
        <v>262</v>
      </c>
      <c r="H97" t="s">
        <v>538</v>
      </c>
      <c r="I97" t="s">
        <v>539</v>
      </c>
      <c r="J97" t="s">
        <v>540</v>
      </c>
      <c r="K97" t="s">
        <v>140</v>
      </c>
      <c r="L97" t="s">
        <v>141</v>
      </c>
      <c r="M97">
        <v>2500</v>
      </c>
      <c r="N97" t="s">
        <v>153</v>
      </c>
      <c r="O97" t="s">
        <v>11</v>
      </c>
      <c r="P97" t="s">
        <v>143</v>
      </c>
      <c r="Q97" t="s">
        <v>3099</v>
      </c>
      <c r="R97" t="s">
        <v>3261</v>
      </c>
      <c r="S97" t="s">
        <v>3423</v>
      </c>
      <c r="T97">
        <v>1</v>
      </c>
      <c r="U97">
        <v>2</v>
      </c>
      <c r="V97">
        <v>1</v>
      </c>
      <c r="W97">
        <v>1</v>
      </c>
      <c r="X97">
        <v>0</v>
      </c>
      <c r="Y97" t="s">
        <v>154</v>
      </c>
      <c r="Z97" t="s">
        <v>601</v>
      </c>
      <c r="AA97" t="s">
        <v>7</v>
      </c>
      <c r="AB97" t="s">
        <v>8</v>
      </c>
      <c r="AC97" s="3">
        <f>T97*'Settings &amp; Rates'!$B$5+U97*'Settings &amp; Rates'!$B$6+V97*'Settings &amp; Rates'!$B$7+W97*'Settings &amp; Rates'!$B$8+X97*'Settings &amp; Rates'!$B$9</f>
        <v>55</v>
      </c>
      <c r="AD97" s="3">
        <f>SUMIF('Attempt Log'!$B$2:$B$101,A97,'Attempt Log'!$K$2:$K$101)</f>
        <v>0</v>
      </c>
      <c r="AE97" s="3">
        <f t="shared" si="1"/>
        <v>-55</v>
      </c>
      <c r="AF97">
        <f>COUNTIF('Attempt Log'!$B$2:$B$101,A97)</f>
        <v>0</v>
      </c>
      <c r="AG97">
        <f>IFERROR(SUMIFS('Attempt Log'!$U$2:$U$101,'Attempt Log'!$B$2:$B$101,A97,'Attempt Log'!$N$2:$N$101,"Yes")/COUNTIFS('Attempt Log'!$B$2:$B$101,A97,'Attempt Log'!$N$2:$N$101,"Yes"),0)</f>
        <v>0</v>
      </c>
    </row>
    <row r="98" spans="1:33">
      <c r="A98" t="s">
        <v>602</v>
      </c>
      <c r="B98" t="s">
        <v>603</v>
      </c>
      <c r="C98" t="s">
        <v>604</v>
      </c>
      <c r="D98" t="s">
        <v>149</v>
      </c>
      <c r="E98" t="s">
        <v>150</v>
      </c>
      <c r="F98" t="s">
        <v>151</v>
      </c>
      <c r="G98" t="s">
        <v>267</v>
      </c>
      <c r="H98" t="s">
        <v>538</v>
      </c>
      <c r="I98" t="s">
        <v>539</v>
      </c>
      <c r="J98" t="s">
        <v>540</v>
      </c>
      <c r="K98" t="s">
        <v>140</v>
      </c>
      <c r="L98" t="s">
        <v>141</v>
      </c>
      <c r="M98">
        <v>2400</v>
      </c>
      <c r="N98" t="s">
        <v>153</v>
      </c>
      <c r="O98" t="s">
        <v>11</v>
      </c>
      <c r="P98" t="s">
        <v>143</v>
      </c>
      <c r="Q98" t="s">
        <v>3108</v>
      </c>
      <c r="R98" t="s">
        <v>3270</v>
      </c>
      <c r="S98" t="s">
        <v>3432</v>
      </c>
      <c r="T98">
        <v>1</v>
      </c>
      <c r="U98">
        <v>2</v>
      </c>
      <c r="V98">
        <v>1</v>
      </c>
      <c r="W98">
        <v>1</v>
      </c>
      <c r="X98">
        <v>0</v>
      </c>
      <c r="Y98" t="s">
        <v>154</v>
      </c>
      <c r="Z98" t="s">
        <v>605</v>
      </c>
      <c r="AA98" t="s">
        <v>7</v>
      </c>
      <c r="AB98" t="s">
        <v>8</v>
      </c>
      <c r="AC98" s="3">
        <f>T98*'Settings &amp; Rates'!$B$5+U98*'Settings &amp; Rates'!$B$6+V98*'Settings &amp; Rates'!$B$7+W98*'Settings &amp; Rates'!$B$8+X98*'Settings &amp; Rates'!$B$9</f>
        <v>55</v>
      </c>
      <c r="AD98" s="3">
        <f>SUMIF('Attempt Log'!$B$2:$B$101,A98,'Attempt Log'!$K$2:$K$101)</f>
        <v>0</v>
      </c>
      <c r="AE98" s="3">
        <f t="shared" si="1"/>
        <v>-55</v>
      </c>
      <c r="AF98">
        <f>COUNTIF('Attempt Log'!$B$2:$B$101,A98)</f>
        <v>0</v>
      </c>
      <c r="AG98">
        <f>IFERROR(SUMIFS('Attempt Log'!$U$2:$U$101,'Attempt Log'!$B$2:$B$101,A98,'Attempt Log'!$N$2:$N$101,"Yes")/COUNTIFS('Attempt Log'!$B$2:$B$101,A98,'Attempt Log'!$N$2:$N$101,"Yes"),0)</f>
        <v>0</v>
      </c>
    </row>
    <row r="99" spans="1:33">
      <c r="A99" t="s">
        <v>606</v>
      </c>
      <c r="B99" t="s">
        <v>607</v>
      </c>
      <c r="C99" t="s">
        <v>608</v>
      </c>
      <c r="D99" t="s">
        <v>149</v>
      </c>
      <c r="E99" t="s">
        <v>150</v>
      </c>
      <c r="F99" t="s">
        <v>151</v>
      </c>
      <c r="G99" t="s">
        <v>152</v>
      </c>
      <c r="H99" t="s">
        <v>538</v>
      </c>
      <c r="I99" t="s">
        <v>539</v>
      </c>
      <c r="J99" t="s">
        <v>540</v>
      </c>
      <c r="K99" t="s">
        <v>140</v>
      </c>
      <c r="L99" t="s">
        <v>141</v>
      </c>
      <c r="M99">
        <v>2000</v>
      </c>
      <c r="N99" t="s">
        <v>153</v>
      </c>
      <c r="O99" t="s">
        <v>11</v>
      </c>
      <c r="P99" t="s">
        <v>143</v>
      </c>
      <c r="Q99" t="s">
        <v>3117</v>
      </c>
      <c r="R99" t="s">
        <v>3279</v>
      </c>
      <c r="S99" t="s">
        <v>3441</v>
      </c>
      <c r="T99">
        <v>1</v>
      </c>
      <c r="U99">
        <v>2</v>
      </c>
      <c r="V99">
        <v>1</v>
      </c>
      <c r="W99">
        <v>1</v>
      </c>
      <c r="X99">
        <v>0</v>
      </c>
      <c r="Y99" t="s">
        <v>154</v>
      </c>
      <c r="Z99" t="s">
        <v>609</v>
      </c>
      <c r="AA99" t="s">
        <v>7</v>
      </c>
      <c r="AB99" t="s">
        <v>8</v>
      </c>
      <c r="AC99" s="3">
        <f>T99*'Settings &amp; Rates'!$B$5+U99*'Settings &amp; Rates'!$B$6+V99*'Settings &amp; Rates'!$B$7+W99*'Settings &amp; Rates'!$B$8+X99*'Settings &amp; Rates'!$B$9</f>
        <v>55</v>
      </c>
      <c r="AD99" s="3">
        <f>SUMIF('Attempt Log'!$B$2:$B$101,A99,'Attempt Log'!$K$2:$K$101)</f>
        <v>0</v>
      </c>
      <c r="AE99" s="3">
        <f t="shared" si="1"/>
        <v>-55</v>
      </c>
      <c r="AF99">
        <f>COUNTIF('Attempt Log'!$B$2:$B$101,A99)</f>
        <v>0</v>
      </c>
      <c r="AG99">
        <f>IFERROR(SUMIFS('Attempt Log'!$U$2:$U$101,'Attempt Log'!$B$2:$B$101,A99,'Attempt Log'!$N$2:$N$101,"Yes")/COUNTIFS('Attempt Log'!$B$2:$B$101,A99,'Attempt Log'!$N$2:$N$101,"Yes"),0)</f>
        <v>0</v>
      </c>
    </row>
    <row r="100" spans="1:33">
      <c r="A100" t="s">
        <v>610</v>
      </c>
      <c r="B100" t="s">
        <v>611</v>
      </c>
      <c r="C100" t="s">
        <v>612</v>
      </c>
      <c r="D100" t="s">
        <v>149</v>
      </c>
      <c r="E100" t="s">
        <v>150</v>
      </c>
      <c r="F100" t="s">
        <v>244</v>
      </c>
      <c r="G100" t="s">
        <v>245</v>
      </c>
      <c r="H100" t="s">
        <v>538</v>
      </c>
      <c r="I100" t="s">
        <v>539</v>
      </c>
      <c r="J100" t="s">
        <v>613</v>
      </c>
      <c r="K100" t="s">
        <v>140</v>
      </c>
      <c r="L100" t="s">
        <v>141</v>
      </c>
      <c r="M100">
        <v>900</v>
      </c>
      <c r="N100" t="s">
        <v>247</v>
      </c>
      <c r="O100" t="s">
        <v>11</v>
      </c>
      <c r="P100" t="s">
        <v>143</v>
      </c>
      <c r="Q100" t="s">
        <v>2965</v>
      </c>
      <c r="R100" t="s">
        <v>3127</v>
      </c>
      <c r="S100" t="s">
        <v>3289</v>
      </c>
      <c r="T100">
        <v>1</v>
      </c>
      <c r="U100">
        <v>2</v>
      </c>
      <c r="V100">
        <v>1</v>
      </c>
      <c r="W100">
        <v>1</v>
      </c>
      <c r="X100">
        <v>0</v>
      </c>
      <c r="Y100" t="s">
        <v>154</v>
      </c>
      <c r="Z100" t="s">
        <v>614</v>
      </c>
      <c r="AA100" t="s">
        <v>7</v>
      </c>
      <c r="AB100" t="s">
        <v>8</v>
      </c>
      <c r="AC100" s="3">
        <f>T100*'Settings &amp; Rates'!$B$5+U100*'Settings &amp; Rates'!$B$6+V100*'Settings &amp; Rates'!$B$7+W100*'Settings &amp; Rates'!$B$8+X100*'Settings &amp; Rates'!$B$9</f>
        <v>55</v>
      </c>
      <c r="AD100" s="3">
        <f>SUMIF('Attempt Log'!$B$2:$B$101,A100,'Attempt Log'!$K$2:$K$101)</f>
        <v>0</v>
      </c>
      <c r="AE100" s="3">
        <f t="shared" si="1"/>
        <v>-55</v>
      </c>
      <c r="AF100">
        <f>COUNTIF('Attempt Log'!$B$2:$B$101,A100)</f>
        <v>0</v>
      </c>
      <c r="AG100">
        <f>IFERROR(SUMIFS('Attempt Log'!$U$2:$U$101,'Attempt Log'!$B$2:$B$101,A100,'Attempt Log'!$N$2:$N$101,"Yes")/COUNTIFS('Attempt Log'!$B$2:$B$101,A100,'Attempt Log'!$N$2:$N$101,"Yes"),0)</f>
        <v>0</v>
      </c>
    </row>
    <row r="101" spans="1:33">
      <c r="A101" t="s">
        <v>615</v>
      </c>
      <c r="B101" t="s">
        <v>616</v>
      </c>
      <c r="C101" t="s">
        <v>617</v>
      </c>
      <c r="D101" t="s">
        <v>149</v>
      </c>
      <c r="E101" t="s">
        <v>150</v>
      </c>
      <c r="F101" t="s">
        <v>272</v>
      </c>
      <c r="G101" t="s">
        <v>273</v>
      </c>
      <c r="H101" t="s">
        <v>538</v>
      </c>
      <c r="I101" t="s">
        <v>539</v>
      </c>
      <c r="J101" t="s">
        <v>613</v>
      </c>
      <c r="K101" t="s">
        <v>129</v>
      </c>
      <c r="L101" t="s">
        <v>17</v>
      </c>
      <c r="M101">
        <v>1450</v>
      </c>
      <c r="N101" t="s">
        <v>153</v>
      </c>
      <c r="O101" t="s">
        <v>11</v>
      </c>
      <c r="P101" t="s">
        <v>143</v>
      </c>
      <c r="Q101" t="s">
        <v>2974</v>
      </c>
      <c r="R101" t="s">
        <v>3136</v>
      </c>
      <c r="S101" t="s">
        <v>3298</v>
      </c>
      <c r="T101">
        <v>2</v>
      </c>
      <c r="U101">
        <v>2</v>
      </c>
      <c r="V101">
        <v>1</v>
      </c>
      <c r="W101">
        <v>1</v>
      </c>
      <c r="X101">
        <v>0</v>
      </c>
      <c r="Y101" t="s">
        <v>154</v>
      </c>
      <c r="Z101" t="s">
        <v>618</v>
      </c>
      <c r="AA101" t="s">
        <v>7</v>
      </c>
      <c r="AB101" t="s">
        <v>8</v>
      </c>
      <c r="AC101" s="3">
        <f>T101*'Settings &amp; Rates'!$B$5+U101*'Settings &amp; Rates'!$B$6+V101*'Settings &amp; Rates'!$B$7+W101*'Settings &amp; Rates'!$B$8+X101*'Settings &amp; Rates'!$B$9</f>
        <v>55</v>
      </c>
      <c r="AD101" s="3">
        <f>SUMIF('Attempt Log'!$B$2:$B$101,A101,'Attempt Log'!$K$2:$K$101)</f>
        <v>0</v>
      </c>
      <c r="AE101" s="3">
        <f t="shared" si="1"/>
        <v>-55</v>
      </c>
      <c r="AF101">
        <f>COUNTIF('Attempt Log'!$B$2:$B$101,A101)</f>
        <v>0</v>
      </c>
      <c r="AG101">
        <f>IFERROR(SUMIFS('Attempt Log'!$U$2:$U$101,'Attempt Log'!$B$2:$B$101,A101,'Attempt Log'!$N$2:$N$101,"Yes")/COUNTIFS('Attempt Log'!$B$2:$B$101,A101,'Attempt Log'!$N$2:$N$101,"Yes"),0)</f>
        <v>0</v>
      </c>
    </row>
    <row r="102" spans="1:33">
      <c r="A102" t="s">
        <v>619</v>
      </c>
      <c r="B102" t="s">
        <v>620</v>
      </c>
      <c r="C102" t="s">
        <v>621</v>
      </c>
      <c r="D102" t="s">
        <v>149</v>
      </c>
      <c r="E102" t="s">
        <v>150</v>
      </c>
      <c r="F102" t="s">
        <v>272</v>
      </c>
      <c r="G102" t="s">
        <v>279</v>
      </c>
      <c r="H102" t="s">
        <v>538</v>
      </c>
      <c r="I102" t="s">
        <v>539</v>
      </c>
      <c r="J102" t="s">
        <v>613</v>
      </c>
      <c r="K102" t="s">
        <v>129</v>
      </c>
      <c r="L102" t="s">
        <v>17</v>
      </c>
      <c r="M102">
        <v>1200</v>
      </c>
      <c r="N102" t="s">
        <v>153</v>
      </c>
      <c r="O102" t="s">
        <v>11</v>
      </c>
      <c r="P102" t="s">
        <v>143</v>
      </c>
      <c r="Q102" t="s">
        <v>2983</v>
      </c>
      <c r="R102" t="s">
        <v>3145</v>
      </c>
      <c r="S102" t="s">
        <v>3307</v>
      </c>
      <c r="T102">
        <v>2</v>
      </c>
      <c r="U102">
        <v>2</v>
      </c>
      <c r="V102">
        <v>1</v>
      </c>
      <c r="W102">
        <v>1</v>
      </c>
      <c r="X102">
        <v>0</v>
      </c>
      <c r="Y102" t="s">
        <v>154</v>
      </c>
      <c r="Z102" t="s">
        <v>622</v>
      </c>
      <c r="AA102" t="s">
        <v>7</v>
      </c>
      <c r="AB102" t="s">
        <v>8</v>
      </c>
      <c r="AC102" s="3">
        <f>T102*'Settings &amp; Rates'!$B$5+U102*'Settings &amp; Rates'!$B$6+V102*'Settings &amp; Rates'!$B$7+W102*'Settings &amp; Rates'!$B$8+X102*'Settings &amp; Rates'!$B$9</f>
        <v>55</v>
      </c>
      <c r="AD102" s="3">
        <f>SUMIF('Attempt Log'!$B$2:$B$101,A102,'Attempt Log'!$K$2:$K$101)</f>
        <v>0</v>
      </c>
      <c r="AE102" s="3">
        <f t="shared" si="1"/>
        <v>-55</v>
      </c>
      <c r="AF102">
        <f>COUNTIF('Attempt Log'!$B$2:$B$101,A102)</f>
        <v>0</v>
      </c>
      <c r="AG102">
        <f>IFERROR(SUMIFS('Attempt Log'!$U$2:$U$101,'Attempt Log'!$B$2:$B$101,A102,'Attempt Log'!$N$2:$N$101,"Yes")/COUNTIFS('Attempt Log'!$B$2:$B$101,A102,'Attempt Log'!$N$2:$N$101,"Yes"),0)</f>
        <v>0</v>
      </c>
    </row>
    <row r="103" spans="1:33">
      <c r="A103" t="s">
        <v>623</v>
      </c>
      <c r="B103" t="s">
        <v>624</v>
      </c>
      <c r="C103" t="s">
        <v>625</v>
      </c>
      <c r="D103" t="s">
        <v>149</v>
      </c>
      <c r="E103" t="s">
        <v>150</v>
      </c>
      <c r="F103" t="s">
        <v>272</v>
      </c>
      <c r="G103" t="s">
        <v>284</v>
      </c>
      <c r="H103" t="s">
        <v>538</v>
      </c>
      <c r="I103" t="s">
        <v>539</v>
      </c>
      <c r="J103" t="s">
        <v>613</v>
      </c>
      <c r="K103" t="s">
        <v>129</v>
      </c>
      <c r="L103" t="s">
        <v>17</v>
      </c>
      <c r="M103">
        <v>1500</v>
      </c>
      <c r="N103" t="s">
        <v>153</v>
      </c>
      <c r="O103" t="s">
        <v>11</v>
      </c>
      <c r="P103" t="s">
        <v>143</v>
      </c>
      <c r="Q103" t="s">
        <v>2992</v>
      </c>
      <c r="R103" t="s">
        <v>3154</v>
      </c>
      <c r="S103" t="s">
        <v>3316</v>
      </c>
      <c r="T103">
        <v>2</v>
      </c>
      <c r="U103">
        <v>2</v>
      </c>
      <c r="V103">
        <v>1</v>
      </c>
      <c r="W103">
        <v>1</v>
      </c>
      <c r="X103">
        <v>0</v>
      </c>
      <c r="Y103" t="s">
        <v>154</v>
      </c>
      <c r="Z103" t="s">
        <v>626</v>
      </c>
      <c r="AA103" t="s">
        <v>7</v>
      </c>
      <c r="AB103" t="s">
        <v>8</v>
      </c>
      <c r="AC103" s="3">
        <f>T103*'Settings &amp; Rates'!$B$5+U103*'Settings &amp; Rates'!$B$6+V103*'Settings &amp; Rates'!$B$7+W103*'Settings &amp; Rates'!$B$8+X103*'Settings &amp; Rates'!$B$9</f>
        <v>55</v>
      </c>
      <c r="AD103" s="3">
        <f>SUMIF('Attempt Log'!$B$2:$B$101,A103,'Attempt Log'!$K$2:$K$101)</f>
        <v>0</v>
      </c>
      <c r="AE103" s="3">
        <f t="shared" si="1"/>
        <v>-55</v>
      </c>
      <c r="AF103">
        <f>COUNTIF('Attempt Log'!$B$2:$B$101,A103)</f>
        <v>0</v>
      </c>
      <c r="AG103">
        <f>IFERROR(SUMIFS('Attempt Log'!$U$2:$U$101,'Attempt Log'!$B$2:$B$101,A103,'Attempt Log'!$N$2:$N$101,"Yes")/COUNTIFS('Attempt Log'!$B$2:$B$101,A103,'Attempt Log'!$N$2:$N$101,"Yes"),0)</f>
        <v>0</v>
      </c>
    </row>
    <row r="104" spans="1:33">
      <c r="A104" t="s">
        <v>627</v>
      </c>
      <c r="B104" t="s">
        <v>628</v>
      </c>
      <c r="C104" t="s">
        <v>629</v>
      </c>
      <c r="D104" t="s">
        <v>149</v>
      </c>
      <c r="E104" t="s">
        <v>150</v>
      </c>
      <c r="F104" t="s">
        <v>272</v>
      </c>
      <c r="G104" t="s">
        <v>289</v>
      </c>
      <c r="H104" t="s">
        <v>538</v>
      </c>
      <c r="I104" t="s">
        <v>539</v>
      </c>
      <c r="J104" t="s">
        <v>613</v>
      </c>
      <c r="K104" t="s">
        <v>129</v>
      </c>
      <c r="L104" t="s">
        <v>17</v>
      </c>
      <c r="M104">
        <v>3350</v>
      </c>
      <c r="N104" t="s">
        <v>153</v>
      </c>
      <c r="O104" t="s">
        <v>11</v>
      </c>
      <c r="P104" t="s">
        <v>143</v>
      </c>
      <c r="Q104" t="s">
        <v>3001</v>
      </c>
      <c r="R104" t="s">
        <v>3163</v>
      </c>
      <c r="S104" t="s">
        <v>3325</v>
      </c>
      <c r="T104">
        <v>2</v>
      </c>
      <c r="U104">
        <v>2</v>
      </c>
      <c r="V104">
        <v>1</v>
      </c>
      <c r="W104">
        <v>1</v>
      </c>
      <c r="X104">
        <v>0</v>
      </c>
      <c r="Y104" t="s">
        <v>154</v>
      </c>
      <c r="Z104" t="s">
        <v>630</v>
      </c>
      <c r="AA104" t="s">
        <v>7</v>
      </c>
      <c r="AB104" t="s">
        <v>8</v>
      </c>
      <c r="AC104" s="3">
        <f>T104*'Settings &amp; Rates'!$B$5+U104*'Settings &amp; Rates'!$B$6+V104*'Settings &amp; Rates'!$B$7+W104*'Settings &amp; Rates'!$B$8+X104*'Settings &amp; Rates'!$B$9</f>
        <v>55</v>
      </c>
      <c r="AD104" s="3">
        <f>SUMIF('Attempt Log'!$B$2:$B$101,A104,'Attempt Log'!$K$2:$K$101)</f>
        <v>0</v>
      </c>
      <c r="AE104" s="3">
        <f t="shared" si="1"/>
        <v>-55</v>
      </c>
      <c r="AF104">
        <f>COUNTIF('Attempt Log'!$B$2:$B$101,A104)</f>
        <v>0</v>
      </c>
      <c r="AG104">
        <f>IFERROR(SUMIFS('Attempt Log'!$U$2:$U$101,'Attempt Log'!$B$2:$B$101,A104,'Attempt Log'!$N$2:$N$101,"Yes")/COUNTIFS('Attempt Log'!$B$2:$B$101,A104,'Attempt Log'!$N$2:$N$101,"Yes"),0)</f>
        <v>0</v>
      </c>
    </row>
    <row r="105" spans="1:33">
      <c r="A105" t="s">
        <v>631</v>
      </c>
      <c r="B105" t="s">
        <v>632</v>
      </c>
      <c r="C105" t="s">
        <v>633</v>
      </c>
      <c r="D105" t="s">
        <v>149</v>
      </c>
      <c r="E105" t="s">
        <v>150</v>
      </c>
      <c r="F105" t="s">
        <v>294</v>
      </c>
      <c r="G105" t="s">
        <v>295</v>
      </c>
      <c r="H105" t="s">
        <v>538</v>
      </c>
      <c r="I105" t="s">
        <v>539</v>
      </c>
      <c r="J105" t="s">
        <v>613</v>
      </c>
      <c r="K105" t="s">
        <v>129</v>
      </c>
      <c r="L105" t="s">
        <v>17</v>
      </c>
      <c r="M105">
        <v>1750</v>
      </c>
      <c r="N105" t="s">
        <v>153</v>
      </c>
      <c r="O105" t="s">
        <v>11</v>
      </c>
      <c r="P105" t="s">
        <v>143</v>
      </c>
      <c r="Q105" t="s">
        <v>3010</v>
      </c>
      <c r="R105" t="s">
        <v>3172</v>
      </c>
      <c r="S105" t="s">
        <v>3334</v>
      </c>
      <c r="T105">
        <v>2</v>
      </c>
      <c r="U105">
        <v>2</v>
      </c>
      <c r="V105">
        <v>1</v>
      </c>
      <c r="W105">
        <v>1</v>
      </c>
      <c r="X105">
        <v>0</v>
      </c>
      <c r="Y105" t="s">
        <v>154</v>
      </c>
      <c r="Z105" t="s">
        <v>634</v>
      </c>
      <c r="AA105" t="s">
        <v>7</v>
      </c>
      <c r="AB105" t="s">
        <v>8</v>
      </c>
      <c r="AC105" s="3">
        <f>T105*'Settings &amp; Rates'!$B$5+U105*'Settings &amp; Rates'!$B$6+V105*'Settings &amp; Rates'!$B$7+W105*'Settings &amp; Rates'!$B$8+X105*'Settings &amp; Rates'!$B$9</f>
        <v>55</v>
      </c>
      <c r="AD105" s="3">
        <f>SUMIF('Attempt Log'!$B$2:$B$101,A105,'Attempt Log'!$K$2:$K$101)</f>
        <v>0</v>
      </c>
      <c r="AE105" s="3">
        <f t="shared" si="1"/>
        <v>-55</v>
      </c>
      <c r="AF105">
        <f>COUNTIF('Attempt Log'!$B$2:$B$101,A105)</f>
        <v>0</v>
      </c>
      <c r="AG105">
        <f>IFERROR(SUMIFS('Attempt Log'!$U$2:$U$101,'Attempt Log'!$B$2:$B$101,A105,'Attempt Log'!$N$2:$N$101,"Yes")/COUNTIFS('Attempt Log'!$B$2:$B$101,A105,'Attempt Log'!$N$2:$N$101,"Yes"),0)</f>
        <v>0</v>
      </c>
    </row>
    <row r="106" spans="1:33">
      <c r="A106" t="s">
        <v>635</v>
      </c>
      <c r="B106" t="s">
        <v>636</v>
      </c>
      <c r="C106" t="s">
        <v>637</v>
      </c>
      <c r="D106" t="s">
        <v>149</v>
      </c>
      <c r="E106" t="s">
        <v>150</v>
      </c>
      <c r="F106" t="s">
        <v>294</v>
      </c>
      <c r="G106" t="s">
        <v>300</v>
      </c>
      <c r="H106" t="s">
        <v>538</v>
      </c>
      <c r="I106" t="s">
        <v>539</v>
      </c>
      <c r="J106" t="s">
        <v>613</v>
      </c>
      <c r="K106" t="s">
        <v>129</v>
      </c>
      <c r="L106" t="s">
        <v>17</v>
      </c>
      <c r="M106">
        <v>3750</v>
      </c>
      <c r="N106" t="s">
        <v>153</v>
      </c>
      <c r="O106" t="s">
        <v>11</v>
      </c>
      <c r="P106" t="s">
        <v>143</v>
      </c>
      <c r="Q106" t="s">
        <v>3019</v>
      </c>
      <c r="R106" t="s">
        <v>3181</v>
      </c>
      <c r="S106" t="s">
        <v>3343</v>
      </c>
      <c r="T106">
        <v>2</v>
      </c>
      <c r="U106">
        <v>2</v>
      </c>
      <c r="V106">
        <v>1</v>
      </c>
      <c r="W106">
        <v>1</v>
      </c>
      <c r="X106">
        <v>0</v>
      </c>
      <c r="Y106" t="s">
        <v>154</v>
      </c>
      <c r="Z106" t="s">
        <v>638</v>
      </c>
      <c r="AA106" t="s">
        <v>7</v>
      </c>
      <c r="AB106" t="s">
        <v>8</v>
      </c>
      <c r="AC106" s="3">
        <f>T106*'Settings &amp; Rates'!$B$5+U106*'Settings &amp; Rates'!$B$6+V106*'Settings &amp; Rates'!$B$7+W106*'Settings &amp; Rates'!$B$8+X106*'Settings &amp; Rates'!$B$9</f>
        <v>55</v>
      </c>
      <c r="AD106" s="3">
        <f>SUMIF('Attempt Log'!$B$2:$B$101,A106,'Attempt Log'!$K$2:$K$101)</f>
        <v>0</v>
      </c>
      <c r="AE106" s="3">
        <f t="shared" si="1"/>
        <v>-55</v>
      </c>
      <c r="AF106">
        <f>COUNTIF('Attempt Log'!$B$2:$B$101,A106)</f>
        <v>0</v>
      </c>
      <c r="AG106">
        <f>IFERROR(SUMIFS('Attempt Log'!$U$2:$U$101,'Attempt Log'!$B$2:$B$101,A106,'Attempt Log'!$N$2:$N$101,"Yes")/COUNTIFS('Attempt Log'!$B$2:$B$101,A106,'Attempt Log'!$N$2:$N$101,"Yes"),0)</f>
        <v>0</v>
      </c>
    </row>
    <row r="107" spans="1:33">
      <c r="A107" t="s">
        <v>639</v>
      </c>
      <c r="B107" t="s">
        <v>640</v>
      </c>
      <c r="C107" t="s">
        <v>641</v>
      </c>
      <c r="D107" t="s">
        <v>149</v>
      </c>
      <c r="E107" t="s">
        <v>150</v>
      </c>
      <c r="F107" t="s">
        <v>294</v>
      </c>
      <c r="G107" t="s">
        <v>305</v>
      </c>
      <c r="H107" t="s">
        <v>538</v>
      </c>
      <c r="I107" t="s">
        <v>539</v>
      </c>
      <c r="J107" t="s">
        <v>613</v>
      </c>
      <c r="K107" t="s">
        <v>129</v>
      </c>
      <c r="L107" t="s">
        <v>17</v>
      </c>
      <c r="M107">
        <v>1550</v>
      </c>
      <c r="N107" t="s">
        <v>153</v>
      </c>
      <c r="O107" t="s">
        <v>11</v>
      </c>
      <c r="P107" t="s">
        <v>143</v>
      </c>
      <c r="Q107" t="s">
        <v>3028</v>
      </c>
      <c r="R107" t="s">
        <v>3190</v>
      </c>
      <c r="S107" t="s">
        <v>3352</v>
      </c>
      <c r="T107">
        <v>2</v>
      </c>
      <c r="U107">
        <v>2</v>
      </c>
      <c r="V107">
        <v>1</v>
      </c>
      <c r="W107">
        <v>1</v>
      </c>
      <c r="X107">
        <v>0</v>
      </c>
      <c r="Y107" t="s">
        <v>154</v>
      </c>
      <c r="Z107" t="s">
        <v>642</v>
      </c>
      <c r="AA107" t="s">
        <v>7</v>
      </c>
      <c r="AB107" t="s">
        <v>8</v>
      </c>
      <c r="AC107" s="3">
        <f>T107*'Settings &amp; Rates'!$B$5+U107*'Settings &amp; Rates'!$B$6+V107*'Settings &amp; Rates'!$B$7+W107*'Settings &amp; Rates'!$B$8+X107*'Settings &amp; Rates'!$B$9</f>
        <v>55</v>
      </c>
      <c r="AD107" s="3">
        <f>SUMIF('Attempt Log'!$B$2:$B$101,A107,'Attempt Log'!$K$2:$K$101)</f>
        <v>0</v>
      </c>
      <c r="AE107" s="3">
        <f t="shared" si="1"/>
        <v>-55</v>
      </c>
      <c r="AF107">
        <f>COUNTIF('Attempt Log'!$B$2:$B$101,A107)</f>
        <v>0</v>
      </c>
      <c r="AG107">
        <f>IFERROR(SUMIFS('Attempt Log'!$U$2:$U$101,'Attempt Log'!$B$2:$B$101,A107,'Attempt Log'!$N$2:$N$101,"Yes")/COUNTIFS('Attempt Log'!$B$2:$B$101,A107,'Attempt Log'!$N$2:$N$101,"Yes"),0)</f>
        <v>0</v>
      </c>
    </row>
    <row r="108" spans="1:33">
      <c r="A108" t="s">
        <v>643</v>
      </c>
      <c r="B108" t="s">
        <v>644</v>
      </c>
      <c r="C108" t="s">
        <v>645</v>
      </c>
      <c r="D108" t="s">
        <v>149</v>
      </c>
      <c r="E108" t="s">
        <v>150</v>
      </c>
      <c r="F108" t="s">
        <v>294</v>
      </c>
      <c r="G108" t="s">
        <v>310</v>
      </c>
      <c r="H108" t="s">
        <v>538</v>
      </c>
      <c r="I108" t="s">
        <v>539</v>
      </c>
      <c r="J108" t="s">
        <v>613</v>
      </c>
      <c r="K108" t="s">
        <v>129</v>
      </c>
      <c r="L108" t="s">
        <v>17</v>
      </c>
      <c r="M108">
        <v>2200</v>
      </c>
      <c r="N108" t="s">
        <v>153</v>
      </c>
      <c r="O108" t="s">
        <v>11</v>
      </c>
      <c r="P108" t="s">
        <v>143</v>
      </c>
      <c r="Q108" t="s">
        <v>3037</v>
      </c>
      <c r="R108" t="s">
        <v>3199</v>
      </c>
      <c r="S108" t="s">
        <v>3361</v>
      </c>
      <c r="T108">
        <v>2</v>
      </c>
      <c r="U108">
        <v>2</v>
      </c>
      <c r="V108">
        <v>1</v>
      </c>
      <c r="W108">
        <v>1</v>
      </c>
      <c r="X108">
        <v>0</v>
      </c>
      <c r="Y108" t="s">
        <v>154</v>
      </c>
      <c r="Z108" t="s">
        <v>646</v>
      </c>
      <c r="AA108" t="s">
        <v>7</v>
      </c>
      <c r="AB108" t="s">
        <v>8</v>
      </c>
      <c r="AC108" s="3">
        <f>T108*'Settings &amp; Rates'!$B$5+U108*'Settings &amp; Rates'!$B$6+V108*'Settings &amp; Rates'!$B$7+W108*'Settings &amp; Rates'!$B$8+X108*'Settings &amp; Rates'!$B$9</f>
        <v>55</v>
      </c>
      <c r="AD108" s="3">
        <f>SUMIF('Attempt Log'!$B$2:$B$101,A108,'Attempt Log'!$K$2:$K$101)</f>
        <v>0</v>
      </c>
      <c r="AE108" s="3">
        <f t="shared" si="1"/>
        <v>-55</v>
      </c>
      <c r="AF108">
        <f>COUNTIF('Attempt Log'!$B$2:$B$101,A108)</f>
        <v>0</v>
      </c>
      <c r="AG108">
        <f>IFERROR(SUMIFS('Attempt Log'!$U$2:$U$101,'Attempt Log'!$B$2:$B$101,A108,'Attempt Log'!$N$2:$N$101,"Yes")/COUNTIFS('Attempt Log'!$B$2:$B$101,A108,'Attempt Log'!$N$2:$N$101,"Yes"),0)</f>
        <v>0</v>
      </c>
    </row>
    <row r="109" spans="1:33">
      <c r="A109" t="s">
        <v>647</v>
      </c>
      <c r="B109" t="s">
        <v>648</v>
      </c>
      <c r="C109" t="s">
        <v>649</v>
      </c>
      <c r="D109" t="s">
        <v>149</v>
      </c>
      <c r="E109" t="s">
        <v>150</v>
      </c>
      <c r="F109" t="s">
        <v>315</v>
      </c>
      <c r="G109" t="s">
        <v>316</v>
      </c>
      <c r="H109" t="s">
        <v>538</v>
      </c>
      <c r="I109" t="s">
        <v>539</v>
      </c>
      <c r="J109" t="s">
        <v>613</v>
      </c>
      <c r="K109" t="s">
        <v>129</v>
      </c>
      <c r="L109" t="s">
        <v>17</v>
      </c>
      <c r="M109">
        <v>1450</v>
      </c>
      <c r="N109" t="s">
        <v>153</v>
      </c>
      <c r="O109" t="s">
        <v>11</v>
      </c>
      <c r="P109" t="s">
        <v>143</v>
      </c>
      <c r="Q109" t="s">
        <v>3046</v>
      </c>
      <c r="R109" t="s">
        <v>3208</v>
      </c>
      <c r="S109" t="s">
        <v>3370</v>
      </c>
      <c r="T109">
        <v>2</v>
      </c>
      <c r="U109">
        <v>2</v>
      </c>
      <c r="V109">
        <v>1</v>
      </c>
      <c r="W109">
        <v>1</v>
      </c>
      <c r="X109">
        <v>0</v>
      </c>
      <c r="Y109" t="s">
        <v>154</v>
      </c>
      <c r="Z109" t="s">
        <v>650</v>
      </c>
      <c r="AA109" t="s">
        <v>7</v>
      </c>
      <c r="AB109" t="s">
        <v>8</v>
      </c>
      <c r="AC109" s="3">
        <f>T109*'Settings &amp; Rates'!$B$5+U109*'Settings &amp; Rates'!$B$6+V109*'Settings &amp; Rates'!$B$7+W109*'Settings &amp; Rates'!$B$8+X109*'Settings &amp; Rates'!$B$9</f>
        <v>55</v>
      </c>
      <c r="AD109" s="3">
        <f>SUMIF('Attempt Log'!$B$2:$B$101,A109,'Attempt Log'!$K$2:$K$101)</f>
        <v>0</v>
      </c>
      <c r="AE109" s="3">
        <f t="shared" si="1"/>
        <v>-55</v>
      </c>
      <c r="AF109">
        <f>COUNTIF('Attempt Log'!$B$2:$B$101,A109)</f>
        <v>0</v>
      </c>
      <c r="AG109">
        <f>IFERROR(SUMIFS('Attempt Log'!$U$2:$U$101,'Attempt Log'!$B$2:$B$101,A109,'Attempt Log'!$N$2:$N$101,"Yes")/COUNTIFS('Attempt Log'!$B$2:$B$101,A109,'Attempt Log'!$N$2:$N$101,"Yes"),0)</f>
        <v>0</v>
      </c>
    </row>
    <row r="110" spans="1:33">
      <c r="A110" t="s">
        <v>651</v>
      </c>
      <c r="B110" t="s">
        <v>652</v>
      </c>
      <c r="C110" t="s">
        <v>653</v>
      </c>
      <c r="D110" t="s">
        <v>149</v>
      </c>
      <c r="E110" t="s">
        <v>150</v>
      </c>
      <c r="F110" t="s">
        <v>315</v>
      </c>
      <c r="G110" t="s">
        <v>321</v>
      </c>
      <c r="H110" t="s">
        <v>538</v>
      </c>
      <c r="I110" t="s">
        <v>539</v>
      </c>
      <c r="J110" t="s">
        <v>613</v>
      </c>
      <c r="K110" t="s">
        <v>129</v>
      </c>
      <c r="L110" t="s">
        <v>17</v>
      </c>
      <c r="M110">
        <v>2800</v>
      </c>
      <c r="N110" t="s">
        <v>153</v>
      </c>
      <c r="O110" t="s">
        <v>11</v>
      </c>
      <c r="P110" t="s">
        <v>143</v>
      </c>
      <c r="Q110" t="s">
        <v>3055</v>
      </c>
      <c r="R110" t="s">
        <v>3217</v>
      </c>
      <c r="S110" t="s">
        <v>3379</v>
      </c>
      <c r="T110">
        <v>2</v>
      </c>
      <c r="U110">
        <v>2</v>
      </c>
      <c r="V110">
        <v>1</v>
      </c>
      <c r="W110">
        <v>1</v>
      </c>
      <c r="X110">
        <v>0</v>
      </c>
      <c r="Y110" t="s">
        <v>154</v>
      </c>
      <c r="Z110" t="s">
        <v>654</v>
      </c>
      <c r="AA110" t="s">
        <v>7</v>
      </c>
      <c r="AB110" t="s">
        <v>8</v>
      </c>
      <c r="AC110" s="3">
        <f>T110*'Settings &amp; Rates'!$B$5+U110*'Settings &amp; Rates'!$B$6+V110*'Settings &amp; Rates'!$B$7+W110*'Settings &amp; Rates'!$B$8+X110*'Settings &amp; Rates'!$B$9</f>
        <v>55</v>
      </c>
      <c r="AD110" s="3">
        <f>SUMIF('Attempt Log'!$B$2:$B$101,A110,'Attempt Log'!$K$2:$K$101)</f>
        <v>0</v>
      </c>
      <c r="AE110" s="3">
        <f t="shared" si="1"/>
        <v>-55</v>
      </c>
      <c r="AF110">
        <f>COUNTIF('Attempt Log'!$B$2:$B$101,A110)</f>
        <v>0</v>
      </c>
      <c r="AG110">
        <f>IFERROR(SUMIFS('Attempt Log'!$U$2:$U$101,'Attempt Log'!$B$2:$B$101,A110,'Attempt Log'!$N$2:$N$101,"Yes")/COUNTIFS('Attempt Log'!$B$2:$B$101,A110,'Attempt Log'!$N$2:$N$101,"Yes"),0)</f>
        <v>0</v>
      </c>
    </row>
    <row r="111" spans="1:33">
      <c r="A111" t="s">
        <v>655</v>
      </c>
      <c r="B111" t="s">
        <v>656</v>
      </c>
      <c r="C111" t="s">
        <v>657</v>
      </c>
      <c r="D111" t="s">
        <v>149</v>
      </c>
      <c r="E111" t="s">
        <v>150</v>
      </c>
      <c r="F111" t="s">
        <v>315</v>
      </c>
      <c r="G111" t="s">
        <v>326</v>
      </c>
      <c r="H111" t="s">
        <v>538</v>
      </c>
      <c r="I111" t="s">
        <v>539</v>
      </c>
      <c r="J111" t="s">
        <v>613</v>
      </c>
      <c r="K111" t="s">
        <v>129</v>
      </c>
      <c r="L111" t="s">
        <v>17</v>
      </c>
      <c r="M111">
        <v>1200</v>
      </c>
      <c r="N111" t="s">
        <v>153</v>
      </c>
      <c r="O111" t="s">
        <v>11</v>
      </c>
      <c r="P111" t="s">
        <v>143</v>
      </c>
      <c r="Q111" t="s">
        <v>3064</v>
      </c>
      <c r="R111" t="s">
        <v>3226</v>
      </c>
      <c r="S111" t="s">
        <v>3388</v>
      </c>
      <c r="T111">
        <v>2</v>
      </c>
      <c r="U111">
        <v>2</v>
      </c>
      <c r="V111">
        <v>1</v>
      </c>
      <c r="W111">
        <v>1</v>
      </c>
      <c r="X111">
        <v>0</v>
      </c>
      <c r="Y111" t="s">
        <v>154</v>
      </c>
      <c r="Z111" t="s">
        <v>658</v>
      </c>
      <c r="AA111" t="s">
        <v>7</v>
      </c>
      <c r="AB111" t="s">
        <v>8</v>
      </c>
      <c r="AC111" s="3">
        <f>T111*'Settings &amp; Rates'!$B$5+U111*'Settings &amp; Rates'!$B$6+V111*'Settings &amp; Rates'!$B$7+W111*'Settings &amp; Rates'!$B$8+X111*'Settings &amp; Rates'!$B$9</f>
        <v>55</v>
      </c>
      <c r="AD111" s="3">
        <f>SUMIF('Attempt Log'!$B$2:$B$101,A111,'Attempt Log'!$K$2:$K$101)</f>
        <v>0</v>
      </c>
      <c r="AE111" s="3">
        <f t="shared" si="1"/>
        <v>-55</v>
      </c>
      <c r="AF111">
        <f>COUNTIF('Attempt Log'!$B$2:$B$101,A111)</f>
        <v>0</v>
      </c>
      <c r="AG111">
        <f>IFERROR(SUMIFS('Attempt Log'!$U$2:$U$101,'Attempt Log'!$B$2:$B$101,A111,'Attempt Log'!$N$2:$N$101,"Yes")/COUNTIFS('Attempt Log'!$B$2:$B$101,A111,'Attempt Log'!$N$2:$N$101,"Yes"),0)</f>
        <v>0</v>
      </c>
    </row>
    <row r="112" spans="1:33">
      <c r="A112" t="s">
        <v>659</v>
      </c>
      <c r="B112" t="s">
        <v>660</v>
      </c>
      <c r="C112" t="s">
        <v>661</v>
      </c>
      <c r="D112" t="s">
        <v>149</v>
      </c>
      <c r="E112" t="s">
        <v>150</v>
      </c>
      <c r="F112" t="s">
        <v>315</v>
      </c>
      <c r="G112" t="s">
        <v>331</v>
      </c>
      <c r="H112" t="s">
        <v>538</v>
      </c>
      <c r="I112" t="s">
        <v>539</v>
      </c>
      <c r="J112" t="s">
        <v>613</v>
      </c>
      <c r="K112" t="s">
        <v>129</v>
      </c>
      <c r="L112" t="s">
        <v>17</v>
      </c>
      <c r="M112">
        <v>1450</v>
      </c>
      <c r="N112" t="s">
        <v>153</v>
      </c>
      <c r="O112" t="s">
        <v>11</v>
      </c>
      <c r="P112" t="s">
        <v>143</v>
      </c>
      <c r="Q112" t="s">
        <v>3073</v>
      </c>
      <c r="R112" t="s">
        <v>3235</v>
      </c>
      <c r="S112" t="s">
        <v>3397</v>
      </c>
      <c r="T112">
        <v>2</v>
      </c>
      <c r="U112">
        <v>2</v>
      </c>
      <c r="V112">
        <v>1</v>
      </c>
      <c r="W112">
        <v>1</v>
      </c>
      <c r="X112">
        <v>0</v>
      </c>
      <c r="Y112" t="s">
        <v>154</v>
      </c>
      <c r="Z112" t="s">
        <v>662</v>
      </c>
      <c r="AA112" t="s">
        <v>7</v>
      </c>
      <c r="AB112" t="s">
        <v>8</v>
      </c>
      <c r="AC112" s="3">
        <f>T112*'Settings &amp; Rates'!$B$5+U112*'Settings &amp; Rates'!$B$6+V112*'Settings &amp; Rates'!$B$7+W112*'Settings &amp; Rates'!$B$8+X112*'Settings &amp; Rates'!$B$9</f>
        <v>55</v>
      </c>
      <c r="AD112" s="3">
        <f>SUMIF('Attempt Log'!$B$2:$B$101,A112,'Attempt Log'!$K$2:$K$101)</f>
        <v>0</v>
      </c>
      <c r="AE112" s="3">
        <f t="shared" si="1"/>
        <v>-55</v>
      </c>
      <c r="AF112">
        <f>COUNTIF('Attempt Log'!$B$2:$B$101,A112)</f>
        <v>0</v>
      </c>
      <c r="AG112">
        <f>IFERROR(SUMIFS('Attempt Log'!$U$2:$U$101,'Attempt Log'!$B$2:$B$101,A112,'Attempt Log'!$N$2:$N$101,"Yes")/COUNTIFS('Attempt Log'!$B$2:$B$101,A112,'Attempt Log'!$N$2:$N$101,"Yes"),0)</f>
        <v>0</v>
      </c>
    </row>
    <row r="113" spans="1:33">
      <c r="A113" t="s">
        <v>663</v>
      </c>
      <c r="B113" t="s">
        <v>664</v>
      </c>
      <c r="C113" t="s">
        <v>665</v>
      </c>
      <c r="D113" t="s">
        <v>149</v>
      </c>
      <c r="E113" t="s">
        <v>150</v>
      </c>
      <c r="F113" t="s">
        <v>151</v>
      </c>
      <c r="G113" t="s">
        <v>252</v>
      </c>
      <c r="H113" t="s">
        <v>538</v>
      </c>
      <c r="I113" t="s">
        <v>539</v>
      </c>
      <c r="J113" t="s">
        <v>613</v>
      </c>
      <c r="K113" t="s">
        <v>140</v>
      </c>
      <c r="L113" t="s">
        <v>141</v>
      </c>
      <c r="M113">
        <v>1700</v>
      </c>
      <c r="N113" t="s">
        <v>153</v>
      </c>
      <c r="O113" t="s">
        <v>11</v>
      </c>
      <c r="P113" t="s">
        <v>143</v>
      </c>
      <c r="Q113" t="s">
        <v>3082</v>
      </c>
      <c r="R113" t="s">
        <v>3244</v>
      </c>
      <c r="S113" t="s">
        <v>3406</v>
      </c>
      <c r="T113">
        <v>1</v>
      </c>
      <c r="U113">
        <v>2</v>
      </c>
      <c r="V113">
        <v>1</v>
      </c>
      <c r="W113">
        <v>1</v>
      </c>
      <c r="X113">
        <v>0</v>
      </c>
      <c r="Y113" t="s">
        <v>154</v>
      </c>
      <c r="Z113" t="s">
        <v>666</v>
      </c>
      <c r="AA113" t="s">
        <v>7</v>
      </c>
      <c r="AB113" t="s">
        <v>8</v>
      </c>
      <c r="AC113" s="3">
        <f>T113*'Settings &amp; Rates'!$B$5+U113*'Settings &amp; Rates'!$B$6+V113*'Settings &amp; Rates'!$B$7+W113*'Settings &amp; Rates'!$B$8+X113*'Settings &amp; Rates'!$B$9</f>
        <v>55</v>
      </c>
      <c r="AD113" s="3">
        <f>SUMIF('Attempt Log'!$B$2:$B$101,A113,'Attempt Log'!$K$2:$K$101)</f>
        <v>0</v>
      </c>
      <c r="AE113" s="3">
        <f t="shared" si="1"/>
        <v>-55</v>
      </c>
      <c r="AF113">
        <f>COUNTIF('Attempt Log'!$B$2:$B$101,A113)</f>
        <v>0</v>
      </c>
      <c r="AG113">
        <f>IFERROR(SUMIFS('Attempt Log'!$U$2:$U$101,'Attempt Log'!$B$2:$B$101,A113,'Attempt Log'!$N$2:$N$101,"Yes")/COUNTIFS('Attempt Log'!$B$2:$B$101,A113,'Attempt Log'!$N$2:$N$101,"Yes"),0)</f>
        <v>0</v>
      </c>
    </row>
    <row r="114" spans="1:33">
      <c r="A114" t="s">
        <v>667</v>
      </c>
      <c r="B114" t="s">
        <v>668</v>
      </c>
      <c r="C114" t="s">
        <v>669</v>
      </c>
      <c r="D114" t="s">
        <v>149</v>
      </c>
      <c r="E114" t="s">
        <v>150</v>
      </c>
      <c r="F114" t="s">
        <v>244</v>
      </c>
      <c r="G114" t="s">
        <v>257</v>
      </c>
      <c r="H114" t="s">
        <v>538</v>
      </c>
      <c r="I114" t="s">
        <v>539</v>
      </c>
      <c r="J114" t="s">
        <v>613</v>
      </c>
      <c r="K114" t="s">
        <v>140</v>
      </c>
      <c r="L114" t="s">
        <v>141</v>
      </c>
      <c r="M114">
        <v>550</v>
      </c>
      <c r="N114" t="s">
        <v>247</v>
      </c>
      <c r="O114" t="s">
        <v>11</v>
      </c>
      <c r="P114" t="s">
        <v>143</v>
      </c>
      <c r="Q114" t="s">
        <v>3091</v>
      </c>
      <c r="R114" t="s">
        <v>3253</v>
      </c>
      <c r="S114" t="s">
        <v>3415</v>
      </c>
      <c r="T114">
        <v>1</v>
      </c>
      <c r="U114">
        <v>2</v>
      </c>
      <c r="V114">
        <v>1</v>
      </c>
      <c r="W114">
        <v>1</v>
      </c>
      <c r="X114">
        <v>0</v>
      </c>
      <c r="Y114" t="s">
        <v>154</v>
      </c>
      <c r="Z114" t="s">
        <v>670</v>
      </c>
      <c r="AA114" t="s">
        <v>7</v>
      </c>
      <c r="AB114" t="s">
        <v>8</v>
      </c>
      <c r="AC114" s="3">
        <f>T114*'Settings &amp; Rates'!$B$5+U114*'Settings &amp; Rates'!$B$6+V114*'Settings &amp; Rates'!$B$7+W114*'Settings &amp; Rates'!$B$8+X114*'Settings &amp; Rates'!$B$9</f>
        <v>55</v>
      </c>
      <c r="AD114" s="3">
        <f>SUMIF('Attempt Log'!$B$2:$B$101,A114,'Attempt Log'!$K$2:$K$101)</f>
        <v>0</v>
      </c>
      <c r="AE114" s="3">
        <f t="shared" si="1"/>
        <v>-55</v>
      </c>
      <c r="AF114">
        <f>COUNTIF('Attempt Log'!$B$2:$B$101,A114)</f>
        <v>0</v>
      </c>
      <c r="AG114">
        <f>IFERROR(SUMIFS('Attempt Log'!$U$2:$U$101,'Attempt Log'!$B$2:$B$101,A114,'Attempt Log'!$N$2:$N$101,"Yes")/COUNTIFS('Attempt Log'!$B$2:$B$101,A114,'Attempt Log'!$N$2:$N$101,"Yes"),0)</f>
        <v>0</v>
      </c>
    </row>
    <row r="115" spans="1:33">
      <c r="A115" t="s">
        <v>671</v>
      </c>
      <c r="B115" t="s">
        <v>672</v>
      </c>
      <c r="C115" t="s">
        <v>673</v>
      </c>
      <c r="D115" t="s">
        <v>149</v>
      </c>
      <c r="E115" t="s">
        <v>150</v>
      </c>
      <c r="F115" t="s">
        <v>151</v>
      </c>
      <c r="G115" t="s">
        <v>262</v>
      </c>
      <c r="H115" t="s">
        <v>538</v>
      </c>
      <c r="I115" t="s">
        <v>539</v>
      </c>
      <c r="J115" t="s">
        <v>613</v>
      </c>
      <c r="K115" t="s">
        <v>140</v>
      </c>
      <c r="L115" t="s">
        <v>141</v>
      </c>
      <c r="M115">
        <v>2500</v>
      </c>
      <c r="N115" t="s">
        <v>153</v>
      </c>
      <c r="O115" t="s">
        <v>11</v>
      </c>
      <c r="P115" t="s">
        <v>143</v>
      </c>
      <c r="Q115" t="s">
        <v>3100</v>
      </c>
      <c r="R115" t="s">
        <v>3262</v>
      </c>
      <c r="S115" t="s">
        <v>3424</v>
      </c>
      <c r="T115">
        <v>1</v>
      </c>
      <c r="U115">
        <v>2</v>
      </c>
      <c r="V115">
        <v>1</v>
      </c>
      <c r="W115">
        <v>1</v>
      </c>
      <c r="X115">
        <v>0</v>
      </c>
      <c r="Y115" t="s">
        <v>154</v>
      </c>
      <c r="Z115" t="s">
        <v>674</v>
      </c>
      <c r="AA115" t="s">
        <v>7</v>
      </c>
      <c r="AB115" t="s">
        <v>8</v>
      </c>
      <c r="AC115" s="3">
        <f>T115*'Settings &amp; Rates'!$B$5+U115*'Settings &amp; Rates'!$B$6+V115*'Settings &amp; Rates'!$B$7+W115*'Settings &amp; Rates'!$B$8+X115*'Settings &amp; Rates'!$B$9</f>
        <v>55</v>
      </c>
      <c r="AD115" s="3">
        <f>SUMIF('Attempt Log'!$B$2:$B$101,A115,'Attempt Log'!$K$2:$K$101)</f>
        <v>0</v>
      </c>
      <c r="AE115" s="3">
        <f t="shared" si="1"/>
        <v>-55</v>
      </c>
      <c r="AF115">
        <f>COUNTIF('Attempt Log'!$B$2:$B$101,A115)</f>
        <v>0</v>
      </c>
      <c r="AG115">
        <f>IFERROR(SUMIFS('Attempt Log'!$U$2:$U$101,'Attempt Log'!$B$2:$B$101,A115,'Attempt Log'!$N$2:$N$101,"Yes")/COUNTIFS('Attempt Log'!$B$2:$B$101,A115,'Attempt Log'!$N$2:$N$101,"Yes"),0)</f>
        <v>0</v>
      </c>
    </row>
    <row r="116" spans="1:33">
      <c r="A116" t="s">
        <v>675</v>
      </c>
      <c r="B116" t="s">
        <v>676</v>
      </c>
      <c r="C116" t="s">
        <v>677</v>
      </c>
      <c r="D116" t="s">
        <v>149</v>
      </c>
      <c r="E116" t="s">
        <v>150</v>
      </c>
      <c r="F116" t="s">
        <v>151</v>
      </c>
      <c r="G116" t="s">
        <v>267</v>
      </c>
      <c r="H116" t="s">
        <v>538</v>
      </c>
      <c r="I116" t="s">
        <v>539</v>
      </c>
      <c r="J116" t="s">
        <v>613</v>
      </c>
      <c r="K116" t="s">
        <v>140</v>
      </c>
      <c r="L116" t="s">
        <v>141</v>
      </c>
      <c r="M116">
        <v>2400</v>
      </c>
      <c r="N116" t="s">
        <v>153</v>
      </c>
      <c r="O116" t="s">
        <v>11</v>
      </c>
      <c r="P116" t="s">
        <v>143</v>
      </c>
      <c r="Q116" t="s">
        <v>3109</v>
      </c>
      <c r="R116" t="s">
        <v>3271</v>
      </c>
      <c r="S116" t="s">
        <v>3433</v>
      </c>
      <c r="T116">
        <v>1</v>
      </c>
      <c r="U116">
        <v>2</v>
      </c>
      <c r="V116">
        <v>1</v>
      </c>
      <c r="W116">
        <v>1</v>
      </c>
      <c r="X116">
        <v>0</v>
      </c>
      <c r="Y116" t="s">
        <v>154</v>
      </c>
      <c r="Z116" t="s">
        <v>678</v>
      </c>
      <c r="AA116" t="s">
        <v>7</v>
      </c>
      <c r="AB116" t="s">
        <v>8</v>
      </c>
      <c r="AC116" s="3">
        <f>T116*'Settings &amp; Rates'!$B$5+U116*'Settings &amp; Rates'!$B$6+V116*'Settings &amp; Rates'!$B$7+W116*'Settings &amp; Rates'!$B$8+X116*'Settings &amp; Rates'!$B$9</f>
        <v>55</v>
      </c>
      <c r="AD116" s="3">
        <f>SUMIF('Attempt Log'!$B$2:$B$101,A116,'Attempt Log'!$K$2:$K$101)</f>
        <v>0</v>
      </c>
      <c r="AE116" s="3">
        <f t="shared" si="1"/>
        <v>-55</v>
      </c>
      <c r="AF116">
        <f>COUNTIF('Attempt Log'!$B$2:$B$101,A116)</f>
        <v>0</v>
      </c>
      <c r="AG116">
        <f>IFERROR(SUMIFS('Attempt Log'!$U$2:$U$101,'Attempt Log'!$B$2:$B$101,A116,'Attempt Log'!$N$2:$N$101,"Yes")/COUNTIFS('Attempt Log'!$B$2:$B$101,A116,'Attempt Log'!$N$2:$N$101,"Yes"),0)</f>
        <v>0</v>
      </c>
    </row>
    <row r="117" spans="1:33">
      <c r="A117" t="s">
        <v>679</v>
      </c>
      <c r="B117" t="s">
        <v>680</v>
      </c>
      <c r="C117" t="s">
        <v>681</v>
      </c>
      <c r="D117" t="s">
        <v>149</v>
      </c>
      <c r="E117" t="s">
        <v>150</v>
      </c>
      <c r="F117" t="s">
        <v>151</v>
      </c>
      <c r="G117" t="s">
        <v>152</v>
      </c>
      <c r="H117" t="s">
        <v>538</v>
      </c>
      <c r="I117" t="s">
        <v>539</v>
      </c>
      <c r="J117" t="s">
        <v>613</v>
      </c>
      <c r="K117" t="s">
        <v>140</v>
      </c>
      <c r="L117" t="s">
        <v>141</v>
      </c>
      <c r="M117">
        <v>2000</v>
      </c>
      <c r="N117" t="s">
        <v>153</v>
      </c>
      <c r="O117" t="s">
        <v>11</v>
      </c>
      <c r="P117" t="s">
        <v>143</v>
      </c>
      <c r="Q117" t="s">
        <v>3118</v>
      </c>
      <c r="R117" t="s">
        <v>3280</v>
      </c>
      <c r="S117" t="s">
        <v>3442</v>
      </c>
      <c r="T117">
        <v>1</v>
      </c>
      <c r="U117">
        <v>2</v>
      </c>
      <c r="V117">
        <v>1</v>
      </c>
      <c r="W117">
        <v>1</v>
      </c>
      <c r="X117">
        <v>0</v>
      </c>
      <c r="Y117" t="s">
        <v>154</v>
      </c>
      <c r="Z117" t="s">
        <v>682</v>
      </c>
      <c r="AA117" t="s">
        <v>7</v>
      </c>
      <c r="AB117" t="s">
        <v>8</v>
      </c>
      <c r="AC117" s="3">
        <f>T117*'Settings &amp; Rates'!$B$5+U117*'Settings &amp; Rates'!$B$6+V117*'Settings &amp; Rates'!$B$7+W117*'Settings &amp; Rates'!$B$8+X117*'Settings &amp; Rates'!$B$9</f>
        <v>55</v>
      </c>
      <c r="AD117" s="3">
        <f>SUMIF('Attempt Log'!$B$2:$B$101,A117,'Attempt Log'!$K$2:$K$101)</f>
        <v>0</v>
      </c>
      <c r="AE117" s="3">
        <f t="shared" si="1"/>
        <v>-55</v>
      </c>
      <c r="AF117">
        <f>COUNTIF('Attempt Log'!$B$2:$B$101,A117)</f>
        <v>0</v>
      </c>
      <c r="AG117">
        <f>IFERROR(SUMIFS('Attempt Log'!$U$2:$U$101,'Attempt Log'!$B$2:$B$101,A117,'Attempt Log'!$N$2:$N$101,"Yes")/COUNTIFS('Attempt Log'!$B$2:$B$101,A117,'Attempt Log'!$N$2:$N$101,"Yes"),0)</f>
        <v>0</v>
      </c>
    </row>
    <row r="118" spans="1:33">
      <c r="A118" t="s">
        <v>683</v>
      </c>
      <c r="B118" t="s">
        <v>684</v>
      </c>
      <c r="C118" t="s">
        <v>685</v>
      </c>
      <c r="D118" t="s">
        <v>149</v>
      </c>
      <c r="E118" t="s">
        <v>150</v>
      </c>
      <c r="F118" t="s">
        <v>244</v>
      </c>
      <c r="G118" t="s">
        <v>245</v>
      </c>
      <c r="H118" t="s">
        <v>538</v>
      </c>
      <c r="I118" t="s">
        <v>539</v>
      </c>
      <c r="J118" t="s">
        <v>686</v>
      </c>
      <c r="K118" t="s">
        <v>140</v>
      </c>
      <c r="L118" t="s">
        <v>141</v>
      </c>
      <c r="M118">
        <v>900</v>
      </c>
      <c r="N118" t="s">
        <v>247</v>
      </c>
      <c r="O118" t="s">
        <v>11</v>
      </c>
      <c r="P118" t="s">
        <v>143</v>
      </c>
      <c r="Q118" t="s">
        <v>2966</v>
      </c>
      <c r="R118" t="s">
        <v>3128</v>
      </c>
      <c r="S118" t="s">
        <v>3290</v>
      </c>
      <c r="T118">
        <v>1</v>
      </c>
      <c r="U118">
        <v>2</v>
      </c>
      <c r="V118">
        <v>1</v>
      </c>
      <c r="W118">
        <v>1</v>
      </c>
      <c r="X118">
        <v>0</v>
      </c>
      <c r="Y118" t="s">
        <v>154</v>
      </c>
      <c r="Z118" t="s">
        <v>687</v>
      </c>
      <c r="AA118" t="s">
        <v>7</v>
      </c>
      <c r="AB118" t="s">
        <v>8</v>
      </c>
      <c r="AC118" s="3">
        <f>T118*'Settings &amp; Rates'!$B$5+U118*'Settings &amp; Rates'!$B$6+V118*'Settings &amp; Rates'!$B$7+W118*'Settings &amp; Rates'!$B$8+X118*'Settings &amp; Rates'!$B$9</f>
        <v>55</v>
      </c>
      <c r="AD118" s="3">
        <f>SUMIF('Attempt Log'!$B$2:$B$101,A118,'Attempt Log'!$K$2:$K$101)</f>
        <v>0</v>
      </c>
      <c r="AE118" s="3">
        <f t="shared" si="1"/>
        <v>-55</v>
      </c>
      <c r="AF118">
        <f>COUNTIF('Attempt Log'!$B$2:$B$101,A118)</f>
        <v>0</v>
      </c>
      <c r="AG118">
        <f>IFERROR(SUMIFS('Attempt Log'!$U$2:$U$101,'Attempt Log'!$B$2:$B$101,A118,'Attempt Log'!$N$2:$N$101,"Yes")/COUNTIFS('Attempt Log'!$B$2:$B$101,A118,'Attempt Log'!$N$2:$N$101,"Yes"),0)</f>
        <v>0</v>
      </c>
    </row>
    <row r="119" spans="1:33">
      <c r="A119" t="s">
        <v>688</v>
      </c>
      <c r="B119" t="s">
        <v>689</v>
      </c>
      <c r="C119" t="s">
        <v>690</v>
      </c>
      <c r="D119" t="s">
        <v>149</v>
      </c>
      <c r="E119" t="s">
        <v>150</v>
      </c>
      <c r="F119" t="s">
        <v>272</v>
      </c>
      <c r="G119" t="s">
        <v>273</v>
      </c>
      <c r="H119" t="s">
        <v>538</v>
      </c>
      <c r="I119" t="s">
        <v>539</v>
      </c>
      <c r="J119" t="s">
        <v>686</v>
      </c>
      <c r="K119" t="s">
        <v>129</v>
      </c>
      <c r="L119" t="s">
        <v>17</v>
      </c>
      <c r="M119">
        <v>1450</v>
      </c>
      <c r="N119" t="s">
        <v>153</v>
      </c>
      <c r="O119" t="s">
        <v>11</v>
      </c>
      <c r="P119" t="s">
        <v>143</v>
      </c>
      <c r="Q119" t="s">
        <v>2975</v>
      </c>
      <c r="R119" t="s">
        <v>3137</v>
      </c>
      <c r="S119" t="s">
        <v>3299</v>
      </c>
      <c r="T119">
        <v>2</v>
      </c>
      <c r="U119">
        <v>2</v>
      </c>
      <c r="V119">
        <v>1</v>
      </c>
      <c r="W119">
        <v>1</v>
      </c>
      <c r="X119">
        <v>0</v>
      </c>
      <c r="Y119" t="s">
        <v>154</v>
      </c>
      <c r="Z119" t="s">
        <v>691</v>
      </c>
      <c r="AA119" t="s">
        <v>7</v>
      </c>
      <c r="AB119" t="s">
        <v>8</v>
      </c>
      <c r="AC119" s="3">
        <f>T119*'Settings &amp; Rates'!$B$5+U119*'Settings &amp; Rates'!$B$6+V119*'Settings &amp; Rates'!$B$7+W119*'Settings &amp; Rates'!$B$8+X119*'Settings &amp; Rates'!$B$9</f>
        <v>55</v>
      </c>
      <c r="AD119" s="3">
        <f>SUMIF('Attempt Log'!$B$2:$B$101,A119,'Attempt Log'!$K$2:$K$101)</f>
        <v>0</v>
      </c>
      <c r="AE119" s="3">
        <f t="shared" si="1"/>
        <v>-55</v>
      </c>
      <c r="AF119">
        <f>COUNTIF('Attempt Log'!$B$2:$B$101,A119)</f>
        <v>0</v>
      </c>
      <c r="AG119">
        <f>IFERROR(SUMIFS('Attempt Log'!$U$2:$U$101,'Attempt Log'!$B$2:$B$101,A119,'Attempt Log'!$N$2:$N$101,"Yes")/COUNTIFS('Attempt Log'!$B$2:$B$101,A119,'Attempt Log'!$N$2:$N$101,"Yes"),0)</f>
        <v>0</v>
      </c>
    </row>
    <row r="120" spans="1:33">
      <c r="A120" t="s">
        <v>692</v>
      </c>
      <c r="B120" t="s">
        <v>693</v>
      </c>
      <c r="C120" t="s">
        <v>694</v>
      </c>
      <c r="D120" t="s">
        <v>149</v>
      </c>
      <c r="E120" t="s">
        <v>150</v>
      </c>
      <c r="F120" t="s">
        <v>272</v>
      </c>
      <c r="G120" t="s">
        <v>279</v>
      </c>
      <c r="H120" t="s">
        <v>538</v>
      </c>
      <c r="I120" t="s">
        <v>539</v>
      </c>
      <c r="J120" t="s">
        <v>686</v>
      </c>
      <c r="K120" t="s">
        <v>129</v>
      </c>
      <c r="L120" t="s">
        <v>17</v>
      </c>
      <c r="M120">
        <v>1200</v>
      </c>
      <c r="N120" t="s">
        <v>153</v>
      </c>
      <c r="O120" t="s">
        <v>11</v>
      </c>
      <c r="P120" t="s">
        <v>143</v>
      </c>
      <c r="Q120" t="s">
        <v>2984</v>
      </c>
      <c r="R120" t="s">
        <v>3146</v>
      </c>
      <c r="S120" t="s">
        <v>3308</v>
      </c>
      <c r="T120">
        <v>2</v>
      </c>
      <c r="U120">
        <v>2</v>
      </c>
      <c r="V120">
        <v>1</v>
      </c>
      <c r="W120">
        <v>1</v>
      </c>
      <c r="X120">
        <v>0</v>
      </c>
      <c r="Y120" t="s">
        <v>154</v>
      </c>
      <c r="Z120" t="s">
        <v>695</v>
      </c>
      <c r="AA120" t="s">
        <v>7</v>
      </c>
      <c r="AB120" t="s">
        <v>8</v>
      </c>
      <c r="AC120" s="3">
        <f>T120*'Settings &amp; Rates'!$B$5+U120*'Settings &amp; Rates'!$B$6+V120*'Settings &amp; Rates'!$B$7+W120*'Settings &amp; Rates'!$B$8+X120*'Settings &amp; Rates'!$B$9</f>
        <v>55</v>
      </c>
      <c r="AD120" s="3">
        <f>SUMIF('Attempt Log'!$B$2:$B$101,A120,'Attempt Log'!$K$2:$K$101)</f>
        <v>0</v>
      </c>
      <c r="AE120" s="3">
        <f t="shared" si="1"/>
        <v>-55</v>
      </c>
      <c r="AF120">
        <f>COUNTIF('Attempt Log'!$B$2:$B$101,A120)</f>
        <v>0</v>
      </c>
      <c r="AG120">
        <f>IFERROR(SUMIFS('Attempt Log'!$U$2:$U$101,'Attempt Log'!$B$2:$B$101,A120,'Attempt Log'!$N$2:$N$101,"Yes")/COUNTIFS('Attempt Log'!$B$2:$B$101,A120,'Attempt Log'!$N$2:$N$101,"Yes"),0)</f>
        <v>0</v>
      </c>
    </row>
    <row r="121" spans="1:33">
      <c r="A121" t="s">
        <v>696</v>
      </c>
      <c r="B121" t="s">
        <v>697</v>
      </c>
      <c r="C121" t="s">
        <v>698</v>
      </c>
      <c r="D121" t="s">
        <v>149</v>
      </c>
      <c r="E121" t="s">
        <v>150</v>
      </c>
      <c r="F121" t="s">
        <v>272</v>
      </c>
      <c r="G121" t="s">
        <v>284</v>
      </c>
      <c r="H121" t="s">
        <v>538</v>
      </c>
      <c r="I121" t="s">
        <v>539</v>
      </c>
      <c r="J121" t="s">
        <v>686</v>
      </c>
      <c r="K121" t="s">
        <v>129</v>
      </c>
      <c r="L121" t="s">
        <v>17</v>
      </c>
      <c r="M121">
        <v>1500</v>
      </c>
      <c r="N121" t="s">
        <v>153</v>
      </c>
      <c r="O121" t="s">
        <v>11</v>
      </c>
      <c r="P121" t="s">
        <v>143</v>
      </c>
      <c r="Q121" t="s">
        <v>2993</v>
      </c>
      <c r="R121" t="s">
        <v>3155</v>
      </c>
      <c r="S121" t="s">
        <v>3317</v>
      </c>
      <c r="T121">
        <v>2</v>
      </c>
      <c r="U121">
        <v>2</v>
      </c>
      <c r="V121">
        <v>1</v>
      </c>
      <c r="W121">
        <v>1</v>
      </c>
      <c r="X121">
        <v>0</v>
      </c>
      <c r="Y121" t="s">
        <v>154</v>
      </c>
      <c r="Z121" t="s">
        <v>699</v>
      </c>
      <c r="AA121" t="s">
        <v>7</v>
      </c>
      <c r="AB121" t="s">
        <v>8</v>
      </c>
      <c r="AC121" s="3">
        <f>T121*'Settings &amp; Rates'!$B$5+U121*'Settings &amp; Rates'!$B$6+V121*'Settings &amp; Rates'!$B$7+W121*'Settings &amp; Rates'!$B$8+X121*'Settings &amp; Rates'!$B$9</f>
        <v>55</v>
      </c>
      <c r="AD121" s="3">
        <f>SUMIF('Attempt Log'!$B$2:$B$101,A121,'Attempt Log'!$K$2:$K$101)</f>
        <v>0</v>
      </c>
      <c r="AE121" s="3">
        <f t="shared" si="1"/>
        <v>-55</v>
      </c>
      <c r="AF121">
        <f>COUNTIF('Attempt Log'!$B$2:$B$101,A121)</f>
        <v>0</v>
      </c>
      <c r="AG121">
        <f>IFERROR(SUMIFS('Attempt Log'!$U$2:$U$101,'Attempt Log'!$B$2:$B$101,A121,'Attempt Log'!$N$2:$N$101,"Yes")/COUNTIFS('Attempt Log'!$B$2:$B$101,A121,'Attempt Log'!$N$2:$N$101,"Yes"),0)</f>
        <v>0</v>
      </c>
    </row>
    <row r="122" spans="1:33">
      <c r="A122" t="s">
        <v>700</v>
      </c>
      <c r="B122" t="s">
        <v>701</v>
      </c>
      <c r="C122" t="s">
        <v>702</v>
      </c>
      <c r="D122" t="s">
        <v>149</v>
      </c>
      <c r="E122" t="s">
        <v>150</v>
      </c>
      <c r="F122" t="s">
        <v>272</v>
      </c>
      <c r="G122" t="s">
        <v>289</v>
      </c>
      <c r="H122" t="s">
        <v>538</v>
      </c>
      <c r="I122" t="s">
        <v>539</v>
      </c>
      <c r="J122" t="s">
        <v>686</v>
      </c>
      <c r="K122" t="s">
        <v>129</v>
      </c>
      <c r="L122" t="s">
        <v>17</v>
      </c>
      <c r="M122">
        <v>3350</v>
      </c>
      <c r="N122" t="s">
        <v>153</v>
      </c>
      <c r="O122" t="s">
        <v>11</v>
      </c>
      <c r="P122" t="s">
        <v>143</v>
      </c>
      <c r="Q122" t="s">
        <v>3002</v>
      </c>
      <c r="R122" t="s">
        <v>3164</v>
      </c>
      <c r="S122" t="s">
        <v>3326</v>
      </c>
      <c r="T122">
        <v>2</v>
      </c>
      <c r="U122">
        <v>2</v>
      </c>
      <c r="V122">
        <v>1</v>
      </c>
      <c r="W122">
        <v>1</v>
      </c>
      <c r="X122">
        <v>0</v>
      </c>
      <c r="Y122" t="s">
        <v>154</v>
      </c>
      <c r="Z122" t="s">
        <v>703</v>
      </c>
      <c r="AA122" t="s">
        <v>7</v>
      </c>
      <c r="AB122" t="s">
        <v>8</v>
      </c>
      <c r="AC122" s="3">
        <f>T122*'Settings &amp; Rates'!$B$5+U122*'Settings &amp; Rates'!$B$6+V122*'Settings &amp; Rates'!$B$7+W122*'Settings &amp; Rates'!$B$8+X122*'Settings &amp; Rates'!$B$9</f>
        <v>55</v>
      </c>
      <c r="AD122" s="3">
        <f>SUMIF('Attempt Log'!$B$2:$B$101,A122,'Attempt Log'!$K$2:$K$101)</f>
        <v>0</v>
      </c>
      <c r="AE122" s="3">
        <f t="shared" si="1"/>
        <v>-55</v>
      </c>
      <c r="AF122">
        <f>COUNTIF('Attempt Log'!$B$2:$B$101,A122)</f>
        <v>0</v>
      </c>
      <c r="AG122">
        <f>IFERROR(SUMIFS('Attempt Log'!$U$2:$U$101,'Attempt Log'!$B$2:$B$101,A122,'Attempt Log'!$N$2:$N$101,"Yes")/COUNTIFS('Attempt Log'!$B$2:$B$101,A122,'Attempt Log'!$N$2:$N$101,"Yes"),0)</f>
        <v>0</v>
      </c>
    </row>
    <row r="123" spans="1:33">
      <c r="A123" t="s">
        <v>704</v>
      </c>
      <c r="B123" t="s">
        <v>705</v>
      </c>
      <c r="C123" t="s">
        <v>706</v>
      </c>
      <c r="D123" t="s">
        <v>149</v>
      </c>
      <c r="E123" t="s">
        <v>150</v>
      </c>
      <c r="F123" t="s">
        <v>294</v>
      </c>
      <c r="G123" t="s">
        <v>295</v>
      </c>
      <c r="H123" t="s">
        <v>538</v>
      </c>
      <c r="I123" t="s">
        <v>539</v>
      </c>
      <c r="J123" t="s">
        <v>686</v>
      </c>
      <c r="K123" t="s">
        <v>129</v>
      </c>
      <c r="L123" t="s">
        <v>17</v>
      </c>
      <c r="M123">
        <v>1750</v>
      </c>
      <c r="N123" t="s">
        <v>153</v>
      </c>
      <c r="O123" t="s">
        <v>11</v>
      </c>
      <c r="P123" t="s">
        <v>143</v>
      </c>
      <c r="Q123" t="s">
        <v>3011</v>
      </c>
      <c r="R123" t="s">
        <v>3173</v>
      </c>
      <c r="S123" t="s">
        <v>3335</v>
      </c>
      <c r="T123">
        <v>2</v>
      </c>
      <c r="U123">
        <v>2</v>
      </c>
      <c r="V123">
        <v>1</v>
      </c>
      <c r="W123">
        <v>1</v>
      </c>
      <c r="X123">
        <v>0</v>
      </c>
      <c r="Y123" t="s">
        <v>154</v>
      </c>
      <c r="Z123" t="s">
        <v>707</v>
      </c>
      <c r="AA123" t="s">
        <v>7</v>
      </c>
      <c r="AB123" t="s">
        <v>8</v>
      </c>
      <c r="AC123" s="3">
        <f>T123*'Settings &amp; Rates'!$B$5+U123*'Settings &amp; Rates'!$B$6+V123*'Settings &amp; Rates'!$B$7+W123*'Settings &amp; Rates'!$B$8+X123*'Settings &amp; Rates'!$B$9</f>
        <v>55</v>
      </c>
      <c r="AD123" s="3">
        <f>SUMIF('Attempt Log'!$B$2:$B$101,A123,'Attempt Log'!$K$2:$K$101)</f>
        <v>0</v>
      </c>
      <c r="AE123" s="3">
        <f t="shared" si="1"/>
        <v>-55</v>
      </c>
      <c r="AF123">
        <f>COUNTIF('Attempt Log'!$B$2:$B$101,A123)</f>
        <v>0</v>
      </c>
      <c r="AG123">
        <f>IFERROR(SUMIFS('Attempt Log'!$U$2:$U$101,'Attempt Log'!$B$2:$B$101,A123,'Attempt Log'!$N$2:$N$101,"Yes")/COUNTIFS('Attempt Log'!$B$2:$B$101,A123,'Attempt Log'!$N$2:$N$101,"Yes"),0)</f>
        <v>0</v>
      </c>
    </row>
    <row r="124" spans="1:33">
      <c r="A124" t="s">
        <v>708</v>
      </c>
      <c r="B124" t="s">
        <v>709</v>
      </c>
      <c r="C124" t="s">
        <v>710</v>
      </c>
      <c r="D124" t="s">
        <v>149</v>
      </c>
      <c r="E124" t="s">
        <v>150</v>
      </c>
      <c r="F124" t="s">
        <v>294</v>
      </c>
      <c r="G124" t="s">
        <v>300</v>
      </c>
      <c r="H124" t="s">
        <v>538</v>
      </c>
      <c r="I124" t="s">
        <v>539</v>
      </c>
      <c r="J124" t="s">
        <v>686</v>
      </c>
      <c r="K124" t="s">
        <v>129</v>
      </c>
      <c r="L124" t="s">
        <v>17</v>
      </c>
      <c r="M124">
        <v>3750</v>
      </c>
      <c r="N124" t="s">
        <v>153</v>
      </c>
      <c r="O124" t="s">
        <v>11</v>
      </c>
      <c r="P124" t="s">
        <v>143</v>
      </c>
      <c r="Q124" t="s">
        <v>3020</v>
      </c>
      <c r="R124" t="s">
        <v>3182</v>
      </c>
      <c r="S124" t="s">
        <v>3344</v>
      </c>
      <c r="T124">
        <v>2</v>
      </c>
      <c r="U124">
        <v>2</v>
      </c>
      <c r="V124">
        <v>1</v>
      </c>
      <c r="W124">
        <v>1</v>
      </c>
      <c r="X124">
        <v>0</v>
      </c>
      <c r="Y124" t="s">
        <v>154</v>
      </c>
      <c r="Z124" t="s">
        <v>711</v>
      </c>
      <c r="AA124" t="s">
        <v>7</v>
      </c>
      <c r="AB124" t="s">
        <v>8</v>
      </c>
      <c r="AC124" s="3">
        <f>T124*'Settings &amp; Rates'!$B$5+U124*'Settings &amp; Rates'!$B$6+V124*'Settings &amp; Rates'!$B$7+W124*'Settings &amp; Rates'!$B$8+X124*'Settings &amp; Rates'!$B$9</f>
        <v>55</v>
      </c>
      <c r="AD124" s="3">
        <f>SUMIF('Attempt Log'!$B$2:$B$101,A124,'Attempt Log'!$K$2:$K$101)</f>
        <v>0</v>
      </c>
      <c r="AE124" s="3">
        <f t="shared" si="1"/>
        <v>-55</v>
      </c>
      <c r="AF124">
        <f>COUNTIF('Attempt Log'!$B$2:$B$101,A124)</f>
        <v>0</v>
      </c>
      <c r="AG124">
        <f>IFERROR(SUMIFS('Attempt Log'!$U$2:$U$101,'Attempt Log'!$B$2:$B$101,A124,'Attempt Log'!$N$2:$N$101,"Yes")/COUNTIFS('Attempt Log'!$B$2:$B$101,A124,'Attempt Log'!$N$2:$N$101,"Yes"),0)</f>
        <v>0</v>
      </c>
    </row>
    <row r="125" spans="1:33">
      <c r="A125" t="s">
        <v>712</v>
      </c>
      <c r="B125" t="s">
        <v>713</v>
      </c>
      <c r="C125" t="s">
        <v>714</v>
      </c>
      <c r="D125" t="s">
        <v>149</v>
      </c>
      <c r="E125" t="s">
        <v>150</v>
      </c>
      <c r="F125" t="s">
        <v>294</v>
      </c>
      <c r="G125" t="s">
        <v>305</v>
      </c>
      <c r="H125" t="s">
        <v>538</v>
      </c>
      <c r="I125" t="s">
        <v>539</v>
      </c>
      <c r="J125" t="s">
        <v>686</v>
      </c>
      <c r="K125" t="s">
        <v>129</v>
      </c>
      <c r="L125" t="s">
        <v>17</v>
      </c>
      <c r="M125">
        <v>1550</v>
      </c>
      <c r="N125" t="s">
        <v>153</v>
      </c>
      <c r="O125" t="s">
        <v>11</v>
      </c>
      <c r="P125" t="s">
        <v>143</v>
      </c>
      <c r="Q125" t="s">
        <v>3029</v>
      </c>
      <c r="R125" t="s">
        <v>3191</v>
      </c>
      <c r="S125" t="s">
        <v>3353</v>
      </c>
      <c r="T125">
        <v>2</v>
      </c>
      <c r="U125">
        <v>2</v>
      </c>
      <c r="V125">
        <v>1</v>
      </c>
      <c r="W125">
        <v>1</v>
      </c>
      <c r="X125">
        <v>0</v>
      </c>
      <c r="Y125" t="s">
        <v>154</v>
      </c>
      <c r="Z125" t="s">
        <v>715</v>
      </c>
      <c r="AA125" t="s">
        <v>7</v>
      </c>
      <c r="AB125" t="s">
        <v>8</v>
      </c>
      <c r="AC125" s="3">
        <f>T125*'Settings &amp; Rates'!$B$5+U125*'Settings &amp; Rates'!$B$6+V125*'Settings &amp; Rates'!$B$7+W125*'Settings &amp; Rates'!$B$8+X125*'Settings &amp; Rates'!$B$9</f>
        <v>55</v>
      </c>
      <c r="AD125" s="3">
        <f>SUMIF('Attempt Log'!$B$2:$B$101,A125,'Attempt Log'!$K$2:$K$101)</f>
        <v>0</v>
      </c>
      <c r="AE125" s="3">
        <f t="shared" si="1"/>
        <v>-55</v>
      </c>
      <c r="AF125">
        <f>COUNTIF('Attempt Log'!$B$2:$B$101,A125)</f>
        <v>0</v>
      </c>
      <c r="AG125">
        <f>IFERROR(SUMIFS('Attempt Log'!$U$2:$U$101,'Attempt Log'!$B$2:$B$101,A125,'Attempt Log'!$N$2:$N$101,"Yes")/COUNTIFS('Attempt Log'!$B$2:$B$101,A125,'Attempt Log'!$N$2:$N$101,"Yes"),0)</f>
        <v>0</v>
      </c>
    </row>
    <row r="126" spans="1:33">
      <c r="A126" t="s">
        <v>716</v>
      </c>
      <c r="B126" t="s">
        <v>717</v>
      </c>
      <c r="C126" t="s">
        <v>718</v>
      </c>
      <c r="D126" t="s">
        <v>149</v>
      </c>
      <c r="E126" t="s">
        <v>150</v>
      </c>
      <c r="F126" t="s">
        <v>294</v>
      </c>
      <c r="G126" t="s">
        <v>310</v>
      </c>
      <c r="H126" t="s">
        <v>538</v>
      </c>
      <c r="I126" t="s">
        <v>539</v>
      </c>
      <c r="J126" t="s">
        <v>686</v>
      </c>
      <c r="K126" t="s">
        <v>129</v>
      </c>
      <c r="L126" t="s">
        <v>17</v>
      </c>
      <c r="M126">
        <v>2200</v>
      </c>
      <c r="N126" t="s">
        <v>153</v>
      </c>
      <c r="O126" t="s">
        <v>11</v>
      </c>
      <c r="P126" t="s">
        <v>143</v>
      </c>
      <c r="Q126" t="s">
        <v>3038</v>
      </c>
      <c r="R126" t="s">
        <v>3200</v>
      </c>
      <c r="S126" t="s">
        <v>3362</v>
      </c>
      <c r="T126">
        <v>2</v>
      </c>
      <c r="U126">
        <v>2</v>
      </c>
      <c r="V126">
        <v>1</v>
      </c>
      <c r="W126">
        <v>1</v>
      </c>
      <c r="X126">
        <v>0</v>
      </c>
      <c r="Y126" t="s">
        <v>154</v>
      </c>
      <c r="Z126" t="s">
        <v>719</v>
      </c>
      <c r="AA126" t="s">
        <v>7</v>
      </c>
      <c r="AB126" t="s">
        <v>8</v>
      </c>
      <c r="AC126" s="3">
        <f>T126*'Settings &amp; Rates'!$B$5+U126*'Settings &amp; Rates'!$B$6+V126*'Settings &amp; Rates'!$B$7+W126*'Settings &amp; Rates'!$B$8+X126*'Settings &amp; Rates'!$B$9</f>
        <v>55</v>
      </c>
      <c r="AD126" s="3">
        <f>SUMIF('Attempt Log'!$B$2:$B$101,A126,'Attempt Log'!$K$2:$K$101)</f>
        <v>0</v>
      </c>
      <c r="AE126" s="3">
        <f t="shared" si="1"/>
        <v>-55</v>
      </c>
      <c r="AF126">
        <f>COUNTIF('Attempt Log'!$B$2:$B$101,A126)</f>
        <v>0</v>
      </c>
      <c r="AG126">
        <f>IFERROR(SUMIFS('Attempt Log'!$U$2:$U$101,'Attempt Log'!$B$2:$B$101,A126,'Attempt Log'!$N$2:$N$101,"Yes")/COUNTIFS('Attempt Log'!$B$2:$B$101,A126,'Attempt Log'!$N$2:$N$101,"Yes"),0)</f>
        <v>0</v>
      </c>
    </row>
    <row r="127" spans="1:33">
      <c r="A127" t="s">
        <v>720</v>
      </c>
      <c r="B127" t="s">
        <v>721</v>
      </c>
      <c r="C127" t="s">
        <v>722</v>
      </c>
      <c r="D127" t="s">
        <v>149</v>
      </c>
      <c r="E127" t="s">
        <v>150</v>
      </c>
      <c r="F127" t="s">
        <v>315</v>
      </c>
      <c r="G127" t="s">
        <v>316</v>
      </c>
      <c r="H127" t="s">
        <v>538</v>
      </c>
      <c r="I127" t="s">
        <v>539</v>
      </c>
      <c r="J127" t="s">
        <v>686</v>
      </c>
      <c r="K127" t="s">
        <v>129</v>
      </c>
      <c r="L127" t="s">
        <v>17</v>
      </c>
      <c r="M127">
        <v>1450</v>
      </c>
      <c r="N127" t="s">
        <v>153</v>
      </c>
      <c r="O127" t="s">
        <v>11</v>
      </c>
      <c r="P127" t="s">
        <v>143</v>
      </c>
      <c r="Q127" t="s">
        <v>3047</v>
      </c>
      <c r="R127" t="s">
        <v>3209</v>
      </c>
      <c r="S127" t="s">
        <v>3371</v>
      </c>
      <c r="T127">
        <v>2</v>
      </c>
      <c r="U127">
        <v>2</v>
      </c>
      <c r="V127">
        <v>1</v>
      </c>
      <c r="W127">
        <v>1</v>
      </c>
      <c r="X127">
        <v>0</v>
      </c>
      <c r="Y127" t="s">
        <v>154</v>
      </c>
      <c r="Z127" t="s">
        <v>723</v>
      </c>
      <c r="AA127" t="s">
        <v>7</v>
      </c>
      <c r="AB127" t="s">
        <v>8</v>
      </c>
      <c r="AC127" s="3">
        <f>T127*'Settings &amp; Rates'!$B$5+U127*'Settings &amp; Rates'!$B$6+V127*'Settings &amp; Rates'!$B$7+W127*'Settings &amp; Rates'!$B$8+X127*'Settings &amp; Rates'!$B$9</f>
        <v>55</v>
      </c>
      <c r="AD127" s="3">
        <f>SUMIF('Attempt Log'!$B$2:$B$101,A127,'Attempt Log'!$K$2:$K$101)</f>
        <v>0</v>
      </c>
      <c r="AE127" s="3">
        <f t="shared" si="1"/>
        <v>-55</v>
      </c>
      <c r="AF127">
        <f>COUNTIF('Attempt Log'!$B$2:$B$101,A127)</f>
        <v>0</v>
      </c>
      <c r="AG127">
        <f>IFERROR(SUMIFS('Attempt Log'!$U$2:$U$101,'Attempt Log'!$B$2:$B$101,A127,'Attempt Log'!$N$2:$N$101,"Yes")/COUNTIFS('Attempt Log'!$B$2:$B$101,A127,'Attempt Log'!$N$2:$N$101,"Yes"),0)</f>
        <v>0</v>
      </c>
    </row>
    <row r="128" spans="1:33">
      <c r="A128" t="s">
        <v>724</v>
      </c>
      <c r="B128" t="s">
        <v>725</v>
      </c>
      <c r="C128" t="s">
        <v>726</v>
      </c>
      <c r="D128" t="s">
        <v>149</v>
      </c>
      <c r="E128" t="s">
        <v>150</v>
      </c>
      <c r="F128" t="s">
        <v>315</v>
      </c>
      <c r="G128" t="s">
        <v>321</v>
      </c>
      <c r="H128" t="s">
        <v>538</v>
      </c>
      <c r="I128" t="s">
        <v>539</v>
      </c>
      <c r="J128" t="s">
        <v>686</v>
      </c>
      <c r="K128" t="s">
        <v>129</v>
      </c>
      <c r="L128" t="s">
        <v>17</v>
      </c>
      <c r="M128">
        <v>2800</v>
      </c>
      <c r="N128" t="s">
        <v>153</v>
      </c>
      <c r="O128" t="s">
        <v>11</v>
      </c>
      <c r="P128" t="s">
        <v>143</v>
      </c>
      <c r="Q128" t="s">
        <v>3056</v>
      </c>
      <c r="R128" t="s">
        <v>3218</v>
      </c>
      <c r="S128" t="s">
        <v>3380</v>
      </c>
      <c r="T128">
        <v>2</v>
      </c>
      <c r="U128">
        <v>2</v>
      </c>
      <c r="V128">
        <v>1</v>
      </c>
      <c r="W128">
        <v>1</v>
      </c>
      <c r="X128">
        <v>0</v>
      </c>
      <c r="Y128" t="s">
        <v>154</v>
      </c>
      <c r="Z128" t="s">
        <v>727</v>
      </c>
      <c r="AA128" t="s">
        <v>7</v>
      </c>
      <c r="AB128" t="s">
        <v>8</v>
      </c>
      <c r="AC128" s="3">
        <f>T128*'Settings &amp; Rates'!$B$5+U128*'Settings &amp; Rates'!$B$6+V128*'Settings &amp; Rates'!$B$7+W128*'Settings &amp; Rates'!$B$8+X128*'Settings &amp; Rates'!$B$9</f>
        <v>55</v>
      </c>
      <c r="AD128" s="3">
        <f>SUMIF('Attempt Log'!$B$2:$B$101,A128,'Attempt Log'!$K$2:$K$101)</f>
        <v>0</v>
      </c>
      <c r="AE128" s="3">
        <f t="shared" si="1"/>
        <v>-55</v>
      </c>
      <c r="AF128">
        <f>COUNTIF('Attempt Log'!$B$2:$B$101,A128)</f>
        <v>0</v>
      </c>
      <c r="AG128">
        <f>IFERROR(SUMIFS('Attempt Log'!$U$2:$U$101,'Attempt Log'!$B$2:$B$101,A128,'Attempt Log'!$N$2:$N$101,"Yes")/COUNTIFS('Attempt Log'!$B$2:$B$101,A128,'Attempt Log'!$N$2:$N$101,"Yes"),0)</f>
        <v>0</v>
      </c>
    </row>
    <row r="129" spans="1:33">
      <c r="A129" t="s">
        <v>728</v>
      </c>
      <c r="B129" t="s">
        <v>729</v>
      </c>
      <c r="C129" t="s">
        <v>730</v>
      </c>
      <c r="D129" t="s">
        <v>149</v>
      </c>
      <c r="E129" t="s">
        <v>150</v>
      </c>
      <c r="F129" t="s">
        <v>315</v>
      </c>
      <c r="G129" t="s">
        <v>326</v>
      </c>
      <c r="H129" t="s">
        <v>538</v>
      </c>
      <c r="I129" t="s">
        <v>539</v>
      </c>
      <c r="J129" t="s">
        <v>686</v>
      </c>
      <c r="K129" t="s">
        <v>129</v>
      </c>
      <c r="L129" t="s">
        <v>17</v>
      </c>
      <c r="M129">
        <v>1200</v>
      </c>
      <c r="N129" t="s">
        <v>153</v>
      </c>
      <c r="O129" t="s">
        <v>11</v>
      </c>
      <c r="P129" t="s">
        <v>143</v>
      </c>
      <c r="Q129" t="s">
        <v>3065</v>
      </c>
      <c r="R129" t="s">
        <v>3227</v>
      </c>
      <c r="S129" t="s">
        <v>3389</v>
      </c>
      <c r="T129">
        <v>2</v>
      </c>
      <c r="U129">
        <v>2</v>
      </c>
      <c r="V129">
        <v>1</v>
      </c>
      <c r="W129">
        <v>1</v>
      </c>
      <c r="X129">
        <v>0</v>
      </c>
      <c r="Y129" t="s">
        <v>154</v>
      </c>
      <c r="Z129" t="s">
        <v>731</v>
      </c>
      <c r="AA129" t="s">
        <v>7</v>
      </c>
      <c r="AB129" t="s">
        <v>8</v>
      </c>
      <c r="AC129" s="3">
        <f>T129*'Settings &amp; Rates'!$B$5+U129*'Settings &amp; Rates'!$B$6+V129*'Settings &amp; Rates'!$B$7+W129*'Settings &amp; Rates'!$B$8+X129*'Settings &amp; Rates'!$B$9</f>
        <v>55</v>
      </c>
      <c r="AD129" s="3">
        <f>SUMIF('Attempt Log'!$B$2:$B$101,A129,'Attempt Log'!$K$2:$K$101)</f>
        <v>0</v>
      </c>
      <c r="AE129" s="3">
        <f t="shared" si="1"/>
        <v>-55</v>
      </c>
      <c r="AF129">
        <f>COUNTIF('Attempt Log'!$B$2:$B$101,A129)</f>
        <v>0</v>
      </c>
      <c r="AG129">
        <f>IFERROR(SUMIFS('Attempt Log'!$U$2:$U$101,'Attempt Log'!$B$2:$B$101,A129,'Attempt Log'!$N$2:$N$101,"Yes")/COUNTIFS('Attempt Log'!$B$2:$B$101,A129,'Attempt Log'!$N$2:$N$101,"Yes"),0)</f>
        <v>0</v>
      </c>
    </row>
    <row r="130" spans="1:33">
      <c r="A130" t="s">
        <v>732</v>
      </c>
      <c r="B130" t="s">
        <v>733</v>
      </c>
      <c r="C130" t="s">
        <v>734</v>
      </c>
      <c r="D130" t="s">
        <v>149</v>
      </c>
      <c r="E130" t="s">
        <v>150</v>
      </c>
      <c r="F130" t="s">
        <v>315</v>
      </c>
      <c r="G130" t="s">
        <v>331</v>
      </c>
      <c r="H130" t="s">
        <v>538</v>
      </c>
      <c r="I130" t="s">
        <v>539</v>
      </c>
      <c r="J130" t="s">
        <v>686</v>
      </c>
      <c r="K130" t="s">
        <v>129</v>
      </c>
      <c r="L130" t="s">
        <v>17</v>
      </c>
      <c r="M130">
        <v>1450</v>
      </c>
      <c r="N130" t="s">
        <v>153</v>
      </c>
      <c r="O130" t="s">
        <v>11</v>
      </c>
      <c r="P130" t="s">
        <v>143</v>
      </c>
      <c r="Q130" t="s">
        <v>3074</v>
      </c>
      <c r="R130" t="s">
        <v>3236</v>
      </c>
      <c r="S130" t="s">
        <v>3398</v>
      </c>
      <c r="T130">
        <v>2</v>
      </c>
      <c r="U130">
        <v>2</v>
      </c>
      <c r="V130">
        <v>1</v>
      </c>
      <c r="W130">
        <v>1</v>
      </c>
      <c r="X130">
        <v>0</v>
      </c>
      <c r="Y130" t="s">
        <v>154</v>
      </c>
      <c r="Z130" t="s">
        <v>735</v>
      </c>
      <c r="AA130" t="s">
        <v>7</v>
      </c>
      <c r="AB130" t="s">
        <v>8</v>
      </c>
      <c r="AC130" s="3">
        <f>T130*'Settings &amp; Rates'!$B$5+U130*'Settings &amp; Rates'!$B$6+V130*'Settings &amp; Rates'!$B$7+W130*'Settings &amp; Rates'!$B$8+X130*'Settings &amp; Rates'!$B$9</f>
        <v>55</v>
      </c>
      <c r="AD130" s="3">
        <f>SUMIF('Attempt Log'!$B$2:$B$101,A130,'Attempt Log'!$K$2:$K$101)</f>
        <v>0</v>
      </c>
      <c r="AE130" s="3">
        <f t="shared" ref="AE130:AE193" si="2">AD130-AC130</f>
        <v>-55</v>
      </c>
      <c r="AF130">
        <f>COUNTIF('Attempt Log'!$B$2:$B$101,A130)</f>
        <v>0</v>
      </c>
      <c r="AG130">
        <f>IFERROR(SUMIFS('Attempt Log'!$U$2:$U$101,'Attempt Log'!$B$2:$B$101,A130,'Attempt Log'!$N$2:$N$101,"Yes")/COUNTIFS('Attempt Log'!$B$2:$B$101,A130,'Attempt Log'!$N$2:$N$101,"Yes"),0)</f>
        <v>0</v>
      </c>
    </row>
    <row r="131" spans="1:33">
      <c r="A131" t="s">
        <v>736</v>
      </c>
      <c r="B131" t="s">
        <v>737</v>
      </c>
      <c r="C131" t="s">
        <v>738</v>
      </c>
      <c r="D131" t="s">
        <v>149</v>
      </c>
      <c r="E131" t="s">
        <v>150</v>
      </c>
      <c r="F131" t="s">
        <v>151</v>
      </c>
      <c r="G131" t="s">
        <v>252</v>
      </c>
      <c r="H131" t="s">
        <v>538</v>
      </c>
      <c r="I131" t="s">
        <v>539</v>
      </c>
      <c r="J131" t="s">
        <v>686</v>
      </c>
      <c r="K131" t="s">
        <v>140</v>
      </c>
      <c r="L131" t="s">
        <v>141</v>
      </c>
      <c r="M131">
        <v>1700</v>
      </c>
      <c r="N131" t="s">
        <v>153</v>
      </c>
      <c r="O131" t="s">
        <v>11</v>
      </c>
      <c r="P131" t="s">
        <v>143</v>
      </c>
      <c r="Q131" t="s">
        <v>3083</v>
      </c>
      <c r="R131" t="s">
        <v>3245</v>
      </c>
      <c r="S131" t="s">
        <v>3407</v>
      </c>
      <c r="T131">
        <v>1</v>
      </c>
      <c r="U131">
        <v>2</v>
      </c>
      <c r="V131">
        <v>1</v>
      </c>
      <c r="W131">
        <v>1</v>
      </c>
      <c r="X131">
        <v>0</v>
      </c>
      <c r="Y131" t="s">
        <v>154</v>
      </c>
      <c r="Z131" t="s">
        <v>739</v>
      </c>
      <c r="AA131" t="s">
        <v>7</v>
      </c>
      <c r="AB131" t="s">
        <v>8</v>
      </c>
      <c r="AC131" s="3">
        <f>T131*'Settings &amp; Rates'!$B$5+U131*'Settings &amp; Rates'!$B$6+V131*'Settings &amp; Rates'!$B$7+W131*'Settings &amp; Rates'!$B$8+X131*'Settings &amp; Rates'!$B$9</f>
        <v>55</v>
      </c>
      <c r="AD131" s="3">
        <f>SUMIF('Attempt Log'!$B$2:$B$101,A131,'Attempt Log'!$K$2:$K$101)</f>
        <v>0</v>
      </c>
      <c r="AE131" s="3">
        <f t="shared" si="2"/>
        <v>-55</v>
      </c>
      <c r="AF131">
        <f>COUNTIF('Attempt Log'!$B$2:$B$101,A131)</f>
        <v>0</v>
      </c>
      <c r="AG131">
        <f>IFERROR(SUMIFS('Attempt Log'!$U$2:$U$101,'Attempt Log'!$B$2:$B$101,A131,'Attempt Log'!$N$2:$N$101,"Yes")/COUNTIFS('Attempt Log'!$B$2:$B$101,A131,'Attempt Log'!$N$2:$N$101,"Yes"),0)</f>
        <v>0</v>
      </c>
    </row>
    <row r="132" spans="1:33">
      <c r="A132" t="s">
        <v>740</v>
      </c>
      <c r="B132" t="s">
        <v>741</v>
      </c>
      <c r="C132" t="s">
        <v>742</v>
      </c>
      <c r="D132" t="s">
        <v>149</v>
      </c>
      <c r="E132" t="s">
        <v>150</v>
      </c>
      <c r="F132" t="s">
        <v>244</v>
      </c>
      <c r="G132" t="s">
        <v>257</v>
      </c>
      <c r="H132" t="s">
        <v>538</v>
      </c>
      <c r="I132" t="s">
        <v>539</v>
      </c>
      <c r="J132" t="s">
        <v>686</v>
      </c>
      <c r="K132" t="s">
        <v>140</v>
      </c>
      <c r="L132" t="s">
        <v>141</v>
      </c>
      <c r="M132">
        <v>550</v>
      </c>
      <c r="N132" t="s">
        <v>247</v>
      </c>
      <c r="O132" t="s">
        <v>11</v>
      </c>
      <c r="P132" t="s">
        <v>143</v>
      </c>
      <c r="Q132" t="s">
        <v>3092</v>
      </c>
      <c r="R132" t="s">
        <v>3254</v>
      </c>
      <c r="S132" t="s">
        <v>3416</v>
      </c>
      <c r="T132">
        <v>1</v>
      </c>
      <c r="U132">
        <v>2</v>
      </c>
      <c r="V132">
        <v>1</v>
      </c>
      <c r="W132">
        <v>1</v>
      </c>
      <c r="X132">
        <v>0</v>
      </c>
      <c r="Y132" t="s">
        <v>154</v>
      </c>
      <c r="Z132" t="s">
        <v>743</v>
      </c>
      <c r="AA132" t="s">
        <v>7</v>
      </c>
      <c r="AB132" t="s">
        <v>8</v>
      </c>
      <c r="AC132" s="3">
        <f>T132*'Settings &amp; Rates'!$B$5+U132*'Settings &amp; Rates'!$B$6+V132*'Settings &amp; Rates'!$B$7+W132*'Settings &amp; Rates'!$B$8+X132*'Settings &amp; Rates'!$B$9</f>
        <v>55</v>
      </c>
      <c r="AD132" s="3">
        <f>SUMIF('Attempt Log'!$B$2:$B$101,A132,'Attempt Log'!$K$2:$K$101)</f>
        <v>0</v>
      </c>
      <c r="AE132" s="3">
        <f t="shared" si="2"/>
        <v>-55</v>
      </c>
      <c r="AF132">
        <f>COUNTIF('Attempt Log'!$B$2:$B$101,A132)</f>
        <v>0</v>
      </c>
      <c r="AG132">
        <f>IFERROR(SUMIFS('Attempt Log'!$U$2:$U$101,'Attempt Log'!$B$2:$B$101,A132,'Attempt Log'!$N$2:$N$101,"Yes")/COUNTIFS('Attempt Log'!$B$2:$B$101,A132,'Attempt Log'!$N$2:$N$101,"Yes"),0)</f>
        <v>0</v>
      </c>
    </row>
    <row r="133" spans="1:33">
      <c r="A133" t="s">
        <v>744</v>
      </c>
      <c r="B133" t="s">
        <v>745</v>
      </c>
      <c r="C133" t="s">
        <v>746</v>
      </c>
      <c r="D133" t="s">
        <v>149</v>
      </c>
      <c r="E133" t="s">
        <v>150</v>
      </c>
      <c r="F133" t="s">
        <v>151</v>
      </c>
      <c r="G133" t="s">
        <v>262</v>
      </c>
      <c r="H133" t="s">
        <v>538</v>
      </c>
      <c r="I133" t="s">
        <v>539</v>
      </c>
      <c r="J133" t="s">
        <v>686</v>
      </c>
      <c r="K133" t="s">
        <v>140</v>
      </c>
      <c r="L133" t="s">
        <v>141</v>
      </c>
      <c r="M133">
        <v>2500</v>
      </c>
      <c r="N133" t="s">
        <v>153</v>
      </c>
      <c r="O133" t="s">
        <v>11</v>
      </c>
      <c r="P133" t="s">
        <v>143</v>
      </c>
      <c r="Q133" t="s">
        <v>3101</v>
      </c>
      <c r="R133" t="s">
        <v>3263</v>
      </c>
      <c r="S133" t="s">
        <v>3425</v>
      </c>
      <c r="T133">
        <v>1</v>
      </c>
      <c r="U133">
        <v>2</v>
      </c>
      <c r="V133">
        <v>1</v>
      </c>
      <c r="W133">
        <v>1</v>
      </c>
      <c r="X133">
        <v>0</v>
      </c>
      <c r="Y133" t="s">
        <v>154</v>
      </c>
      <c r="Z133" t="s">
        <v>747</v>
      </c>
      <c r="AA133" t="s">
        <v>7</v>
      </c>
      <c r="AB133" t="s">
        <v>8</v>
      </c>
      <c r="AC133" s="3">
        <f>T133*'Settings &amp; Rates'!$B$5+U133*'Settings &amp; Rates'!$B$6+V133*'Settings &amp; Rates'!$B$7+W133*'Settings &amp; Rates'!$B$8+X133*'Settings &amp; Rates'!$B$9</f>
        <v>55</v>
      </c>
      <c r="AD133" s="3">
        <f>SUMIF('Attempt Log'!$B$2:$B$101,A133,'Attempt Log'!$K$2:$K$101)</f>
        <v>0</v>
      </c>
      <c r="AE133" s="3">
        <f t="shared" si="2"/>
        <v>-55</v>
      </c>
      <c r="AF133">
        <f>COUNTIF('Attempt Log'!$B$2:$B$101,A133)</f>
        <v>0</v>
      </c>
      <c r="AG133">
        <f>IFERROR(SUMIFS('Attempt Log'!$U$2:$U$101,'Attempt Log'!$B$2:$B$101,A133,'Attempt Log'!$N$2:$N$101,"Yes")/COUNTIFS('Attempt Log'!$B$2:$B$101,A133,'Attempt Log'!$N$2:$N$101,"Yes"),0)</f>
        <v>0</v>
      </c>
    </row>
    <row r="134" spans="1:33">
      <c r="A134" t="s">
        <v>748</v>
      </c>
      <c r="B134" t="s">
        <v>749</v>
      </c>
      <c r="C134" t="s">
        <v>750</v>
      </c>
      <c r="D134" t="s">
        <v>149</v>
      </c>
      <c r="E134" t="s">
        <v>150</v>
      </c>
      <c r="F134" t="s">
        <v>151</v>
      </c>
      <c r="G134" t="s">
        <v>267</v>
      </c>
      <c r="H134" t="s">
        <v>538</v>
      </c>
      <c r="I134" t="s">
        <v>539</v>
      </c>
      <c r="J134" t="s">
        <v>686</v>
      </c>
      <c r="K134" t="s">
        <v>140</v>
      </c>
      <c r="L134" t="s">
        <v>141</v>
      </c>
      <c r="M134">
        <v>2400</v>
      </c>
      <c r="N134" t="s">
        <v>153</v>
      </c>
      <c r="O134" t="s">
        <v>11</v>
      </c>
      <c r="P134" t="s">
        <v>143</v>
      </c>
      <c r="Q134" t="s">
        <v>3110</v>
      </c>
      <c r="R134" t="s">
        <v>3272</v>
      </c>
      <c r="S134" t="s">
        <v>3434</v>
      </c>
      <c r="T134">
        <v>1</v>
      </c>
      <c r="U134">
        <v>2</v>
      </c>
      <c r="V134">
        <v>1</v>
      </c>
      <c r="W134">
        <v>1</v>
      </c>
      <c r="X134">
        <v>0</v>
      </c>
      <c r="Y134" t="s">
        <v>154</v>
      </c>
      <c r="Z134" t="s">
        <v>751</v>
      </c>
      <c r="AA134" t="s">
        <v>7</v>
      </c>
      <c r="AB134" t="s">
        <v>8</v>
      </c>
      <c r="AC134" s="3">
        <f>T134*'Settings &amp; Rates'!$B$5+U134*'Settings &amp; Rates'!$B$6+V134*'Settings &amp; Rates'!$B$7+W134*'Settings &amp; Rates'!$B$8+X134*'Settings &amp; Rates'!$B$9</f>
        <v>55</v>
      </c>
      <c r="AD134" s="3">
        <f>SUMIF('Attempt Log'!$B$2:$B$101,A134,'Attempt Log'!$K$2:$K$101)</f>
        <v>0</v>
      </c>
      <c r="AE134" s="3">
        <f t="shared" si="2"/>
        <v>-55</v>
      </c>
      <c r="AF134">
        <f>COUNTIF('Attempt Log'!$B$2:$B$101,A134)</f>
        <v>0</v>
      </c>
      <c r="AG134">
        <f>IFERROR(SUMIFS('Attempt Log'!$U$2:$U$101,'Attempt Log'!$B$2:$B$101,A134,'Attempt Log'!$N$2:$N$101,"Yes")/COUNTIFS('Attempt Log'!$B$2:$B$101,A134,'Attempt Log'!$N$2:$N$101,"Yes"),0)</f>
        <v>0</v>
      </c>
    </row>
    <row r="135" spans="1:33">
      <c r="A135" t="s">
        <v>752</v>
      </c>
      <c r="B135" t="s">
        <v>753</v>
      </c>
      <c r="C135" t="s">
        <v>754</v>
      </c>
      <c r="D135" t="s">
        <v>149</v>
      </c>
      <c r="E135" t="s">
        <v>150</v>
      </c>
      <c r="F135" t="s">
        <v>151</v>
      </c>
      <c r="G135" t="s">
        <v>152</v>
      </c>
      <c r="H135" t="s">
        <v>538</v>
      </c>
      <c r="I135" t="s">
        <v>539</v>
      </c>
      <c r="J135" t="s">
        <v>686</v>
      </c>
      <c r="K135" t="s">
        <v>140</v>
      </c>
      <c r="L135" t="s">
        <v>141</v>
      </c>
      <c r="M135">
        <v>2000</v>
      </c>
      <c r="N135" t="s">
        <v>153</v>
      </c>
      <c r="O135" t="s">
        <v>11</v>
      </c>
      <c r="P135" t="s">
        <v>143</v>
      </c>
      <c r="Q135" t="s">
        <v>3119</v>
      </c>
      <c r="R135" t="s">
        <v>3281</v>
      </c>
      <c r="S135" t="s">
        <v>3443</v>
      </c>
      <c r="T135">
        <v>1</v>
      </c>
      <c r="U135">
        <v>2</v>
      </c>
      <c r="V135">
        <v>1</v>
      </c>
      <c r="W135">
        <v>1</v>
      </c>
      <c r="X135">
        <v>0</v>
      </c>
      <c r="Y135" t="s">
        <v>154</v>
      </c>
      <c r="Z135" t="s">
        <v>755</v>
      </c>
      <c r="AA135" t="s">
        <v>7</v>
      </c>
      <c r="AB135" t="s">
        <v>8</v>
      </c>
      <c r="AC135" s="3">
        <f>T135*'Settings &amp; Rates'!$B$5+U135*'Settings &amp; Rates'!$B$6+V135*'Settings &amp; Rates'!$B$7+W135*'Settings &amp; Rates'!$B$8+X135*'Settings &amp; Rates'!$B$9</f>
        <v>55</v>
      </c>
      <c r="AD135" s="3">
        <f>SUMIF('Attempt Log'!$B$2:$B$101,A135,'Attempt Log'!$K$2:$K$101)</f>
        <v>0</v>
      </c>
      <c r="AE135" s="3">
        <f t="shared" si="2"/>
        <v>-55</v>
      </c>
      <c r="AF135">
        <f>COUNTIF('Attempt Log'!$B$2:$B$101,A135)</f>
        <v>0</v>
      </c>
      <c r="AG135">
        <f>IFERROR(SUMIFS('Attempt Log'!$U$2:$U$101,'Attempt Log'!$B$2:$B$101,A135,'Attempt Log'!$N$2:$N$101,"Yes")/COUNTIFS('Attempt Log'!$B$2:$B$101,A135,'Attempt Log'!$N$2:$N$101,"Yes"),0)</f>
        <v>0</v>
      </c>
    </row>
    <row r="136" spans="1:33">
      <c r="A136" t="s">
        <v>756</v>
      </c>
      <c r="B136" t="s">
        <v>757</v>
      </c>
      <c r="C136" t="s">
        <v>758</v>
      </c>
      <c r="D136" t="s">
        <v>149</v>
      </c>
      <c r="E136" t="s">
        <v>150</v>
      </c>
      <c r="F136" t="s">
        <v>244</v>
      </c>
      <c r="G136" t="s">
        <v>245</v>
      </c>
      <c r="H136" t="s">
        <v>538</v>
      </c>
      <c r="I136" t="s">
        <v>539</v>
      </c>
      <c r="J136" t="s">
        <v>759</v>
      </c>
      <c r="K136" t="s">
        <v>140</v>
      </c>
      <c r="L136" t="s">
        <v>141</v>
      </c>
      <c r="M136">
        <v>900</v>
      </c>
      <c r="N136" t="s">
        <v>247</v>
      </c>
      <c r="O136" t="s">
        <v>11</v>
      </c>
      <c r="P136" t="s">
        <v>143</v>
      </c>
      <c r="Q136" t="s">
        <v>2967</v>
      </c>
      <c r="R136" t="s">
        <v>3129</v>
      </c>
      <c r="S136" t="s">
        <v>3291</v>
      </c>
      <c r="T136">
        <v>1</v>
      </c>
      <c r="U136">
        <v>2</v>
      </c>
      <c r="V136">
        <v>1</v>
      </c>
      <c r="W136">
        <v>1</v>
      </c>
      <c r="X136">
        <v>0</v>
      </c>
      <c r="Y136" t="s">
        <v>154</v>
      </c>
      <c r="Z136" t="s">
        <v>760</v>
      </c>
      <c r="AA136" t="s">
        <v>7</v>
      </c>
      <c r="AB136" t="s">
        <v>8</v>
      </c>
      <c r="AC136" s="3">
        <f>T136*'Settings &amp; Rates'!$B$5+U136*'Settings &amp; Rates'!$B$6+V136*'Settings &amp; Rates'!$B$7+W136*'Settings &amp; Rates'!$B$8+X136*'Settings &amp; Rates'!$B$9</f>
        <v>55</v>
      </c>
      <c r="AD136" s="3">
        <f>SUMIF('Attempt Log'!$B$2:$B$101,A136,'Attempt Log'!$K$2:$K$101)</f>
        <v>0</v>
      </c>
      <c r="AE136" s="3">
        <f t="shared" si="2"/>
        <v>-55</v>
      </c>
      <c r="AF136">
        <f>COUNTIF('Attempt Log'!$B$2:$B$101,A136)</f>
        <v>0</v>
      </c>
      <c r="AG136">
        <f>IFERROR(SUMIFS('Attempt Log'!$U$2:$U$101,'Attempt Log'!$B$2:$B$101,A136,'Attempt Log'!$N$2:$N$101,"Yes")/COUNTIFS('Attempt Log'!$B$2:$B$101,A136,'Attempt Log'!$N$2:$N$101,"Yes"),0)</f>
        <v>0</v>
      </c>
    </row>
    <row r="137" spans="1:33">
      <c r="A137" t="s">
        <v>761</v>
      </c>
      <c r="B137" t="s">
        <v>762</v>
      </c>
      <c r="C137" t="s">
        <v>763</v>
      </c>
      <c r="D137" t="s">
        <v>149</v>
      </c>
      <c r="E137" t="s">
        <v>150</v>
      </c>
      <c r="F137" t="s">
        <v>272</v>
      </c>
      <c r="G137" t="s">
        <v>273</v>
      </c>
      <c r="H137" t="s">
        <v>538</v>
      </c>
      <c r="I137" t="s">
        <v>539</v>
      </c>
      <c r="J137" t="s">
        <v>759</v>
      </c>
      <c r="K137" t="s">
        <v>129</v>
      </c>
      <c r="L137" t="s">
        <v>17</v>
      </c>
      <c r="M137">
        <v>1450</v>
      </c>
      <c r="N137" t="s">
        <v>153</v>
      </c>
      <c r="O137" t="s">
        <v>11</v>
      </c>
      <c r="P137" t="s">
        <v>143</v>
      </c>
      <c r="Q137" t="s">
        <v>2976</v>
      </c>
      <c r="R137" t="s">
        <v>3138</v>
      </c>
      <c r="S137" t="s">
        <v>3300</v>
      </c>
      <c r="T137">
        <v>2</v>
      </c>
      <c r="U137">
        <v>2</v>
      </c>
      <c r="V137">
        <v>1</v>
      </c>
      <c r="W137">
        <v>1</v>
      </c>
      <c r="X137">
        <v>0</v>
      </c>
      <c r="Y137" t="s">
        <v>154</v>
      </c>
      <c r="Z137" t="s">
        <v>764</v>
      </c>
      <c r="AA137" t="s">
        <v>7</v>
      </c>
      <c r="AB137" t="s">
        <v>8</v>
      </c>
      <c r="AC137" s="3">
        <f>T137*'Settings &amp; Rates'!$B$5+U137*'Settings &amp; Rates'!$B$6+V137*'Settings &amp; Rates'!$B$7+W137*'Settings &amp; Rates'!$B$8+X137*'Settings &amp; Rates'!$B$9</f>
        <v>55</v>
      </c>
      <c r="AD137" s="3">
        <f>SUMIF('Attempt Log'!$B$2:$B$101,A137,'Attempt Log'!$K$2:$K$101)</f>
        <v>0</v>
      </c>
      <c r="AE137" s="3">
        <f t="shared" si="2"/>
        <v>-55</v>
      </c>
      <c r="AF137">
        <f>COUNTIF('Attempt Log'!$B$2:$B$101,A137)</f>
        <v>0</v>
      </c>
      <c r="AG137">
        <f>IFERROR(SUMIFS('Attempt Log'!$U$2:$U$101,'Attempt Log'!$B$2:$B$101,A137,'Attempt Log'!$N$2:$N$101,"Yes")/COUNTIFS('Attempt Log'!$B$2:$B$101,A137,'Attempt Log'!$N$2:$N$101,"Yes"),0)</f>
        <v>0</v>
      </c>
    </row>
    <row r="138" spans="1:33">
      <c r="A138" t="s">
        <v>765</v>
      </c>
      <c r="B138" t="s">
        <v>766</v>
      </c>
      <c r="C138" t="s">
        <v>767</v>
      </c>
      <c r="D138" t="s">
        <v>149</v>
      </c>
      <c r="E138" t="s">
        <v>150</v>
      </c>
      <c r="F138" t="s">
        <v>272</v>
      </c>
      <c r="G138" t="s">
        <v>279</v>
      </c>
      <c r="H138" t="s">
        <v>538</v>
      </c>
      <c r="I138" t="s">
        <v>539</v>
      </c>
      <c r="J138" t="s">
        <v>759</v>
      </c>
      <c r="K138" t="s">
        <v>129</v>
      </c>
      <c r="L138" t="s">
        <v>17</v>
      </c>
      <c r="M138">
        <v>1200</v>
      </c>
      <c r="N138" t="s">
        <v>153</v>
      </c>
      <c r="O138" t="s">
        <v>11</v>
      </c>
      <c r="P138" t="s">
        <v>143</v>
      </c>
      <c r="Q138" t="s">
        <v>2985</v>
      </c>
      <c r="R138" t="s">
        <v>3147</v>
      </c>
      <c r="S138" t="s">
        <v>3309</v>
      </c>
      <c r="T138">
        <v>2</v>
      </c>
      <c r="U138">
        <v>2</v>
      </c>
      <c r="V138">
        <v>1</v>
      </c>
      <c r="W138">
        <v>1</v>
      </c>
      <c r="X138">
        <v>0</v>
      </c>
      <c r="Y138" t="s">
        <v>154</v>
      </c>
      <c r="Z138" t="s">
        <v>768</v>
      </c>
      <c r="AA138" t="s">
        <v>7</v>
      </c>
      <c r="AB138" t="s">
        <v>8</v>
      </c>
      <c r="AC138" s="3">
        <f>T138*'Settings &amp; Rates'!$B$5+U138*'Settings &amp; Rates'!$B$6+V138*'Settings &amp; Rates'!$B$7+W138*'Settings &amp; Rates'!$B$8+X138*'Settings &amp; Rates'!$B$9</f>
        <v>55</v>
      </c>
      <c r="AD138" s="3">
        <f>SUMIF('Attempt Log'!$B$2:$B$101,A138,'Attempt Log'!$K$2:$K$101)</f>
        <v>0</v>
      </c>
      <c r="AE138" s="3">
        <f t="shared" si="2"/>
        <v>-55</v>
      </c>
      <c r="AF138">
        <f>COUNTIF('Attempt Log'!$B$2:$B$101,A138)</f>
        <v>0</v>
      </c>
      <c r="AG138">
        <f>IFERROR(SUMIFS('Attempt Log'!$U$2:$U$101,'Attempt Log'!$B$2:$B$101,A138,'Attempt Log'!$N$2:$N$101,"Yes")/COUNTIFS('Attempt Log'!$B$2:$B$101,A138,'Attempt Log'!$N$2:$N$101,"Yes"),0)</f>
        <v>0</v>
      </c>
    </row>
    <row r="139" spans="1:33">
      <c r="A139" t="s">
        <v>769</v>
      </c>
      <c r="B139" t="s">
        <v>770</v>
      </c>
      <c r="C139" t="s">
        <v>771</v>
      </c>
      <c r="D139" t="s">
        <v>149</v>
      </c>
      <c r="E139" t="s">
        <v>150</v>
      </c>
      <c r="F139" t="s">
        <v>272</v>
      </c>
      <c r="G139" t="s">
        <v>284</v>
      </c>
      <c r="H139" t="s">
        <v>538</v>
      </c>
      <c r="I139" t="s">
        <v>539</v>
      </c>
      <c r="J139" t="s">
        <v>759</v>
      </c>
      <c r="K139" t="s">
        <v>129</v>
      </c>
      <c r="L139" t="s">
        <v>17</v>
      </c>
      <c r="M139">
        <v>1500</v>
      </c>
      <c r="N139" t="s">
        <v>153</v>
      </c>
      <c r="O139" t="s">
        <v>11</v>
      </c>
      <c r="P139" t="s">
        <v>143</v>
      </c>
      <c r="Q139" t="s">
        <v>2994</v>
      </c>
      <c r="R139" t="s">
        <v>3156</v>
      </c>
      <c r="S139" t="s">
        <v>3318</v>
      </c>
      <c r="T139">
        <v>2</v>
      </c>
      <c r="U139">
        <v>2</v>
      </c>
      <c r="V139">
        <v>1</v>
      </c>
      <c r="W139">
        <v>1</v>
      </c>
      <c r="X139">
        <v>0</v>
      </c>
      <c r="Y139" t="s">
        <v>154</v>
      </c>
      <c r="Z139" t="s">
        <v>772</v>
      </c>
      <c r="AA139" t="s">
        <v>7</v>
      </c>
      <c r="AB139" t="s">
        <v>8</v>
      </c>
      <c r="AC139" s="3">
        <f>T139*'Settings &amp; Rates'!$B$5+U139*'Settings &amp; Rates'!$B$6+V139*'Settings &amp; Rates'!$B$7+W139*'Settings &amp; Rates'!$B$8+X139*'Settings &amp; Rates'!$B$9</f>
        <v>55</v>
      </c>
      <c r="AD139" s="3">
        <f>SUMIF('Attempt Log'!$B$2:$B$101,A139,'Attempt Log'!$K$2:$K$101)</f>
        <v>0</v>
      </c>
      <c r="AE139" s="3">
        <f t="shared" si="2"/>
        <v>-55</v>
      </c>
      <c r="AF139">
        <f>COUNTIF('Attempt Log'!$B$2:$B$101,A139)</f>
        <v>0</v>
      </c>
      <c r="AG139">
        <f>IFERROR(SUMIFS('Attempt Log'!$U$2:$U$101,'Attempt Log'!$B$2:$B$101,A139,'Attempt Log'!$N$2:$N$101,"Yes")/COUNTIFS('Attempt Log'!$B$2:$B$101,A139,'Attempt Log'!$N$2:$N$101,"Yes"),0)</f>
        <v>0</v>
      </c>
    </row>
    <row r="140" spans="1:33">
      <c r="A140" t="s">
        <v>773</v>
      </c>
      <c r="B140" t="s">
        <v>774</v>
      </c>
      <c r="C140" t="s">
        <v>775</v>
      </c>
      <c r="D140" t="s">
        <v>149</v>
      </c>
      <c r="E140" t="s">
        <v>150</v>
      </c>
      <c r="F140" t="s">
        <v>272</v>
      </c>
      <c r="G140" t="s">
        <v>289</v>
      </c>
      <c r="H140" t="s">
        <v>538</v>
      </c>
      <c r="I140" t="s">
        <v>539</v>
      </c>
      <c r="J140" t="s">
        <v>759</v>
      </c>
      <c r="K140" t="s">
        <v>129</v>
      </c>
      <c r="L140" t="s">
        <v>17</v>
      </c>
      <c r="M140">
        <v>3350</v>
      </c>
      <c r="N140" t="s">
        <v>153</v>
      </c>
      <c r="O140" t="s">
        <v>11</v>
      </c>
      <c r="P140" t="s">
        <v>143</v>
      </c>
      <c r="Q140" t="s">
        <v>3003</v>
      </c>
      <c r="R140" t="s">
        <v>3165</v>
      </c>
      <c r="S140" t="s">
        <v>3327</v>
      </c>
      <c r="T140">
        <v>2</v>
      </c>
      <c r="U140">
        <v>2</v>
      </c>
      <c r="V140">
        <v>1</v>
      </c>
      <c r="W140">
        <v>1</v>
      </c>
      <c r="X140">
        <v>0</v>
      </c>
      <c r="Y140" t="s">
        <v>154</v>
      </c>
      <c r="Z140" t="s">
        <v>776</v>
      </c>
      <c r="AA140" t="s">
        <v>7</v>
      </c>
      <c r="AB140" t="s">
        <v>8</v>
      </c>
      <c r="AC140" s="3">
        <f>T140*'Settings &amp; Rates'!$B$5+U140*'Settings &amp; Rates'!$B$6+V140*'Settings &amp; Rates'!$B$7+W140*'Settings &amp; Rates'!$B$8+X140*'Settings &amp; Rates'!$B$9</f>
        <v>55</v>
      </c>
      <c r="AD140" s="3">
        <f>SUMIF('Attempt Log'!$B$2:$B$101,A140,'Attempt Log'!$K$2:$K$101)</f>
        <v>0</v>
      </c>
      <c r="AE140" s="3">
        <f t="shared" si="2"/>
        <v>-55</v>
      </c>
      <c r="AF140">
        <f>COUNTIF('Attempt Log'!$B$2:$B$101,A140)</f>
        <v>0</v>
      </c>
      <c r="AG140">
        <f>IFERROR(SUMIFS('Attempt Log'!$U$2:$U$101,'Attempt Log'!$B$2:$B$101,A140,'Attempt Log'!$N$2:$N$101,"Yes")/COUNTIFS('Attempt Log'!$B$2:$B$101,A140,'Attempt Log'!$N$2:$N$101,"Yes"),0)</f>
        <v>0</v>
      </c>
    </row>
    <row r="141" spans="1:33">
      <c r="A141" t="s">
        <v>777</v>
      </c>
      <c r="B141" t="s">
        <v>778</v>
      </c>
      <c r="C141" t="s">
        <v>779</v>
      </c>
      <c r="D141" t="s">
        <v>149</v>
      </c>
      <c r="E141" t="s">
        <v>150</v>
      </c>
      <c r="F141" t="s">
        <v>294</v>
      </c>
      <c r="G141" t="s">
        <v>295</v>
      </c>
      <c r="H141" t="s">
        <v>538</v>
      </c>
      <c r="I141" t="s">
        <v>539</v>
      </c>
      <c r="J141" t="s">
        <v>759</v>
      </c>
      <c r="K141" t="s">
        <v>129</v>
      </c>
      <c r="L141" t="s">
        <v>17</v>
      </c>
      <c r="M141">
        <v>1750</v>
      </c>
      <c r="N141" t="s">
        <v>153</v>
      </c>
      <c r="O141" t="s">
        <v>11</v>
      </c>
      <c r="P141" t="s">
        <v>143</v>
      </c>
      <c r="Q141" t="s">
        <v>3012</v>
      </c>
      <c r="R141" t="s">
        <v>3174</v>
      </c>
      <c r="S141" t="s">
        <v>3336</v>
      </c>
      <c r="T141">
        <v>2</v>
      </c>
      <c r="U141">
        <v>2</v>
      </c>
      <c r="V141">
        <v>1</v>
      </c>
      <c r="W141">
        <v>1</v>
      </c>
      <c r="X141">
        <v>0</v>
      </c>
      <c r="Y141" t="s">
        <v>154</v>
      </c>
      <c r="Z141" t="s">
        <v>780</v>
      </c>
      <c r="AA141" t="s">
        <v>7</v>
      </c>
      <c r="AB141" t="s">
        <v>8</v>
      </c>
      <c r="AC141" s="3">
        <f>T141*'Settings &amp; Rates'!$B$5+U141*'Settings &amp; Rates'!$B$6+V141*'Settings &amp; Rates'!$B$7+W141*'Settings &amp; Rates'!$B$8+X141*'Settings &amp; Rates'!$B$9</f>
        <v>55</v>
      </c>
      <c r="AD141" s="3">
        <f>SUMIF('Attempt Log'!$B$2:$B$101,A141,'Attempt Log'!$K$2:$K$101)</f>
        <v>0</v>
      </c>
      <c r="AE141" s="3">
        <f t="shared" si="2"/>
        <v>-55</v>
      </c>
      <c r="AF141">
        <f>COUNTIF('Attempt Log'!$B$2:$B$101,A141)</f>
        <v>0</v>
      </c>
      <c r="AG141">
        <f>IFERROR(SUMIFS('Attempt Log'!$U$2:$U$101,'Attempt Log'!$B$2:$B$101,A141,'Attempt Log'!$N$2:$N$101,"Yes")/COUNTIFS('Attempt Log'!$B$2:$B$101,A141,'Attempt Log'!$N$2:$N$101,"Yes"),0)</f>
        <v>0</v>
      </c>
    </row>
    <row r="142" spans="1:33">
      <c r="A142" t="s">
        <v>781</v>
      </c>
      <c r="B142" t="s">
        <v>782</v>
      </c>
      <c r="C142" t="s">
        <v>783</v>
      </c>
      <c r="D142" t="s">
        <v>149</v>
      </c>
      <c r="E142" t="s">
        <v>150</v>
      </c>
      <c r="F142" t="s">
        <v>294</v>
      </c>
      <c r="G142" t="s">
        <v>300</v>
      </c>
      <c r="H142" t="s">
        <v>538</v>
      </c>
      <c r="I142" t="s">
        <v>539</v>
      </c>
      <c r="J142" t="s">
        <v>759</v>
      </c>
      <c r="K142" t="s">
        <v>129</v>
      </c>
      <c r="L142" t="s">
        <v>17</v>
      </c>
      <c r="M142">
        <v>3750</v>
      </c>
      <c r="N142" t="s">
        <v>153</v>
      </c>
      <c r="O142" t="s">
        <v>11</v>
      </c>
      <c r="P142" t="s">
        <v>143</v>
      </c>
      <c r="Q142" t="s">
        <v>3021</v>
      </c>
      <c r="R142" t="s">
        <v>3183</v>
      </c>
      <c r="S142" t="s">
        <v>3345</v>
      </c>
      <c r="T142">
        <v>2</v>
      </c>
      <c r="U142">
        <v>2</v>
      </c>
      <c r="V142">
        <v>1</v>
      </c>
      <c r="W142">
        <v>1</v>
      </c>
      <c r="X142">
        <v>0</v>
      </c>
      <c r="Y142" t="s">
        <v>154</v>
      </c>
      <c r="Z142" t="s">
        <v>784</v>
      </c>
      <c r="AA142" t="s">
        <v>7</v>
      </c>
      <c r="AB142" t="s">
        <v>8</v>
      </c>
      <c r="AC142" s="3">
        <f>T142*'Settings &amp; Rates'!$B$5+U142*'Settings &amp; Rates'!$B$6+V142*'Settings &amp; Rates'!$B$7+W142*'Settings &amp; Rates'!$B$8+X142*'Settings &amp; Rates'!$B$9</f>
        <v>55</v>
      </c>
      <c r="AD142" s="3">
        <f>SUMIF('Attempt Log'!$B$2:$B$101,A142,'Attempt Log'!$K$2:$K$101)</f>
        <v>0</v>
      </c>
      <c r="AE142" s="3">
        <f t="shared" si="2"/>
        <v>-55</v>
      </c>
      <c r="AF142">
        <f>COUNTIF('Attempt Log'!$B$2:$B$101,A142)</f>
        <v>0</v>
      </c>
      <c r="AG142">
        <f>IFERROR(SUMIFS('Attempt Log'!$U$2:$U$101,'Attempt Log'!$B$2:$B$101,A142,'Attempt Log'!$N$2:$N$101,"Yes")/COUNTIFS('Attempt Log'!$B$2:$B$101,A142,'Attempt Log'!$N$2:$N$101,"Yes"),0)</f>
        <v>0</v>
      </c>
    </row>
    <row r="143" spans="1:33">
      <c r="A143" t="s">
        <v>785</v>
      </c>
      <c r="B143" t="s">
        <v>786</v>
      </c>
      <c r="C143" t="s">
        <v>787</v>
      </c>
      <c r="D143" t="s">
        <v>149</v>
      </c>
      <c r="E143" t="s">
        <v>150</v>
      </c>
      <c r="F143" t="s">
        <v>294</v>
      </c>
      <c r="G143" t="s">
        <v>305</v>
      </c>
      <c r="H143" t="s">
        <v>538</v>
      </c>
      <c r="I143" t="s">
        <v>539</v>
      </c>
      <c r="J143" t="s">
        <v>759</v>
      </c>
      <c r="K143" t="s">
        <v>129</v>
      </c>
      <c r="L143" t="s">
        <v>17</v>
      </c>
      <c r="M143">
        <v>1550</v>
      </c>
      <c r="N143" t="s">
        <v>153</v>
      </c>
      <c r="O143" t="s">
        <v>11</v>
      </c>
      <c r="P143" t="s">
        <v>143</v>
      </c>
      <c r="Q143" t="s">
        <v>3030</v>
      </c>
      <c r="R143" t="s">
        <v>3192</v>
      </c>
      <c r="S143" t="s">
        <v>3354</v>
      </c>
      <c r="T143">
        <v>2</v>
      </c>
      <c r="U143">
        <v>2</v>
      </c>
      <c r="V143">
        <v>1</v>
      </c>
      <c r="W143">
        <v>1</v>
      </c>
      <c r="X143">
        <v>0</v>
      </c>
      <c r="Y143" t="s">
        <v>154</v>
      </c>
      <c r="Z143" t="s">
        <v>788</v>
      </c>
      <c r="AA143" t="s">
        <v>7</v>
      </c>
      <c r="AB143" t="s">
        <v>8</v>
      </c>
      <c r="AC143" s="3">
        <f>T143*'Settings &amp; Rates'!$B$5+U143*'Settings &amp; Rates'!$B$6+V143*'Settings &amp; Rates'!$B$7+W143*'Settings &amp; Rates'!$B$8+X143*'Settings &amp; Rates'!$B$9</f>
        <v>55</v>
      </c>
      <c r="AD143" s="3">
        <f>SUMIF('Attempt Log'!$B$2:$B$101,A143,'Attempt Log'!$K$2:$K$101)</f>
        <v>0</v>
      </c>
      <c r="AE143" s="3">
        <f t="shared" si="2"/>
        <v>-55</v>
      </c>
      <c r="AF143">
        <f>COUNTIF('Attempt Log'!$B$2:$B$101,A143)</f>
        <v>0</v>
      </c>
      <c r="AG143">
        <f>IFERROR(SUMIFS('Attempt Log'!$U$2:$U$101,'Attempt Log'!$B$2:$B$101,A143,'Attempt Log'!$N$2:$N$101,"Yes")/COUNTIFS('Attempt Log'!$B$2:$B$101,A143,'Attempt Log'!$N$2:$N$101,"Yes"),0)</f>
        <v>0</v>
      </c>
    </row>
    <row r="144" spans="1:33">
      <c r="A144" t="s">
        <v>789</v>
      </c>
      <c r="B144" t="s">
        <v>790</v>
      </c>
      <c r="C144" t="s">
        <v>791</v>
      </c>
      <c r="D144" t="s">
        <v>149</v>
      </c>
      <c r="E144" t="s">
        <v>150</v>
      </c>
      <c r="F144" t="s">
        <v>294</v>
      </c>
      <c r="G144" t="s">
        <v>310</v>
      </c>
      <c r="H144" t="s">
        <v>538</v>
      </c>
      <c r="I144" t="s">
        <v>539</v>
      </c>
      <c r="J144" t="s">
        <v>759</v>
      </c>
      <c r="K144" t="s">
        <v>129</v>
      </c>
      <c r="L144" t="s">
        <v>17</v>
      </c>
      <c r="M144">
        <v>2200</v>
      </c>
      <c r="N144" t="s">
        <v>153</v>
      </c>
      <c r="O144" t="s">
        <v>11</v>
      </c>
      <c r="P144" t="s">
        <v>143</v>
      </c>
      <c r="Q144" t="s">
        <v>3039</v>
      </c>
      <c r="R144" t="s">
        <v>3201</v>
      </c>
      <c r="S144" t="s">
        <v>3363</v>
      </c>
      <c r="T144">
        <v>2</v>
      </c>
      <c r="U144">
        <v>2</v>
      </c>
      <c r="V144">
        <v>1</v>
      </c>
      <c r="W144">
        <v>1</v>
      </c>
      <c r="X144">
        <v>0</v>
      </c>
      <c r="Y144" t="s">
        <v>154</v>
      </c>
      <c r="Z144" t="s">
        <v>792</v>
      </c>
      <c r="AA144" t="s">
        <v>7</v>
      </c>
      <c r="AB144" t="s">
        <v>8</v>
      </c>
      <c r="AC144" s="3">
        <f>T144*'Settings &amp; Rates'!$B$5+U144*'Settings &amp; Rates'!$B$6+V144*'Settings &amp; Rates'!$B$7+W144*'Settings &amp; Rates'!$B$8+X144*'Settings &amp; Rates'!$B$9</f>
        <v>55</v>
      </c>
      <c r="AD144" s="3">
        <f>SUMIF('Attempt Log'!$B$2:$B$101,A144,'Attempt Log'!$K$2:$K$101)</f>
        <v>0</v>
      </c>
      <c r="AE144" s="3">
        <f t="shared" si="2"/>
        <v>-55</v>
      </c>
      <c r="AF144">
        <f>COUNTIF('Attempt Log'!$B$2:$B$101,A144)</f>
        <v>0</v>
      </c>
      <c r="AG144">
        <f>IFERROR(SUMIFS('Attempt Log'!$U$2:$U$101,'Attempt Log'!$B$2:$B$101,A144,'Attempt Log'!$N$2:$N$101,"Yes")/COUNTIFS('Attempt Log'!$B$2:$B$101,A144,'Attempt Log'!$N$2:$N$101,"Yes"),0)</f>
        <v>0</v>
      </c>
    </row>
    <row r="145" spans="1:33">
      <c r="A145" t="s">
        <v>793</v>
      </c>
      <c r="B145" t="s">
        <v>794</v>
      </c>
      <c r="C145" t="s">
        <v>795</v>
      </c>
      <c r="D145" t="s">
        <v>149</v>
      </c>
      <c r="E145" t="s">
        <v>150</v>
      </c>
      <c r="F145" t="s">
        <v>315</v>
      </c>
      <c r="G145" t="s">
        <v>316</v>
      </c>
      <c r="H145" t="s">
        <v>538</v>
      </c>
      <c r="I145" t="s">
        <v>539</v>
      </c>
      <c r="J145" t="s">
        <v>759</v>
      </c>
      <c r="K145" t="s">
        <v>129</v>
      </c>
      <c r="L145" t="s">
        <v>17</v>
      </c>
      <c r="M145">
        <v>1450</v>
      </c>
      <c r="N145" t="s">
        <v>153</v>
      </c>
      <c r="O145" t="s">
        <v>11</v>
      </c>
      <c r="P145" t="s">
        <v>143</v>
      </c>
      <c r="Q145" t="s">
        <v>3048</v>
      </c>
      <c r="R145" t="s">
        <v>3210</v>
      </c>
      <c r="S145" t="s">
        <v>3372</v>
      </c>
      <c r="T145">
        <v>2</v>
      </c>
      <c r="U145">
        <v>2</v>
      </c>
      <c r="V145">
        <v>1</v>
      </c>
      <c r="W145">
        <v>1</v>
      </c>
      <c r="X145">
        <v>0</v>
      </c>
      <c r="Y145" t="s">
        <v>154</v>
      </c>
      <c r="Z145" t="s">
        <v>796</v>
      </c>
      <c r="AA145" t="s">
        <v>7</v>
      </c>
      <c r="AB145" t="s">
        <v>8</v>
      </c>
      <c r="AC145" s="3">
        <f>T145*'Settings &amp; Rates'!$B$5+U145*'Settings &amp; Rates'!$B$6+V145*'Settings &amp; Rates'!$B$7+W145*'Settings &amp; Rates'!$B$8+X145*'Settings &amp; Rates'!$B$9</f>
        <v>55</v>
      </c>
      <c r="AD145" s="3">
        <f>SUMIF('Attempt Log'!$B$2:$B$101,A145,'Attempt Log'!$K$2:$K$101)</f>
        <v>0</v>
      </c>
      <c r="AE145" s="3">
        <f t="shared" si="2"/>
        <v>-55</v>
      </c>
      <c r="AF145">
        <f>COUNTIF('Attempt Log'!$B$2:$B$101,A145)</f>
        <v>0</v>
      </c>
      <c r="AG145">
        <f>IFERROR(SUMIFS('Attempt Log'!$U$2:$U$101,'Attempt Log'!$B$2:$B$101,A145,'Attempt Log'!$N$2:$N$101,"Yes")/COUNTIFS('Attempt Log'!$B$2:$B$101,A145,'Attempt Log'!$N$2:$N$101,"Yes"),0)</f>
        <v>0</v>
      </c>
    </row>
    <row r="146" spans="1:33">
      <c r="A146" t="s">
        <v>797</v>
      </c>
      <c r="B146" t="s">
        <v>798</v>
      </c>
      <c r="C146" t="s">
        <v>799</v>
      </c>
      <c r="D146" t="s">
        <v>149</v>
      </c>
      <c r="E146" t="s">
        <v>150</v>
      </c>
      <c r="F146" t="s">
        <v>315</v>
      </c>
      <c r="G146" t="s">
        <v>321</v>
      </c>
      <c r="H146" t="s">
        <v>538</v>
      </c>
      <c r="I146" t="s">
        <v>539</v>
      </c>
      <c r="J146" t="s">
        <v>759</v>
      </c>
      <c r="K146" t="s">
        <v>129</v>
      </c>
      <c r="L146" t="s">
        <v>17</v>
      </c>
      <c r="M146">
        <v>2800</v>
      </c>
      <c r="N146" t="s">
        <v>153</v>
      </c>
      <c r="O146" t="s">
        <v>11</v>
      </c>
      <c r="P146" t="s">
        <v>143</v>
      </c>
      <c r="Q146" t="s">
        <v>3057</v>
      </c>
      <c r="R146" t="s">
        <v>3219</v>
      </c>
      <c r="S146" t="s">
        <v>3381</v>
      </c>
      <c r="T146">
        <v>2</v>
      </c>
      <c r="U146">
        <v>2</v>
      </c>
      <c r="V146">
        <v>1</v>
      </c>
      <c r="W146">
        <v>1</v>
      </c>
      <c r="X146">
        <v>0</v>
      </c>
      <c r="Y146" t="s">
        <v>154</v>
      </c>
      <c r="Z146" t="s">
        <v>800</v>
      </c>
      <c r="AA146" t="s">
        <v>7</v>
      </c>
      <c r="AB146" t="s">
        <v>8</v>
      </c>
      <c r="AC146" s="3">
        <f>T146*'Settings &amp; Rates'!$B$5+U146*'Settings &amp; Rates'!$B$6+V146*'Settings &amp; Rates'!$B$7+W146*'Settings &amp; Rates'!$B$8+X146*'Settings &amp; Rates'!$B$9</f>
        <v>55</v>
      </c>
      <c r="AD146" s="3">
        <f>SUMIF('Attempt Log'!$B$2:$B$101,A146,'Attempt Log'!$K$2:$K$101)</f>
        <v>0</v>
      </c>
      <c r="AE146" s="3">
        <f t="shared" si="2"/>
        <v>-55</v>
      </c>
      <c r="AF146">
        <f>COUNTIF('Attempt Log'!$B$2:$B$101,A146)</f>
        <v>0</v>
      </c>
      <c r="AG146">
        <f>IFERROR(SUMIFS('Attempt Log'!$U$2:$U$101,'Attempt Log'!$B$2:$B$101,A146,'Attempt Log'!$N$2:$N$101,"Yes")/COUNTIFS('Attempt Log'!$B$2:$B$101,A146,'Attempt Log'!$N$2:$N$101,"Yes"),0)</f>
        <v>0</v>
      </c>
    </row>
    <row r="147" spans="1:33">
      <c r="A147" t="s">
        <v>801</v>
      </c>
      <c r="B147" t="s">
        <v>802</v>
      </c>
      <c r="C147" t="s">
        <v>803</v>
      </c>
      <c r="D147" t="s">
        <v>149</v>
      </c>
      <c r="E147" t="s">
        <v>150</v>
      </c>
      <c r="F147" t="s">
        <v>315</v>
      </c>
      <c r="G147" t="s">
        <v>326</v>
      </c>
      <c r="H147" t="s">
        <v>538</v>
      </c>
      <c r="I147" t="s">
        <v>539</v>
      </c>
      <c r="J147" t="s">
        <v>759</v>
      </c>
      <c r="K147" t="s">
        <v>129</v>
      </c>
      <c r="L147" t="s">
        <v>17</v>
      </c>
      <c r="M147">
        <v>1200</v>
      </c>
      <c r="N147" t="s">
        <v>153</v>
      </c>
      <c r="O147" t="s">
        <v>11</v>
      </c>
      <c r="P147" t="s">
        <v>143</v>
      </c>
      <c r="Q147" t="s">
        <v>3066</v>
      </c>
      <c r="R147" t="s">
        <v>3228</v>
      </c>
      <c r="S147" t="s">
        <v>3390</v>
      </c>
      <c r="T147">
        <v>2</v>
      </c>
      <c r="U147">
        <v>2</v>
      </c>
      <c r="V147">
        <v>1</v>
      </c>
      <c r="W147">
        <v>1</v>
      </c>
      <c r="X147">
        <v>0</v>
      </c>
      <c r="Y147" t="s">
        <v>154</v>
      </c>
      <c r="Z147" t="s">
        <v>804</v>
      </c>
      <c r="AA147" t="s">
        <v>7</v>
      </c>
      <c r="AB147" t="s">
        <v>8</v>
      </c>
      <c r="AC147" s="3">
        <f>T147*'Settings &amp; Rates'!$B$5+U147*'Settings &amp; Rates'!$B$6+V147*'Settings &amp; Rates'!$B$7+W147*'Settings &amp; Rates'!$B$8+X147*'Settings &amp; Rates'!$B$9</f>
        <v>55</v>
      </c>
      <c r="AD147" s="3">
        <f>SUMIF('Attempt Log'!$B$2:$B$101,A147,'Attempt Log'!$K$2:$K$101)</f>
        <v>0</v>
      </c>
      <c r="AE147" s="3">
        <f t="shared" si="2"/>
        <v>-55</v>
      </c>
      <c r="AF147">
        <f>COUNTIF('Attempt Log'!$B$2:$B$101,A147)</f>
        <v>0</v>
      </c>
      <c r="AG147">
        <f>IFERROR(SUMIFS('Attempt Log'!$U$2:$U$101,'Attempt Log'!$B$2:$B$101,A147,'Attempt Log'!$N$2:$N$101,"Yes")/COUNTIFS('Attempt Log'!$B$2:$B$101,A147,'Attempt Log'!$N$2:$N$101,"Yes"),0)</f>
        <v>0</v>
      </c>
    </row>
    <row r="148" spans="1:33">
      <c r="A148" t="s">
        <v>805</v>
      </c>
      <c r="B148" t="s">
        <v>806</v>
      </c>
      <c r="C148" t="s">
        <v>807</v>
      </c>
      <c r="D148" t="s">
        <v>149</v>
      </c>
      <c r="E148" t="s">
        <v>150</v>
      </c>
      <c r="F148" t="s">
        <v>315</v>
      </c>
      <c r="G148" t="s">
        <v>331</v>
      </c>
      <c r="H148" t="s">
        <v>538</v>
      </c>
      <c r="I148" t="s">
        <v>539</v>
      </c>
      <c r="J148" t="s">
        <v>759</v>
      </c>
      <c r="K148" t="s">
        <v>129</v>
      </c>
      <c r="L148" t="s">
        <v>17</v>
      </c>
      <c r="M148">
        <v>1450</v>
      </c>
      <c r="N148" t="s">
        <v>153</v>
      </c>
      <c r="O148" t="s">
        <v>11</v>
      </c>
      <c r="P148" t="s">
        <v>143</v>
      </c>
      <c r="Q148" t="s">
        <v>3075</v>
      </c>
      <c r="R148" t="s">
        <v>3237</v>
      </c>
      <c r="S148" t="s">
        <v>3399</v>
      </c>
      <c r="T148">
        <v>2</v>
      </c>
      <c r="U148">
        <v>2</v>
      </c>
      <c r="V148">
        <v>1</v>
      </c>
      <c r="W148">
        <v>1</v>
      </c>
      <c r="X148">
        <v>0</v>
      </c>
      <c r="Y148" t="s">
        <v>154</v>
      </c>
      <c r="Z148" t="s">
        <v>808</v>
      </c>
      <c r="AA148" t="s">
        <v>7</v>
      </c>
      <c r="AB148" t="s">
        <v>8</v>
      </c>
      <c r="AC148" s="3">
        <f>T148*'Settings &amp; Rates'!$B$5+U148*'Settings &amp; Rates'!$B$6+V148*'Settings &amp; Rates'!$B$7+W148*'Settings &amp; Rates'!$B$8+X148*'Settings &amp; Rates'!$B$9</f>
        <v>55</v>
      </c>
      <c r="AD148" s="3">
        <f>SUMIF('Attempt Log'!$B$2:$B$101,A148,'Attempt Log'!$K$2:$K$101)</f>
        <v>0</v>
      </c>
      <c r="AE148" s="3">
        <f t="shared" si="2"/>
        <v>-55</v>
      </c>
      <c r="AF148">
        <f>COUNTIF('Attempt Log'!$B$2:$B$101,A148)</f>
        <v>0</v>
      </c>
      <c r="AG148">
        <f>IFERROR(SUMIFS('Attempt Log'!$U$2:$U$101,'Attempt Log'!$B$2:$B$101,A148,'Attempt Log'!$N$2:$N$101,"Yes")/COUNTIFS('Attempt Log'!$B$2:$B$101,A148,'Attempt Log'!$N$2:$N$101,"Yes"),0)</f>
        <v>0</v>
      </c>
    </row>
    <row r="149" spans="1:33">
      <c r="A149" t="s">
        <v>809</v>
      </c>
      <c r="B149" t="s">
        <v>810</v>
      </c>
      <c r="C149" t="s">
        <v>811</v>
      </c>
      <c r="D149" t="s">
        <v>149</v>
      </c>
      <c r="E149" t="s">
        <v>150</v>
      </c>
      <c r="F149" t="s">
        <v>151</v>
      </c>
      <c r="G149" t="s">
        <v>252</v>
      </c>
      <c r="H149" t="s">
        <v>538</v>
      </c>
      <c r="I149" t="s">
        <v>539</v>
      </c>
      <c r="J149" t="s">
        <v>759</v>
      </c>
      <c r="K149" t="s">
        <v>140</v>
      </c>
      <c r="L149" t="s">
        <v>141</v>
      </c>
      <c r="M149">
        <v>1700</v>
      </c>
      <c r="N149" t="s">
        <v>153</v>
      </c>
      <c r="O149" t="s">
        <v>11</v>
      </c>
      <c r="P149" t="s">
        <v>143</v>
      </c>
      <c r="Q149" t="s">
        <v>3084</v>
      </c>
      <c r="R149" t="s">
        <v>3246</v>
      </c>
      <c r="S149" t="s">
        <v>3408</v>
      </c>
      <c r="T149">
        <v>1</v>
      </c>
      <c r="U149">
        <v>2</v>
      </c>
      <c r="V149">
        <v>1</v>
      </c>
      <c r="W149">
        <v>1</v>
      </c>
      <c r="X149">
        <v>0</v>
      </c>
      <c r="Y149" t="s">
        <v>154</v>
      </c>
      <c r="Z149" t="s">
        <v>812</v>
      </c>
      <c r="AA149" t="s">
        <v>7</v>
      </c>
      <c r="AB149" t="s">
        <v>8</v>
      </c>
      <c r="AC149" s="3">
        <f>T149*'Settings &amp; Rates'!$B$5+U149*'Settings &amp; Rates'!$B$6+V149*'Settings &amp; Rates'!$B$7+W149*'Settings &amp; Rates'!$B$8+X149*'Settings &amp; Rates'!$B$9</f>
        <v>55</v>
      </c>
      <c r="AD149" s="3">
        <f>SUMIF('Attempt Log'!$B$2:$B$101,A149,'Attempt Log'!$K$2:$K$101)</f>
        <v>0</v>
      </c>
      <c r="AE149" s="3">
        <f t="shared" si="2"/>
        <v>-55</v>
      </c>
      <c r="AF149">
        <f>COUNTIF('Attempt Log'!$B$2:$B$101,A149)</f>
        <v>0</v>
      </c>
      <c r="AG149">
        <f>IFERROR(SUMIFS('Attempt Log'!$U$2:$U$101,'Attempt Log'!$B$2:$B$101,A149,'Attempt Log'!$N$2:$N$101,"Yes")/COUNTIFS('Attempt Log'!$B$2:$B$101,A149,'Attempt Log'!$N$2:$N$101,"Yes"),0)</f>
        <v>0</v>
      </c>
    </row>
    <row r="150" spans="1:33">
      <c r="A150" t="s">
        <v>813</v>
      </c>
      <c r="B150" t="s">
        <v>814</v>
      </c>
      <c r="C150" t="s">
        <v>815</v>
      </c>
      <c r="D150" t="s">
        <v>149</v>
      </c>
      <c r="E150" t="s">
        <v>150</v>
      </c>
      <c r="F150" t="s">
        <v>244</v>
      </c>
      <c r="G150" t="s">
        <v>257</v>
      </c>
      <c r="H150" t="s">
        <v>538</v>
      </c>
      <c r="I150" t="s">
        <v>539</v>
      </c>
      <c r="J150" t="s">
        <v>759</v>
      </c>
      <c r="K150" t="s">
        <v>140</v>
      </c>
      <c r="L150" t="s">
        <v>141</v>
      </c>
      <c r="M150">
        <v>550</v>
      </c>
      <c r="N150" t="s">
        <v>247</v>
      </c>
      <c r="O150" t="s">
        <v>11</v>
      </c>
      <c r="P150" t="s">
        <v>143</v>
      </c>
      <c r="Q150" t="s">
        <v>3093</v>
      </c>
      <c r="R150" t="s">
        <v>3255</v>
      </c>
      <c r="S150" t="s">
        <v>3417</v>
      </c>
      <c r="T150">
        <v>1</v>
      </c>
      <c r="U150">
        <v>2</v>
      </c>
      <c r="V150">
        <v>1</v>
      </c>
      <c r="W150">
        <v>1</v>
      </c>
      <c r="X150">
        <v>0</v>
      </c>
      <c r="Y150" t="s">
        <v>154</v>
      </c>
      <c r="Z150" t="s">
        <v>816</v>
      </c>
      <c r="AA150" t="s">
        <v>7</v>
      </c>
      <c r="AB150" t="s">
        <v>8</v>
      </c>
      <c r="AC150" s="3">
        <f>T150*'Settings &amp; Rates'!$B$5+U150*'Settings &amp; Rates'!$B$6+V150*'Settings &amp; Rates'!$B$7+W150*'Settings &amp; Rates'!$B$8+X150*'Settings &amp; Rates'!$B$9</f>
        <v>55</v>
      </c>
      <c r="AD150" s="3">
        <f>SUMIF('Attempt Log'!$B$2:$B$101,A150,'Attempt Log'!$K$2:$K$101)</f>
        <v>0</v>
      </c>
      <c r="AE150" s="3">
        <f t="shared" si="2"/>
        <v>-55</v>
      </c>
      <c r="AF150">
        <f>COUNTIF('Attempt Log'!$B$2:$B$101,A150)</f>
        <v>0</v>
      </c>
      <c r="AG150">
        <f>IFERROR(SUMIFS('Attempt Log'!$U$2:$U$101,'Attempt Log'!$B$2:$B$101,A150,'Attempt Log'!$N$2:$N$101,"Yes")/COUNTIFS('Attempt Log'!$B$2:$B$101,A150,'Attempt Log'!$N$2:$N$101,"Yes"),0)</f>
        <v>0</v>
      </c>
    </row>
    <row r="151" spans="1:33">
      <c r="A151" t="s">
        <v>817</v>
      </c>
      <c r="B151" t="s">
        <v>818</v>
      </c>
      <c r="C151" t="s">
        <v>819</v>
      </c>
      <c r="D151" t="s">
        <v>149</v>
      </c>
      <c r="E151" t="s">
        <v>150</v>
      </c>
      <c r="F151" t="s">
        <v>151</v>
      </c>
      <c r="G151" t="s">
        <v>262</v>
      </c>
      <c r="H151" t="s">
        <v>538</v>
      </c>
      <c r="I151" t="s">
        <v>539</v>
      </c>
      <c r="J151" t="s">
        <v>759</v>
      </c>
      <c r="K151" t="s">
        <v>140</v>
      </c>
      <c r="L151" t="s">
        <v>141</v>
      </c>
      <c r="M151">
        <v>2500</v>
      </c>
      <c r="N151" t="s">
        <v>153</v>
      </c>
      <c r="O151" t="s">
        <v>11</v>
      </c>
      <c r="P151" t="s">
        <v>143</v>
      </c>
      <c r="Q151" t="s">
        <v>3102</v>
      </c>
      <c r="R151" t="s">
        <v>3264</v>
      </c>
      <c r="S151" t="s">
        <v>3426</v>
      </c>
      <c r="T151">
        <v>1</v>
      </c>
      <c r="U151">
        <v>2</v>
      </c>
      <c r="V151">
        <v>1</v>
      </c>
      <c r="W151">
        <v>1</v>
      </c>
      <c r="X151">
        <v>0</v>
      </c>
      <c r="Y151" t="s">
        <v>154</v>
      </c>
      <c r="Z151" t="s">
        <v>820</v>
      </c>
      <c r="AA151" t="s">
        <v>7</v>
      </c>
      <c r="AB151" t="s">
        <v>8</v>
      </c>
      <c r="AC151" s="3">
        <f>T151*'Settings &amp; Rates'!$B$5+U151*'Settings &amp; Rates'!$B$6+V151*'Settings &amp; Rates'!$B$7+W151*'Settings &amp; Rates'!$B$8+X151*'Settings &amp; Rates'!$B$9</f>
        <v>55</v>
      </c>
      <c r="AD151" s="3">
        <f>SUMIF('Attempt Log'!$B$2:$B$101,A151,'Attempt Log'!$K$2:$K$101)</f>
        <v>0</v>
      </c>
      <c r="AE151" s="3">
        <f t="shared" si="2"/>
        <v>-55</v>
      </c>
      <c r="AF151">
        <f>COUNTIF('Attempt Log'!$B$2:$B$101,A151)</f>
        <v>0</v>
      </c>
      <c r="AG151">
        <f>IFERROR(SUMIFS('Attempt Log'!$U$2:$U$101,'Attempt Log'!$B$2:$B$101,A151,'Attempt Log'!$N$2:$N$101,"Yes")/COUNTIFS('Attempt Log'!$B$2:$B$101,A151,'Attempt Log'!$N$2:$N$101,"Yes"),0)</f>
        <v>0</v>
      </c>
    </row>
    <row r="152" spans="1:33">
      <c r="A152" t="s">
        <v>821</v>
      </c>
      <c r="B152" t="s">
        <v>822</v>
      </c>
      <c r="C152" t="s">
        <v>823</v>
      </c>
      <c r="D152" t="s">
        <v>149</v>
      </c>
      <c r="E152" t="s">
        <v>150</v>
      </c>
      <c r="F152" t="s">
        <v>151</v>
      </c>
      <c r="G152" t="s">
        <v>267</v>
      </c>
      <c r="H152" t="s">
        <v>538</v>
      </c>
      <c r="I152" t="s">
        <v>539</v>
      </c>
      <c r="J152" t="s">
        <v>759</v>
      </c>
      <c r="K152" t="s">
        <v>140</v>
      </c>
      <c r="L152" t="s">
        <v>141</v>
      </c>
      <c r="M152">
        <v>2400</v>
      </c>
      <c r="N152" t="s">
        <v>153</v>
      </c>
      <c r="O152" t="s">
        <v>11</v>
      </c>
      <c r="P152" t="s">
        <v>143</v>
      </c>
      <c r="Q152" t="s">
        <v>3111</v>
      </c>
      <c r="R152" t="s">
        <v>3273</v>
      </c>
      <c r="S152" t="s">
        <v>3435</v>
      </c>
      <c r="T152">
        <v>1</v>
      </c>
      <c r="U152">
        <v>2</v>
      </c>
      <c r="V152">
        <v>1</v>
      </c>
      <c r="W152">
        <v>1</v>
      </c>
      <c r="X152">
        <v>0</v>
      </c>
      <c r="Y152" t="s">
        <v>154</v>
      </c>
      <c r="Z152" t="s">
        <v>824</v>
      </c>
      <c r="AA152" t="s">
        <v>7</v>
      </c>
      <c r="AB152" t="s">
        <v>8</v>
      </c>
      <c r="AC152" s="3">
        <f>T152*'Settings &amp; Rates'!$B$5+U152*'Settings &amp; Rates'!$B$6+V152*'Settings &amp; Rates'!$B$7+W152*'Settings &amp; Rates'!$B$8+X152*'Settings &amp; Rates'!$B$9</f>
        <v>55</v>
      </c>
      <c r="AD152" s="3">
        <f>SUMIF('Attempt Log'!$B$2:$B$101,A152,'Attempt Log'!$K$2:$K$101)</f>
        <v>0</v>
      </c>
      <c r="AE152" s="3">
        <f t="shared" si="2"/>
        <v>-55</v>
      </c>
      <c r="AF152">
        <f>COUNTIF('Attempt Log'!$B$2:$B$101,A152)</f>
        <v>0</v>
      </c>
      <c r="AG152">
        <f>IFERROR(SUMIFS('Attempt Log'!$U$2:$U$101,'Attempt Log'!$B$2:$B$101,A152,'Attempt Log'!$N$2:$N$101,"Yes")/COUNTIFS('Attempt Log'!$B$2:$B$101,A152,'Attempt Log'!$N$2:$N$101,"Yes"),0)</f>
        <v>0</v>
      </c>
    </row>
    <row r="153" spans="1:33">
      <c r="A153" t="s">
        <v>825</v>
      </c>
      <c r="B153" t="s">
        <v>826</v>
      </c>
      <c r="C153" t="s">
        <v>827</v>
      </c>
      <c r="D153" t="s">
        <v>149</v>
      </c>
      <c r="E153" t="s">
        <v>150</v>
      </c>
      <c r="F153" t="s">
        <v>151</v>
      </c>
      <c r="G153" t="s">
        <v>152</v>
      </c>
      <c r="H153" t="s">
        <v>538</v>
      </c>
      <c r="I153" t="s">
        <v>539</v>
      </c>
      <c r="J153" t="s">
        <v>759</v>
      </c>
      <c r="K153" t="s">
        <v>140</v>
      </c>
      <c r="L153" t="s">
        <v>141</v>
      </c>
      <c r="M153">
        <v>2000</v>
      </c>
      <c r="N153" t="s">
        <v>153</v>
      </c>
      <c r="O153" t="s">
        <v>11</v>
      </c>
      <c r="P153" t="s">
        <v>143</v>
      </c>
      <c r="Q153" t="s">
        <v>3120</v>
      </c>
      <c r="R153" t="s">
        <v>3282</v>
      </c>
      <c r="S153" t="s">
        <v>3444</v>
      </c>
      <c r="T153">
        <v>1</v>
      </c>
      <c r="U153">
        <v>2</v>
      </c>
      <c r="V153">
        <v>1</v>
      </c>
      <c r="W153">
        <v>1</v>
      </c>
      <c r="X153">
        <v>0</v>
      </c>
      <c r="Y153" t="s">
        <v>154</v>
      </c>
      <c r="Z153" t="s">
        <v>828</v>
      </c>
      <c r="AA153" t="s">
        <v>7</v>
      </c>
      <c r="AB153" t="s">
        <v>8</v>
      </c>
      <c r="AC153" s="3">
        <f>T153*'Settings &amp; Rates'!$B$5+U153*'Settings &amp; Rates'!$B$6+V153*'Settings &amp; Rates'!$B$7+W153*'Settings &amp; Rates'!$B$8+X153*'Settings &amp; Rates'!$B$9</f>
        <v>55</v>
      </c>
      <c r="AD153" s="3">
        <f>SUMIF('Attempt Log'!$B$2:$B$101,A153,'Attempt Log'!$K$2:$K$101)</f>
        <v>0</v>
      </c>
      <c r="AE153" s="3">
        <f t="shared" si="2"/>
        <v>-55</v>
      </c>
      <c r="AF153">
        <f>COUNTIF('Attempt Log'!$B$2:$B$101,A153)</f>
        <v>0</v>
      </c>
      <c r="AG153">
        <f>IFERROR(SUMIFS('Attempt Log'!$U$2:$U$101,'Attempt Log'!$B$2:$B$101,A153,'Attempt Log'!$N$2:$N$101,"Yes")/COUNTIFS('Attempt Log'!$B$2:$B$101,A153,'Attempt Log'!$N$2:$N$101,"Yes"),0)</f>
        <v>0</v>
      </c>
    </row>
    <row r="154" spans="1:33">
      <c r="A154" t="s">
        <v>829</v>
      </c>
      <c r="B154" t="s">
        <v>830</v>
      </c>
      <c r="C154" t="s">
        <v>831</v>
      </c>
      <c r="D154" t="s">
        <v>149</v>
      </c>
      <c r="E154" t="s">
        <v>150</v>
      </c>
      <c r="F154" t="s">
        <v>244</v>
      </c>
      <c r="G154" t="s">
        <v>245</v>
      </c>
      <c r="H154" t="s">
        <v>832</v>
      </c>
      <c r="I154" t="s">
        <v>833</v>
      </c>
      <c r="J154" t="s">
        <v>834</v>
      </c>
      <c r="K154" t="s">
        <v>140</v>
      </c>
      <c r="L154" t="s">
        <v>141</v>
      </c>
      <c r="M154">
        <v>900</v>
      </c>
      <c r="N154" t="s">
        <v>247</v>
      </c>
      <c r="O154" t="s">
        <v>11</v>
      </c>
      <c r="P154" t="s">
        <v>143</v>
      </c>
      <c r="Q154" t="s">
        <v>2968</v>
      </c>
      <c r="R154" t="s">
        <v>3130</v>
      </c>
      <c r="S154" t="s">
        <v>3292</v>
      </c>
      <c r="T154">
        <v>1</v>
      </c>
      <c r="U154">
        <v>1</v>
      </c>
      <c r="V154">
        <v>1</v>
      </c>
      <c r="W154">
        <v>1</v>
      </c>
      <c r="X154">
        <v>0</v>
      </c>
      <c r="Y154" t="s">
        <v>154</v>
      </c>
      <c r="Z154" t="s">
        <v>835</v>
      </c>
      <c r="AA154" t="s">
        <v>7</v>
      </c>
      <c r="AB154" t="s">
        <v>8</v>
      </c>
      <c r="AC154" s="3">
        <f>T154*'Settings &amp; Rates'!$B$5+U154*'Settings &amp; Rates'!$B$6+V154*'Settings &amp; Rates'!$B$7+W154*'Settings &amp; Rates'!$B$8+X154*'Settings &amp; Rates'!$B$9</f>
        <v>35</v>
      </c>
      <c r="AD154" s="3">
        <f>SUMIF('Attempt Log'!$B$2:$B$101,A154,'Attempt Log'!$K$2:$K$101)</f>
        <v>0</v>
      </c>
      <c r="AE154" s="3">
        <f t="shared" si="2"/>
        <v>-35</v>
      </c>
      <c r="AF154">
        <f>COUNTIF('Attempt Log'!$B$2:$B$101,A154)</f>
        <v>0</v>
      </c>
      <c r="AG154">
        <f>IFERROR(SUMIFS('Attempt Log'!$U$2:$U$101,'Attempt Log'!$B$2:$B$101,A154,'Attempt Log'!$N$2:$N$101,"Yes")/COUNTIFS('Attempt Log'!$B$2:$B$101,A154,'Attempt Log'!$N$2:$N$101,"Yes"),0)</f>
        <v>0</v>
      </c>
    </row>
    <row r="155" spans="1:33">
      <c r="A155" t="s">
        <v>836</v>
      </c>
      <c r="B155" t="s">
        <v>837</v>
      </c>
      <c r="C155" t="s">
        <v>838</v>
      </c>
      <c r="D155" t="s">
        <v>149</v>
      </c>
      <c r="E155" t="s">
        <v>150</v>
      </c>
      <c r="F155" t="s">
        <v>272</v>
      </c>
      <c r="G155" t="s">
        <v>273</v>
      </c>
      <c r="H155" t="s">
        <v>832</v>
      </c>
      <c r="I155" t="s">
        <v>833</v>
      </c>
      <c r="J155" t="s">
        <v>834</v>
      </c>
      <c r="K155" t="s">
        <v>129</v>
      </c>
      <c r="L155" t="s">
        <v>17</v>
      </c>
      <c r="M155">
        <v>1450</v>
      </c>
      <c r="N155" t="s">
        <v>153</v>
      </c>
      <c r="O155" t="s">
        <v>11</v>
      </c>
      <c r="P155" t="s">
        <v>143</v>
      </c>
      <c r="Q155" t="s">
        <v>2977</v>
      </c>
      <c r="R155" t="s">
        <v>3139</v>
      </c>
      <c r="S155" t="s">
        <v>3301</v>
      </c>
      <c r="T155">
        <v>2</v>
      </c>
      <c r="U155">
        <v>1</v>
      </c>
      <c r="V155">
        <v>1</v>
      </c>
      <c r="W155">
        <v>1</v>
      </c>
      <c r="X155">
        <v>0</v>
      </c>
      <c r="Y155" t="s">
        <v>154</v>
      </c>
      <c r="Z155" t="s">
        <v>839</v>
      </c>
      <c r="AA155" t="s">
        <v>7</v>
      </c>
      <c r="AB155" t="s">
        <v>8</v>
      </c>
      <c r="AC155" s="3">
        <f>T155*'Settings &amp; Rates'!$B$5+U155*'Settings &amp; Rates'!$B$6+V155*'Settings &amp; Rates'!$B$7+W155*'Settings &amp; Rates'!$B$8+X155*'Settings &amp; Rates'!$B$9</f>
        <v>35</v>
      </c>
      <c r="AD155" s="3">
        <f>SUMIF('Attempt Log'!$B$2:$B$101,A155,'Attempt Log'!$K$2:$K$101)</f>
        <v>0</v>
      </c>
      <c r="AE155" s="3">
        <f t="shared" si="2"/>
        <v>-35</v>
      </c>
      <c r="AF155">
        <f>COUNTIF('Attempt Log'!$B$2:$B$101,A155)</f>
        <v>0</v>
      </c>
      <c r="AG155">
        <f>IFERROR(SUMIFS('Attempt Log'!$U$2:$U$101,'Attempt Log'!$B$2:$B$101,A155,'Attempt Log'!$N$2:$N$101,"Yes")/COUNTIFS('Attempt Log'!$B$2:$B$101,A155,'Attempt Log'!$N$2:$N$101,"Yes"),0)</f>
        <v>0</v>
      </c>
    </row>
    <row r="156" spans="1:33">
      <c r="A156" t="s">
        <v>840</v>
      </c>
      <c r="B156" t="s">
        <v>841</v>
      </c>
      <c r="C156" t="s">
        <v>842</v>
      </c>
      <c r="D156" t="s">
        <v>149</v>
      </c>
      <c r="E156" t="s">
        <v>150</v>
      </c>
      <c r="F156" t="s">
        <v>272</v>
      </c>
      <c r="G156" t="s">
        <v>279</v>
      </c>
      <c r="H156" t="s">
        <v>832</v>
      </c>
      <c r="I156" t="s">
        <v>833</v>
      </c>
      <c r="J156" t="s">
        <v>834</v>
      </c>
      <c r="K156" t="s">
        <v>129</v>
      </c>
      <c r="L156" t="s">
        <v>17</v>
      </c>
      <c r="M156">
        <v>1200</v>
      </c>
      <c r="N156" t="s">
        <v>153</v>
      </c>
      <c r="O156" t="s">
        <v>11</v>
      </c>
      <c r="P156" t="s">
        <v>143</v>
      </c>
      <c r="Q156" t="s">
        <v>2986</v>
      </c>
      <c r="R156" t="s">
        <v>3148</v>
      </c>
      <c r="S156" t="s">
        <v>3310</v>
      </c>
      <c r="T156">
        <v>2</v>
      </c>
      <c r="U156">
        <v>1</v>
      </c>
      <c r="V156">
        <v>1</v>
      </c>
      <c r="W156">
        <v>1</v>
      </c>
      <c r="X156">
        <v>0</v>
      </c>
      <c r="Y156" t="s">
        <v>154</v>
      </c>
      <c r="Z156" t="s">
        <v>843</v>
      </c>
      <c r="AA156" t="s">
        <v>7</v>
      </c>
      <c r="AB156" t="s">
        <v>8</v>
      </c>
      <c r="AC156" s="3">
        <f>T156*'Settings &amp; Rates'!$B$5+U156*'Settings &amp; Rates'!$B$6+V156*'Settings &amp; Rates'!$B$7+W156*'Settings &amp; Rates'!$B$8+X156*'Settings &amp; Rates'!$B$9</f>
        <v>35</v>
      </c>
      <c r="AD156" s="3">
        <f>SUMIF('Attempt Log'!$B$2:$B$101,A156,'Attempt Log'!$K$2:$K$101)</f>
        <v>0</v>
      </c>
      <c r="AE156" s="3">
        <f t="shared" si="2"/>
        <v>-35</v>
      </c>
      <c r="AF156">
        <f>COUNTIF('Attempt Log'!$B$2:$B$101,A156)</f>
        <v>0</v>
      </c>
      <c r="AG156">
        <f>IFERROR(SUMIFS('Attempt Log'!$U$2:$U$101,'Attempt Log'!$B$2:$B$101,A156,'Attempt Log'!$N$2:$N$101,"Yes")/COUNTIFS('Attempt Log'!$B$2:$B$101,A156,'Attempt Log'!$N$2:$N$101,"Yes"),0)</f>
        <v>0</v>
      </c>
    </row>
    <row r="157" spans="1:33">
      <c r="A157" t="s">
        <v>844</v>
      </c>
      <c r="B157" t="s">
        <v>845</v>
      </c>
      <c r="C157" t="s">
        <v>846</v>
      </c>
      <c r="D157" t="s">
        <v>149</v>
      </c>
      <c r="E157" t="s">
        <v>150</v>
      </c>
      <c r="F157" t="s">
        <v>272</v>
      </c>
      <c r="G157" t="s">
        <v>284</v>
      </c>
      <c r="H157" t="s">
        <v>832</v>
      </c>
      <c r="I157" t="s">
        <v>833</v>
      </c>
      <c r="J157" t="s">
        <v>834</v>
      </c>
      <c r="K157" t="s">
        <v>129</v>
      </c>
      <c r="L157" t="s">
        <v>17</v>
      </c>
      <c r="M157">
        <v>1500</v>
      </c>
      <c r="N157" t="s">
        <v>153</v>
      </c>
      <c r="O157" t="s">
        <v>11</v>
      </c>
      <c r="P157" t="s">
        <v>143</v>
      </c>
      <c r="Q157" t="s">
        <v>2995</v>
      </c>
      <c r="R157" t="s">
        <v>3157</v>
      </c>
      <c r="S157" t="s">
        <v>3319</v>
      </c>
      <c r="T157">
        <v>2</v>
      </c>
      <c r="U157">
        <v>1</v>
      </c>
      <c r="V157">
        <v>1</v>
      </c>
      <c r="W157">
        <v>1</v>
      </c>
      <c r="X157">
        <v>0</v>
      </c>
      <c r="Y157" t="s">
        <v>154</v>
      </c>
      <c r="Z157" t="s">
        <v>847</v>
      </c>
      <c r="AA157" t="s">
        <v>7</v>
      </c>
      <c r="AB157" t="s">
        <v>8</v>
      </c>
      <c r="AC157" s="3">
        <f>T157*'Settings &amp; Rates'!$B$5+U157*'Settings &amp; Rates'!$B$6+V157*'Settings &amp; Rates'!$B$7+W157*'Settings &amp; Rates'!$B$8+X157*'Settings &amp; Rates'!$B$9</f>
        <v>35</v>
      </c>
      <c r="AD157" s="3">
        <f>SUMIF('Attempt Log'!$B$2:$B$101,A157,'Attempt Log'!$K$2:$K$101)</f>
        <v>0</v>
      </c>
      <c r="AE157" s="3">
        <f t="shared" si="2"/>
        <v>-35</v>
      </c>
      <c r="AF157">
        <f>COUNTIF('Attempt Log'!$B$2:$B$101,A157)</f>
        <v>0</v>
      </c>
      <c r="AG157">
        <f>IFERROR(SUMIFS('Attempt Log'!$U$2:$U$101,'Attempt Log'!$B$2:$B$101,A157,'Attempt Log'!$N$2:$N$101,"Yes")/COUNTIFS('Attempt Log'!$B$2:$B$101,A157,'Attempt Log'!$N$2:$N$101,"Yes"),0)</f>
        <v>0</v>
      </c>
    </row>
    <row r="158" spans="1:33">
      <c r="A158" t="s">
        <v>848</v>
      </c>
      <c r="B158" t="s">
        <v>849</v>
      </c>
      <c r="C158" t="s">
        <v>850</v>
      </c>
      <c r="D158" t="s">
        <v>149</v>
      </c>
      <c r="E158" t="s">
        <v>150</v>
      </c>
      <c r="F158" t="s">
        <v>272</v>
      </c>
      <c r="G158" t="s">
        <v>289</v>
      </c>
      <c r="H158" t="s">
        <v>832</v>
      </c>
      <c r="I158" t="s">
        <v>833</v>
      </c>
      <c r="J158" t="s">
        <v>834</v>
      </c>
      <c r="K158" t="s">
        <v>129</v>
      </c>
      <c r="L158" t="s">
        <v>17</v>
      </c>
      <c r="M158">
        <v>3350</v>
      </c>
      <c r="N158" t="s">
        <v>153</v>
      </c>
      <c r="O158" t="s">
        <v>11</v>
      </c>
      <c r="P158" t="s">
        <v>143</v>
      </c>
      <c r="Q158" t="s">
        <v>3004</v>
      </c>
      <c r="R158" t="s">
        <v>3166</v>
      </c>
      <c r="S158" t="s">
        <v>3328</v>
      </c>
      <c r="T158">
        <v>2</v>
      </c>
      <c r="U158">
        <v>1</v>
      </c>
      <c r="V158">
        <v>1</v>
      </c>
      <c r="W158">
        <v>1</v>
      </c>
      <c r="X158">
        <v>0</v>
      </c>
      <c r="Y158" t="s">
        <v>154</v>
      </c>
      <c r="Z158" t="s">
        <v>851</v>
      </c>
      <c r="AA158" t="s">
        <v>7</v>
      </c>
      <c r="AB158" t="s">
        <v>8</v>
      </c>
      <c r="AC158" s="3">
        <f>T158*'Settings &amp; Rates'!$B$5+U158*'Settings &amp; Rates'!$B$6+V158*'Settings &amp; Rates'!$B$7+W158*'Settings &amp; Rates'!$B$8+X158*'Settings &amp; Rates'!$B$9</f>
        <v>35</v>
      </c>
      <c r="AD158" s="3">
        <f>SUMIF('Attempt Log'!$B$2:$B$101,A158,'Attempt Log'!$K$2:$K$101)</f>
        <v>0</v>
      </c>
      <c r="AE158" s="3">
        <f t="shared" si="2"/>
        <v>-35</v>
      </c>
      <c r="AF158">
        <f>COUNTIF('Attempt Log'!$B$2:$B$101,A158)</f>
        <v>0</v>
      </c>
      <c r="AG158">
        <f>IFERROR(SUMIFS('Attempt Log'!$U$2:$U$101,'Attempt Log'!$B$2:$B$101,A158,'Attempt Log'!$N$2:$N$101,"Yes")/COUNTIFS('Attempt Log'!$B$2:$B$101,A158,'Attempt Log'!$N$2:$N$101,"Yes"),0)</f>
        <v>0</v>
      </c>
    </row>
    <row r="159" spans="1:33">
      <c r="A159" t="s">
        <v>852</v>
      </c>
      <c r="B159" t="s">
        <v>853</v>
      </c>
      <c r="C159" t="s">
        <v>854</v>
      </c>
      <c r="D159" t="s">
        <v>149</v>
      </c>
      <c r="E159" t="s">
        <v>150</v>
      </c>
      <c r="F159" t="s">
        <v>294</v>
      </c>
      <c r="G159" t="s">
        <v>295</v>
      </c>
      <c r="H159" t="s">
        <v>832</v>
      </c>
      <c r="I159" t="s">
        <v>833</v>
      </c>
      <c r="J159" t="s">
        <v>834</v>
      </c>
      <c r="K159" t="s">
        <v>129</v>
      </c>
      <c r="L159" t="s">
        <v>17</v>
      </c>
      <c r="M159">
        <v>1750</v>
      </c>
      <c r="N159" t="s">
        <v>153</v>
      </c>
      <c r="O159" t="s">
        <v>11</v>
      </c>
      <c r="P159" t="s">
        <v>143</v>
      </c>
      <c r="Q159" t="s">
        <v>3013</v>
      </c>
      <c r="R159" t="s">
        <v>3175</v>
      </c>
      <c r="S159" t="s">
        <v>3337</v>
      </c>
      <c r="T159">
        <v>2</v>
      </c>
      <c r="U159">
        <v>1</v>
      </c>
      <c r="V159">
        <v>1</v>
      </c>
      <c r="W159">
        <v>1</v>
      </c>
      <c r="X159">
        <v>0</v>
      </c>
      <c r="Y159" t="s">
        <v>154</v>
      </c>
      <c r="Z159" t="s">
        <v>855</v>
      </c>
      <c r="AA159" t="s">
        <v>7</v>
      </c>
      <c r="AB159" t="s">
        <v>8</v>
      </c>
      <c r="AC159" s="3">
        <f>T159*'Settings &amp; Rates'!$B$5+U159*'Settings &amp; Rates'!$B$6+V159*'Settings &amp; Rates'!$B$7+W159*'Settings &amp; Rates'!$B$8+X159*'Settings &amp; Rates'!$B$9</f>
        <v>35</v>
      </c>
      <c r="AD159" s="3">
        <f>SUMIF('Attempt Log'!$B$2:$B$101,A159,'Attempt Log'!$K$2:$K$101)</f>
        <v>0</v>
      </c>
      <c r="AE159" s="3">
        <f t="shared" si="2"/>
        <v>-35</v>
      </c>
      <c r="AF159">
        <f>COUNTIF('Attempt Log'!$B$2:$B$101,A159)</f>
        <v>0</v>
      </c>
      <c r="AG159">
        <f>IFERROR(SUMIFS('Attempt Log'!$U$2:$U$101,'Attempt Log'!$B$2:$B$101,A159,'Attempt Log'!$N$2:$N$101,"Yes")/COUNTIFS('Attempt Log'!$B$2:$B$101,A159,'Attempt Log'!$N$2:$N$101,"Yes"),0)</f>
        <v>0</v>
      </c>
    </row>
    <row r="160" spans="1:33">
      <c r="A160" t="s">
        <v>856</v>
      </c>
      <c r="B160" t="s">
        <v>857</v>
      </c>
      <c r="C160" t="s">
        <v>858</v>
      </c>
      <c r="D160" t="s">
        <v>149</v>
      </c>
      <c r="E160" t="s">
        <v>150</v>
      </c>
      <c r="F160" t="s">
        <v>294</v>
      </c>
      <c r="G160" t="s">
        <v>300</v>
      </c>
      <c r="H160" t="s">
        <v>832</v>
      </c>
      <c r="I160" t="s">
        <v>833</v>
      </c>
      <c r="J160" t="s">
        <v>834</v>
      </c>
      <c r="K160" t="s">
        <v>129</v>
      </c>
      <c r="L160" t="s">
        <v>17</v>
      </c>
      <c r="M160">
        <v>3750</v>
      </c>
      <c r="N160" t="s">
        <v>153</v>
      </c>
      <c r="O160" t="s">
        <v>11</v>
      </c>
      <c r="P160" t="s">
        <v>143</v>
      </c>
      <c r="Q160" t="s">
        <v>3022</v>
      </c>
      <c r="R160" t="s">
        <v>3184</v>
      </c>
      <c r="S160" t="s">
        <v>3346</v>
      </c>
      <c r="T160">
        <v>2</v>
      </c>
      <c r="U160">
        <v>1</v>
      </c>
      <c r="V160">
        <v>1</v>
      </c>
      <c r="W160">
        <v>1</v>
      </c>
      <c r="X160">
        <v>0</v>
      </c>
      <c r="Y160" t="s">
        <v>154</v>
      </c>
      <c r="Z160" t="s">
        <v>859</v>
      </c>
      <c r="AA160" t="s">
        <v>7</v>
      </c>
      <c r="AB160" t="s">
        <v>8</v>
      </c>
      <c r="AC160" s="3">
        <f>T160*'Settings &amp; Rates'!$B$5+U160*'Settings &amp; Rates'!$B$6+V160*'Settings &amp; Rates'!$B$7+W160*'Settings &amp; Rates'!$B$8+X160*'Settings &amp; Rates'!$B$9</f>
        <v>35</v>
      </c>
      <c r="AD160" s="3">
        <f>SUMIF('Attempt Log'!$B$2:$B$101,A160,'Attempt Log'!$K$2:$K$101)</f>
        <v>0</v>
      </c>
      <c r="AE160" s="3">
        <f t="shared" si="2"/>
        <v>-35</v>
      </c>
      <c r="AF160">
        <f>COUNTIF('Attempt Log'!$B$2:$B$101,A160)</f>
        <v>0</v>
      </c>
      <c r="AG160">
        <f>IFERROR(SUMIFS('Attempt Log'!$U$2:$U$101,'Attempt Log'!$B$2:$B$101,A160,'Attempt Log'!$N$2:$N$101,"Yes")/COUNTIFS('Attempt Log'!$B$2:$B$101,A160,'Attempt Log'!$N$2:$N$101,"Yes"),0)</f>
        <v>0</v>
      </c>
    </row>
    <row r="161" spans="1:33">
      <c r="A161" t="s">
        <v>860</v>
      </c>
      <c r="B161" t="s">
        <v>861</v>
      </c>
      <c r="C161" t="s">
        <v>862</v>
      </c>
      <c r="D161" t="s">
        <v>149</v>
      </c>
      <c r="E161" t="s">
        <v>150</v>
      </c>
      <c r="F161" t="s">
        <v>294</v>
      </c>
      <c r="G161" t="s">
        <v>305</v>
      </c>
      <c r="H161" t="s">
        <v>832</v>
      </c>
      <c r="I161" t="s">
        <v>833</v>
      </c>
      <c r="J161" t="s">
        <v>834</v>
      </c>
      <c r="K161" t="s">
        <v>129</v>
      </c>
      <c r="L161" t="s">
        <v>17</v>
      </c>
      <c r="M161">
        <v>1550</v>
      </c>
      <c r="N161" t="s">
        <v>153</v>
      </c>
      <c r="O161" t="s">
        <v>11</v>
      </c>
      <c r="P161" t="s">
        <v>143</v>
      </c>
      <c r="Q161" t="s">
        <v>3031</v>
      </c>
      <c r="R161" t="s">
        <v>3193</v>
      </c>
      <c r="S161" t="s">
        <v>3355</v>
      </c>
      <c r="T161">
        <v>2</v>
      </c>
      <c r="U161">
        <v>1</v>
      </c>
      <c r="V161">
        <v>1</v>
      </c>
      <c r="W161">
        <v>1</v>
      </c>
      <c r="X161">
        <v>0</v>
      </c>
      <c r="Y161" t="s">
        <v>154</v>
      </c>
      <c r="Z161" t="s">
        <v>863</v>
      </c>
      <c r="AA161" t="s">
        <v>7</v>
      </c>
      <c r="AB161" t="s">
        <v>8</v>
      </c>
      <c r="AC161" s="3">
        <f>T161*'Settings &amp; Rates'!$B$5+U161*'Settings &amp; Rates'!$B$6+V161*'Settings &amp; Rates'!$B$7+W161*'Settings &amp; Rates'!$B$8+X161*'Settings &amp; Rates'!$B$9</f>
        <v>35</v>
      </c>
      <c r="AD161" s="3">
        <f>SUMIF('Attempt Log'!$B$2:$B$101,A161,'Attempt Log'!$K$2:$K$101)</f>
        <v>0</v>
      </c>
      <c r="AE161" s="3">
        <f t="shared" si="2"/>
        <v>-35</v>
      </c>
      <c r="AF161">
        <f>COUNTIF('Attempt Log'!$B$2:$B$101,A161)</f>
        <v>0</v>
      </c>
      <c r="AG161">
        <f>IFERROR(SUMIFS('Attempt Log'!$U$2:$U$101,'Attempt Log'!$B$2:$B$101,A161,'Attempt Log'!$N$2:$N$101,"Yes")/COUNTIFS('Attempt Log'!$B$2:$B$101,A161,'Attempt Log'!$N$2:$N$101,"Yes"),0)</f>
        <v>0</v>
      </c>
    </row>
    <row r="162" spans="1:33">
      <c r="A162" t="s">
        <v>864</v>
      </c>
      <c r="B162" t="s">
        <v>865</v>
      </c>
      <c r="C162" t="s">
        <v>866</v>
      </c>
      <c r="D162" t="s">
        <v>149</v>
      </c>
      <c r="E162" t="s">
        <v>150</v>
      </c>
      <c r="F162" t="s">
        <v>294</v>
      </c>
      <c r="G162" t="s">
        <v>310</v>
      </c>
      <c r="H162" t="s">
        <v>832</v>
      </c>
      <c r="I162" t="s">
        <v>833</v>
      </c>
      <c r="J162" t="s">
        <v>834</v>
      </c>
      <c r="K162" t="s">
        <v>129</v>
      </c>
      <c r="L162" t="s">
        <v>17</v>
      </c>
      <c r="M162">
        <v>2200</v>
      </c>
      <c r="N162" t="s">
        <v>153</v>
      </c>
      <c r="O162" t="s">
        <v>11</v>
      </c>
      <c r="P162" t="s">
        <v>143</v>
      </c>
      <c r="Q162" t="s">
        <v>3040</v>
      </c>
      <c r="R162" t="s">
        <v>3202</v>
      </c>
      <c r="S162" t="s">
        <v>3364</v>
      </c>
      <c r="T162">
        <v>2</v>
      </c>
      <c r="U162">
        <v>1</v>
      </c>
      <c r="V162">
        <v>1</v>
      </c>
      <c r="W162">
        <v>1</v>
      </c>
      <c r="X162">
        <v>0</v>
      </c>
      <c r="Y162" t="s">
        <v>154</v>
      </c>
      <c r="Z162" t="s">
        <v>867</v>
      </c>
      <c r="AA162" t="s">
        <v>7</v>
      </c>
      <c r="AB162" t="s">
        <v>8</v>
      </c>
      <c r="AC162" s="3">
        <f>T162*'Settings &amp; Rates'!$B$5+U162*'Settings &amp; Rates'!$B$6+V162*'Settings &amp; Rates'!$B$7+W162*'Settings &amp; Rates'!$B$8+X162*'Settings &amp; Rates'!$B$9</f>
        <v>35</v>
      </c>
      <c r="AD162" s="3">
        <f>SUMIF('Attempt Log'!$B$2:$B$101,A162,'Attempt Log'!$K$2:$K$101)</f>
        <v>0</v>
      </c>
      <c r="AE162" s="3">
        <f t="shared" si="2"/>
        <v>-35</v>
      </c>
      <c r="AF162">
        <f>COUNTIF('Attempt Log'!$B$2:$B$101,A162)</f>
        <v>0</v>
      </c>
      <c r="AG162">
        <f>IFERROR(SUMIFS('Attempt Log'!$U$2:$U$101,'Attempt Log'!$B$2:$B$101,A162,'Attempt Log'!$N$2:$N$101,"Yes")/COUNTIFS('Attempt Log'!$B$2:$B$101,A162,'Attempt Log'!$N$2:$N$101,"Yes"),0)</f>
        <v>0</v>
      </c>
    </row>
    <row r="163" spans="1:33">
      <c r="A163" t="s">
        <v>868</v>
      </c>
      <c r="B163" t="s">
        <v>869</v>
      </c>
      <c r="C163" t="s">
        <v>870</v>
      </c>
      <c r="D163" t="s">
        <v>149</v>
      </c>
      <c r="E163" t="s">
        <v>150</v>
      </c>
      <c r="F163" t="s">
        <v>315</v>
      </c>
      <c r="G163" t="s">
        <v>316</v>
      </c>
      <c r="H163" t="s">
        <v>832</v>
      </c>
      <c r="I163" t="s">
        <v>833</v>
      </c>
      <c r="J163" t="s">
        <v>834</v>
      </c>
      <c r="K163" t="s">
        <v>129</v>
      </c>
      <c r="L163" t="s">
        <v>17</v>
      </c>
      <c r="M163">
        <v>1450</v>
      </c>
      <c r="N163" t="s">
        <v>153</v>
      </c>
      <c r="O163" t="s">
        <v>11</v>
      </c>
      <c r="P163" t="s">
        <v>143</v>
      </c>
      <c r="Q163" t="s">
        <v>3049</v>
      </c>
      <c r="R163" t="s">
        <v>3211</v>
      </c>
      <c r="S163" t="s">
        <v>3373</v>
      </c>
      <c r="T163">
        <v>2</v>
      </c>
      <c r="U163">
        <v>1</v>
      </c>
      <c r="V163">
        <v>1</v>
      </c>
      <c r="W163">
        <v>1</v>
      </c>
      <c r="X163">
        <v>0</v>
      </c>
      <c r="Y163" t="s">
        <v>154</v>
      </c>
      <c r="Z163" t="s">
        <v>871</v>
      </c>
      <c r="AA163" t="s">
        <v>7</v>
      </c>
      <c r="AB163" t="s">
        <v>8</v>
      </c>
      <c r="AC163" s="3">
        <f>T163*'Settings &amp; Rates'!$B$5+U163*'Settings &amp; Rates'!$B$6+V163*'Settings &amp; Rates'!$B$7+W163*'Settings &amp; Rates'!$B$8+X163*'Settings &amp; Rates'!$B$9</f>
        <v>35</v>
      </c>
      <c r="AD163" s="3">
        <f>SUMIF('Attempt Log'!$B$2:$B$101,A163,'Attempt Log'!$K$2:$K$101)</f>
        <v>0</v>
      </c>
      <c r="AE163" s="3">
        <f t="shared" si="2"/>
        <v>-35</v>
      </c>
      <c r="AF163">
        <f>COUNTIF('Attempt Log'!$B$2:$B$101,A163)</f>
        <v>0</v>
      </c>
      <c r="AG163">
        <f>IFERROR(SUMIFS('Attempt Log'!$U$2:$U$101,'Attempt Log'!$B$2:$B$101,A163,'Attempt Log'!$N$2:$N$101,"Yes")/COUNTIFS('Attempt Log'!$B$2:$B$101,A163,'Attempt Log'!$N$2:$N$101,"Yes"),0)</f>
        <v>0</v>
      </c>
    </row>
    <row r="164" spans="1:33">
      <c r="A164" t="s">
        <v>872</v>
      </c>
      <c r="B164" t="s">
        <v>873</v>
      </c>
      <c r="C164" t="s">
        <v>874</v>
      </c>
      <c r="D164" t="s">
        <v>149</v>
      </c>
      <c r="E164" t="s">
        <v>150</v>
      </c>
      <c r="F164" t="s">
        <v>315</v>
      </c>
      <c r="G164" t="s">
        <v>321</v>
      </c>
      <c r="H164" t="s">
        <v>832</v>
      </c>
      <c r="I164" t="s">
        <v>833</v>
      </c>
      <c r="J164" t="s">
        <v>834</v>
      </c>
      <c r="K164" t="s">
        <v>129</v>
      </c>
      <c r="L164" t="s">
        <v>17</v>
      </c>
      <c r="M164">
        <v>2800</v>
      </c>
      <c r="N164" t="s">
        <v>153</v>
      </c>
      <c r="O164" t="s">
        <v>11</v>
      </c>
      <c r="P164" t="s">
        <v>143</v>
      </c>
      <c r="Q164" t="s">
        <v>3058</v>
      </c>
      <c r="R164" t="s">
        <v>3220</v>
      </c>
      <c r="S164" t="s">
        <v>3382</v>
      </c>
      <c r="T164">
        <v>2</v>
      </c>
      <c r="U164">
        <v>1</v>
      </c>
      <c r="V164">
        <v>1</v>
      </c>
      <c r="W164">
        <v>1</v>
      </c>
      <c r="X164">
        <v>0</v>
      </c>
      <c r="Y164" t="s">
        <v>154</v>
      </c>
      <c r="Z164" t="s">
        <v>875</v>
      </c>
      <c r="AA164" t="s">
        <v>7</v>
      </c>
      <c r="AB164" t="s">
        <v>8</v>
      </c>
      <c r="AC164" s="3">
        <f>T164*'Settings &amp; Rates'!$B$5+U164*'Settings &amp; Rates'!$B$6+V164*'Settings &amp; Rates'!$B$7+W164*'Settings &amp; Rates'!$B$8+X164*'Settings &amp; Rates'!$B$9</f>
        <v>35</v>
      </c>
      <c r="AD164" s="3">
        <f>SUMIF('Attempt Log'!$B$2:$B$101,A164,'Attempt Log'!$K$2:$K$101)</f>
        <v>0</v>
      </c>
      <c r="AE164" s="3">
        <f t="shared" si="2"/>
        <v>-35</v>
      </c>
      <c r="AF164">
        <f>COUNTIF('Attempt Log'!$B$2:$B$101,A164)</f>
        <v>0</v>
      </c>
      <c r="AG164">
        <f>IFERROR(SUMIFS('Attempt Log'!$U$2:$U$101,'Attempt Log'!$B$2:$B$101,A164,'Attempt Log'!$N$2:$N$101,"Yes")/COUNTIFS('Attempt Log'!$B$2:$B$101,A164,'Attempt Log'!$N$2:$N$101,"Yes"),0)</f>
        <v>0</v>
      </c>
    </row>
    <row r="165" spans="1:33">
      <c r="A165" t="s">
        <v>876</v>
      </c>
      <c r="B165" t="s">
        <v>877</v>
      </c>
      <c r="C165" t="s">
        <v>878</v>
      </c>
      <c r="D165" t="s">
        <v>149</v>
      </c>
      <c r="E165" t="s">
        <v>150</v>
      </c>
      <c r="F165" t="s">
        <v>315</v>
      </c>
      <c r="G165" t="s">
        <v>326</v>
      </c>
      <c r="H165" t="s">
        <v>832</v>
      </c>
      <c r="I165" t="s">
        <v>833</v>
      </c>
      <c r="J165" t="s">
        <v>834</v>
      </c>
      <c r="K165" t="s">
        <v>129</v>
      </c>
      <c r="L165" t="s">
        <v>17</v>
      </c>
      <c r="M165">
        <v>1200</v>
      </c>
      <c r="N165" t="s">
        <v>153</v>
      </c>
      <c r="O165" t="s">
        <v>11</v>
      </c>
      <c r="P165" t="s">
        <v>143</v>
      </c>
      <c r="Q165" t="s">
        <v>3067</v>
      </c>
      <c r="R165" t="s">
        <v>3229</v>
      </c>
      <c r="S165" t="s">
        <v>3391</v>
      </c>
      <c r="T165">
        <v>2</v>
      </c>
      <c r="U165">
        <v>1</v>
      </c>
      <c r="V165">
        <v>1</v>
      </c>
      <c r="W165">
        <v>1</v>
      </c>
      <c r="X165">
        <v>0</v>
      </c>
      <c r="Y165" t="s">
        <v>154</v>
      </c>
      <c r="Z165" t="s">
        <v>879</v>
      </c>
      <c r="AA165" t="s">
        <v>7</v>
      </c>
      <c r="AB165" t="s">
        <v>8</v>
      </c>
      <c r="AC165" s="3">
        <f>T165*'Settings &amp; Rates'!$B$5+U165*'Settings &amp; Rates'!$B$6+V165*'Settings &amp; Rates'!$B$7+W165*'Settings &amp; Rates'!$B$8+X165*'Settings &amp; Rates'!$B$9</f>
        <v>35</v>
      </c>
      <c r="AD165" s="3">
        <f>SUMIF('Attempt Log'!$B$2:$B$101,A165,'Attempt Log'!$K$2:$K$101)</f>
        <v>0</v>
      </c>
      <c r="AE165" s="3">
        <f t="shared" si="2"/>
        <v>-35</v>
      </c>
      <c r="AF165">
        <f>COUNTIF('Attempt Log'!$B$2:$B$101,A165)</f>
        <v>0</v>
      </c>
      <c r="AG165">
        <f>IFERROR(SUMIFS('Attempt Log'!$U$2:$U$101,'Attempt Log'!$B$2:$B$101,A165,'Attempt Log'!$N$2:$N$101,"Yes")/COUNTIFS('Attempt Log'!$B$2:$B$101,A165,'Attempt Log'!$N$2:$N$101,"Yes"),0)</f>
        <v>0</v>
      </c>
    </row>
    <row r="166" spans="1:33">
      <c r="A166" t="s">
        <v>880</v>
      </c>
      <c r="B166" t="s">
        <v>881</v>
      </c>
      <c r="C166" t="s">
        <v>882</v>
      </c>
      <c r="D166" t="s">
        <v>149</v>
      </c>
      <c r="E166" t="s">
        <v>150</v>
      </c>
      <c r="F166" t="s">
        <v>315</v>
      </c>
      <c r="G166" t="s">
        <v>331</v>
      </c>
      <c r="H166" t="s">
        <v>832</v>
      </c>
      <c r="I166" t="s">
        <v>833</v>
      </c>
      <c r="J166" t="s">
        <v>834</v>
      </c>
      <c r="K166" t="s">
        <v>129</v>
      </c>
      <c r="L166" t="s">
        <v>17</v>
      </c>
      <c r="M166">
        <v>1450</v>
      </c>
      <c r="N166" t="s">
        <v>153</v>
      </c>
      <c r="O166" t="s">
        <v>11</v>
      </c>
      <c r="P166" t="s">
        <v>143</v>
      </c>
      <c r="Q166" t="s">
        <v>3076</v>
      </c>
      <c r="R166" t="s">
        <v>3238</v>
      </c>
      <c r="S166" t="s">
        <v>3400</v>
      </c>
      <c r="T166">
        <v>2</v>
      </c>
      <c r="U166">
        <v>1</v>
      </c>
      <c r="V166">
        <v>1</v>
      </c>
      <c r="W166">
        <v>1</v>
      </c>
      <c r="X166">
        <v>0</v>
      </c>
      <c r="Y166" t="s">
        <v>154</v>
      </c>
      <c r="Z166" t="s">
        <v>883</v>
      </c>
      <c r="AA166" t="s">
        <v>7</v>
      </c>
      <c r="AB166" t="s">
        <v>8</v>
      </c>
      <c r="AC166" s="3">
        <f>T166*'Settings &amp; Rates'!$B$5+U166*'Settings &amp; Rates'!$B$6+V166*'Settings &amp; Rates'!$B$7+W166*'Settings &amp; Rates'!$B$8+X166*'Settings &amp; Rates'!$B$9</f>
        <v>35</v>
      </c>
      <c r="AD166" s="3">
        <f>SUMIF('Attempt Log'!$B$2:$B$101,A166,'Attempt Log'!$K$2:$K$101)</f>
        <v>0</v>
      </c>
      <c r="AE166" s="3">
        <f t="shared" si="2"/>
        <v>-35</v>
      </c>
      <c r="AF166">
        <f>COUNTIF('Attempt Log'!$B$2:$B$101,A166)</f>
        <v>0</v>
      </c>
      <c r="AG166">
        <f>IFERROR(SUMIFS('Attempt Log'!$U$2:$U$101,'Attempt Log'!$B$2:$B$101,A166,'Attempt Log'!$N$2:$N$101,"Yes")/COUNTIFS('Attempt Log'!$B$2:$B$101,A166,'Attempt Log'!$N$2:$N$101,"Yes"),0)</f>
        <v>0</v>
      </c>
    </row>
    <row r="167" spans="1:33">
      <c r="A167" t="s">
        <v>884</v>
      </c>
      <c r="B167" t="s">
        <v>885</v>
      </c>
      <c r="C167" t="s">
        <v>886</v>
      </c>
      <c r="D167" t="s">
        <v>149</v>
      </c>
      <c r="E167" t="s">
        <v>150</v>
      </c>
      <c r="F167" t="s">
        <v>151</v>
      </c>
      <c r="G167" t="s">
        <v>252</v>
      </c>
      <c r="H167" t="s">
        <v>832</v>
      </c>
      <c r="I167" t="s">
        <v>833</v>
      </c>
      <c r="J167" t="s">
        <v>834</v>
      </c>
      <c r="K167" t="s">
        <v>140</v>
      </c>
      <c r="L167" t="s">
        <v>141</v>
      </c>
      <c r="M167">
        <v>1700</v>
      </c>
      <c r="N167" t="s">
        <v>153</v>
      </c>
      <c r="O167" t="s">
        <v>11</v>
      </c>
      <c r="P167" t="s">
        <v>143</v>
      </c>
      <c r="Q167" t="s">
        <v>3085</v>
      </c>
      <c r="R167" t="s">
        <v>3247</v>
      </c>
      <c r="S167" t="s">
        <v>3409</v>
      </c>
      <c r="T167">
        <v>1</v>
      </c>
      <c r="U167">
        <v>1</v>
      </c>
      <c r="V167">
        <v>1</v>
      </c>
      <c r="W167">
        <v>1</v>
      </c>
      <c r="X167">
        <v>0</v>
      </c>
      <c r="Y167" t="s">
        <v>154</v>
      </c>
      <c r="Z167" t="s">
        <v>887</v>
      </c>
      <c r="AA167" t="s">
        <v>7</v>
      </c>
      <c r="AB167" t="s">
        <v>8</v>
      </c>
      <c r="AC167" s="3">
        <f>T167*'Settings &amp; Rates'!$B$5+U167*'Settings &amp; Rates'!$B$6+V167*'Settings &amp; Rates'!$B$7+W167*'Settings &amp; Rates'!$B$8+X167*'Settings &amp; Rates'!$B$9</f>
        <v>35</v>
      </c>
      <c r="AD167" s="3">
        <f>SUMIF('Attempt Log'!$B$2:$B$101,A167,'Attempt Log'!$K$2:$K$101)</f>
        <v>0</v>
      </c>
      <c r="AE167" s="3">
        <f t="shared" si="2"/>
        <v>-35</v>
      </c>
      <c r="AF167">
        <f>COUNTIF('Attempt Log'!$B$2:$B$101,A167)</f>
        <v>0</v>
      </c>
      <c r="AG167">
        <f>IFERROR(SUMIFS('Attempt Log'!$U$2:$U$101,'Attempt Log'!$B$2:$B$101,A167,'Attempt Log'!$N$2:$N$101,"Yes")/COUNTIFS('Attempt Log'!$B$2:$B$101,A167,'Attempt Log'!$N$2:$N$101,"Yes"),0)</f>
        <v>0</v>
      </c>
    </row>
    <row r="168" spans="1:33">
      <c r="A168" t="s">
        <v>888</v>
      </c>
      <c r="B168" t="s">
        <v>889</v>
      </c>
      <c r="C168" t="s">
        <v>890</v>
      </c>
      <c r="D168" t="s">
        <v>149</v>
      </c>
      <c r="E168" t="s">
        <v>150</v>
      </c>
      <c r="F168" t="s">
        <v>244</v>
      </c>
      <c r="G168" t="s">
        <v>257</v>
      </c>
      <c r="H168" t="s">
        <v>832</v>
      </c>
      <c r="I168" t="s">
        <v>833</v>
      </c>
      <c r="J168" t="s">
        <v>834</v>
      </c>
      <c r="K168" t="s">
        <v>140</v>
      </c>
      <c r="L168" t="s">
        <v>141</v>
      </c>
      <c r="M168">
        <v>550</v>
      </c>
      <c r="N168" t="s">
        <v>247</v>
      </c>
      <c r="O168" t="s">
        <v>11</v>
      </c>
      <c r="P168" t="s">
        <v>143</v>
      </c>
      <c r="Q168" t="s">
        <v>3094</v>
      </c>
      <c r="R168" t="s">
        <v>3256</v>
      </c>
      <c r="S168" t="s">
        <v>3418</v>
      </c>
      <c r="T168">
        <v>1</v>
      </c>
      <c r="U168">
        <v>1</v>
      </c>
      <c r="V168">
        <v>1</v>
      </c>
      <c r="W168">
        <v>1</v>
      </c>
      <c r="X168">
        <v>0</v>
      </c>
      <c r="Y168" t="s">
        <v>154</v>
      </c>
      <c r="Z168" t="s">
        <v>891</v>
      </c>
      <c r="AA168" t="s">
        <v>7</v>
      </c>
      <c r="AB168" t="s">
        <v>8</v>
      </c>
      <c r="AC168" s="3">
        <f>T168*'Settings &amp; Rates'!$B$5+U168*'Settings &amp; Rates'!$B$6+V168*'Settings &amp; Rates'!$B$7+W168*'Settings &amp; Rates'!$B$8+X168*'Settings &amp; Rates'!$B$9</f>
        <v>35</v>
      </c>
      <c r="AD168" s="3">
        <f>SUMIF('Attempt Log'!$B$2:$B$101,A168,'Attempt Log'!$K$2:$K$101)</f>
        <v>0</v>
      </c>
      <c r="AE168" s="3">
        <f t="shared" si="2"/>
        <v>-35</v>
      </c>
      <c r="AF168">
        <f>COUNTIF('Attempt Log'!$B$2:$B$101,A168)</f>
        <v>0</v>
      </c>
      <c r="AG168">
        <f>IFERROR(SUMIFS('Attempt Log'!$U$2:$U$101,'Attempt Log'!$B$2:$B$101,A168,'Attempt Log'!$N$2:$N$101,"Yes")/COUNTIFS('Attempt Log'!$B$2:$B$101,A168,'Attempt Log'!$N$2:$N$101,"Yes"),0)</f>
        <v>0</v>
      </c>
    </row>
    <row r="169" spans="1:33">
      <c r="A169" t="s">
        <v>892</v>
      </c>
      <c r="B169" t="s">
        <v>893</v>
      </c>
      <c r="C169" t="s">
        <v>894</v>
      </c>
      <c r="D169" t="s">
        <v>149</v>
      </c>
      <c r="E169" t="s">
        <v>150</v>
      </c>
      <c r="F169" t="s">
        <v>151</v>
      </c>
      <c r="G169" t="s">
        <v>262</v>
      </c>
      <c r="H169" t="s">
        <v>832</v>
      </c>
      <c r="I169" t="s">
        <v>833</v>
      </c>
      <c r="J169" t="s">
        <v>834</v>
      </c>
      <c r="K169" t="s">
        <v>140</v>
      </c>
      <c r="L169" t="s">
        <v>141</v>
      </c>
      <c r="M169">
        <v>2500</v>
      </c>
      <c r="N169" t="s">
        <v>153</v>
      </c>
      <c r="O169" t="s">
        <v>11</v>
      </c>
      <c r="P169" t="s">
        <v>143</v>
      </c>
      <c r="Q169" t="s">
        <v>3103</v>
      </c>
      <c r="R169" t="s">
        <v>3265</v>
      </c>
      <c r="S169" t="s">
        <v>3427</v>
      </c>
      <c r="T169">
        <v>1</v>
      </c>
      <c r="U169">
        <v>1</v>
      </c>
      <c r="V169">
        <v>1</v>
      </c>
      <c r="W169">
        <v>1</v>
      </c>
      <c r="X169">
        <v>0</v>
      </c>
      <c r="Y169" t="s">
        <v>154</v>
      </c>
      <c r="Z169" t="s">
        <v>895</v>
      </c>
      <c r="AA169" t="s">
        <v>7</v>
      </c>
      <c r="AB169" t="s">
        <v>8</v>
      </c>
      <c r="AC169" s="3">
        <f>T169*'Settings &amp; Rates'!$B$5+U169*'Settings &amp; Rates'!$B$6+V169*'Settings &amp; Rates'!$B$7+W169*'Settings &amp; Rates'!$B$8+X169*'Settings &amp; Rates'!$B$9</f>
        <v>35</v>
      </c>
      <c r="AD169" s="3">
        <f>SUMIF('Attempt Log'!$B$2:$B$101,A169,'Attempt Log'!$K$2:$K$101)</f>
        <v>0</v>
      </c>
      <c r="AE169" s="3">
        <f t="shared" si="2"/>
        <v>-35</v>
      </c>
      <c r="AF169">
        <f>COUNTIF('Attempt Log'!$B$2:$B$101,A169)</f>
        <v>0</v>
      </c>
      <c r="AG169">
        <f>IFERROR(SUMIFS('Attempt Log'!$U$2:$U$101,'Attempt Log'!$B$2:$B$101,A169,'Attempt Log'!$N$2:$N$101,"Yes")/COUNTIFS('Attempt Log'!$B$2:$B$101,A169,'Attempt Log'!$N$2:$N$101,"Yes"),0)</f>
        <v>0</v>
      </c>
    </row>
    <row r="170" spans="1:33">
      <c r="A170" t="s">
        <v>896</v>
      </c>
      <c r="B170" t="s">
        <v>897</v>
      </c>
      <c r="C170" t="s">
        <v>898</v>
      </c>
      <c r="D170" t="s">
        <v>149</v>
      </c>
      <c r="E170" t="s">
        <v>150</v>
      </c>
      <c r="F170" t="s">
        <v>151</v>
      </c>
      <c r="G170" t="s">
        <v>267</v>
      </c>
      <c r="H170" t="s">
        <v>832</v>
      </c>
      <c r="I170" t="s">
        <v>833</v>
      </c>
      <c r="J170" t="s">
        <v>834</v>
      </c>
      <c r="K170" t="s">
        <v>140</v>
      </c>
      <c r="L170" t="s">
        <v>141</v>
      </c>
      <c r="M170">
        <v>2400</v>
      </c>
      <c r="N170" t="s">
        <v>153</v>
      </c>
      <c r="O170" t="s">
        <v>11</v>
      </c>
      <c r="P170" t="s">
        <v>143</v>
      </c>
      <c r="Q170" t="s">
        <v>3112</v>
      </c>
      <c r="R170" t="s">
        <v>3274</v>
      </c>
      <c r="S170" t="s">
        <v>3436</v>
      </c>
      <c r="T170">
        <v>1</v>
      </c>
      <c r="U170">
        <v>1</v>
      </c>
      <c r="V170">
        <v>1</v>
      </c>
      <c r="W170">
        <v>1</v>
      </c>
      <c r="X170">
        <v>0</v>
      </c>
      <c r="Y170" t="s">
        <v>154</v>
      </c>
      <c r="Z170" t="s">
        <v>899</v>
      </c>
      <c r="AA170" t="s">
        <v>7</v>
      </c>
      <c r="AB170" t="s">
        <v>8</v>
      </c>
      <c r="AC170" s="3">
        <f>T170*'Settings &amp; Rates'!$B$5+U170*'Settings &amp; Rates'!$B$6+V170*'Settings &amp; Rates'!$B$7+W170*'Settings &amp; Rates'!$B$8+X170*'Settings &amp; Rates'!$B$9</f>
        <v>35</v>
      </c>
      <c r="AD170" s="3">
        <f>SUMIF('Attempt Log'!$B$2:$B$101,A170,'Attempt Log'!$K$2:$K$101)</f>
        <v>0</v>
      </c>
      <c r="AE170" s="3">
        <f t="shared" si="2"/>
        <v>-35</v>
      </c>
      <c r="AF170">
        <f>COUNTIF('Attempt Log'!$B$2:$B$101,A170)</f>
        <v>0</v>
      </c>
      <c r="AG170">
        <f>IFERROR(SUMIFS('Attempt Log'!$U$2:$U$101,'Attempt Log'!$B$2:$B$101,A170,'Attempt Log'!$N$2:$N$101,"Yes")/COUNTIFS('Attempt Log'!$B$2:$B$101,A170,'Attempt Log'!$N$2:$N$101,"Yes"),0)</f>
        <v>0</v>
      </c>
    </row>
    <row r="171" spans="1:33">
      <c r="A171" t="s">
        <v>900</v>
      </c>
      <c r="B171" t="s">
        <v>901</v>
      </c>
      <c r="C171" t="s">
        <v>902</v>
      </c>
      <c r="D171" t="s">
        <v>149</v>
      </c>
      <c r="E171" t="s">
        <v>150</v>
      </c>
      <c r="F171" t="s">
        <v>151</v>
      </c>
      <c r="G171" t="s">
        <v>152</v>
      </c>
      <c r="H171" t="s">
        <v>832</v>
      </c>
      <c r="I171" t="s">
        <v>833</v>
      </c>
      <c r="J171" t="s">
        <v>834</v>
      </c>
      <c r="K171" t="s">
        <v>140</v>
      </c>
      <c r="L171" t="s">
        <v>141</v>
      </c>
      <c r="M171">
        <v>2000</v>
      </c>
      <c r="N171" t="s">
        <v>153</v>
      </c>
      <c r="O171" t="s">
        <v>11</v>
      </c>
      <c r="P171" t="s">
        <v>143</v>
      </c>
      <c r="Q171" t="s">
        <v>3121</v>
      </c>
      <c r="R171" t="s">
        <v>3283</v>
      </c>
      <c r="S171" t="s">
        <v>3445</v>
      </c>
      <c r="T171">
        <v>1</v>
      </c>
      <c r="U171">
        <v>1</v>
      </c>
      <c r="V171">
        <v>1</v>
      </c>
      <c r="W171">
        <v>1</v>
      </c>
      <c r="X171">
        <v>0</v>
      </c>
      <c r="Y171" t="s">
        <v>154</v>
      </c>
      <c r="Z171" t="s">
        <v>903</v>
      </c>
      <c r="AA171" t="s">
        <v>7</v>
      </c>
      <c r="AB171" t="s">
        <v>8</v>
      </c>
      <c r="AC171" s="3">
        <f>T171*'Settings &amp; Rates'!$B$5+U171*'Settings &amp; Rates'!$B$6+V171*'Settings &amp; Rates'!$B$7+W171*'Settings &amp; Rates'!$B$8+X171*'Settings &amp; Rates'!$B$9</f>
        <v>35</v>
      </c>
      <c r="AD171" s="3">
        <f>SUMIF('Attempt Log'!$B$2:$B$101,A171,'Attempt Log'!$K$2:$K$101)</f>
        <v>0</v>
      </c>
      <c r="AE171" s="3">
        <f t="shared" si="2"/>
        <v>-35</v>
      </c>
      <c r="AF171">
        <f>COUNTIF('Attempt Log'!$B$2:$B$101,A171)</f>
        <v>0</v>
      </c>
      <c r="AG171">
        <f>IFERROR(SUMIFS('Attempt Log'!$U$2:$U$101,'Attempt Log'!$B$2:$B$101,A171,'Attempt Log'!$N$2:$N$101,"Yes")/COUNTIFS('Attempt Log'!$B$2:$B$101,A171,'Attempt Log'!$N$2:$N$101,"Yes"),0)</f>
        <v>0</v>
      </c>
    </row>
    <row r="172" spans="1:33">
      <c r="A172" t="s">
        <v>904</v>
      </c>
      <c r="B172" t="s">
        <v>905</v>
      </c>
      <c r="C172" t="s">
        <v>906</v>
      </c>
      <c r="D172" t="s">
        <v>149</v>
      </c>
      <c r="E172" t="s">
        <v>150</v>
      </c>
      <c r="F172" t="s">
        <v>244</v>
      </c>
      <c r="G172" t="s">
        <v>245</v>
      </c>
      <c r="H172" t="s">
        <v>832</v>
      </c>
      <c r="I172" t="s">
        <v>833</v>
      </c>
      <c r="J172" t="s">
        <v>907</v>
      </c>
      <c r="K172" t="s">
        <v>140</v>
      </c>
      <c r="L172" t="s">
        <v>141</v>
      </c>
      <c r="M172">
        <v>900</v>
      </c>
      <c r="N172" t="s">
        <v>247</v>
      </c>
      <c r="O172" t="s">
        <v>11</v>
      </c>
      <c r="P172" t="s">
        <v>143</v>
      </c>
      <c r="Q172" t="s">
        <v>2969</v>
      </c>
      <c r="R172" t="s">
        <v>3131</v>
      </c>
      <c r="S172" t="s">
        <v>3293</v>
      </c>
      <c r="T172">
        <v>1</v>
      </c>
      <c r="U172">
        <v>1</v>
      </c>
      <c r="V172">
        <v>1</v>
      </c>
      <c r="W172">
        <v>1</v>
      </c>
      <c r="X172">
        <v>0</v>
      </c>
      <c r="Y172" t="s">
        <v>154</v>
      </c>
      <c r="Z172" t="s">
        <v>908</v>
      </c>
      <c r="AA172" t="s">
        <v>7</v>
      </c>
      <c r="AB172" t="s">
        <v>8</v>
      </c>
      <c r="AC172" s="3">
        <f>T172*'Settings &amp; Rates'!$B$5+U172*'Settings &amp; Rates'!$B$6+V172*'Settings &amp; Rates'!$B$7+W172*'Settings &amp; Rates'!$B$8+X172*'Settings &amp; Rates'!$B$9</f>
        <v>35</v>
      </c>
      <c r="AD172" s="3">
        <f>SUMIF('Attempt Log'!$B$2:$B$101,A172,'Attempt Log'!$K$2:$K$101)</f>
        <v>0</v>
      </c>
      <c r="AE172" s="3">
        <f t="shared" si="2"/>
        <v>-35</v>
      </c>
      <c r="AF172">
        <f>COUNTIF('Attempt Log'!$B$2:$B$101,A172)</f>
        <v>0</v>
      </c>
      <c r="AG172">
        <f>IFERROR(SUMIFS('Attempt Log'!$U$2:$U$101,'Attempt Log'!$B$2:$B$101,A172,'Attempt Log'!$N$2:$N$101,"Yes")/COUNTIFS('Attempt Log'!$B$2:$B$101,A172,'Attempt Log'!$N$2:$N$101,"Yes"),0)</f>
        <v>0</v>
      </c>
    </row>
    <row r="173" spans="1:33">
      <c r="A173" t="s">
        <v>909</v>
      </c>
      <c r="B173" t="s">
        <v>910</v>
      </c>
      <c r="C173" t="s">
        <v>911</v>
      </c>
      <c r="D173" t="s">
        <v>149</v>
      </c>
      <c r="E173" t="s">
        <v>150</v>
      </c>
      <c r="F173" t="s">
        <v>272</v>
      </c>
      <c r="G173" t="s">
        <v>273</v>
      </c>
      <c r="H173" t="s">
        <v>832</v>
      </c>
      <c r="I173" t="s">
        <v>833</v>
      </c>
      <c r="J173" t="s">
        <v>907</v>
      </c>
      <c r="K173" t="s">
        <v>129</v>
      </c>
      <c r="L173" t="s">
        <v>17</v>
      </c>
      <c r="M173">
        <v>1450</v>
      </c>
      <c r="N173" t="s">
        <v>153</v>
      </c>
      <c r="O173" t="s">
        <v>11</v>
      </c>
      <c r="P173" t="s">
        <v>143</v>
      </c>
      <c r="Q173" t="s">
        <v>2978</v>
      </c>
      <c r="R173" t="s">
        <v>3140</v>
      </c>
      <c r="S173" t="s">
        <v>3302</v>
      </c>
      <c r="T173">
        <v>2</v>
      </c>
      <c r="U173">
        <v>1</v>
      </c>
      <c r="V173">
        <v>1</v>
      </c>
      <c r="W173">
        <v>1</v>
      </c>
      <c r="X173">
        <v>0</v>
      </c>
      <c r="Y173" t="s">
        <v>154</v>
      </c>
      <c r="Z173" t="s">
        <v>912</v>
      </c>
      <c r="AA173" t="s">
        <v>7</v>
      </c>
      <c r="AB173" t="s">
        <v>8</v>
      </c>
      <c r="AC173" s="3">
        <f>T173*'Settings &amp; Rates'!$B$5+U173*'Settings &amp; Rates'!$B$6+V173*'Settings &amp; Rates'!$B$7+W173*'Settings &amp; Rates'!$B$8+X173*'Settings &amp; Rates'!$B$9</f>
        <v>35</v>
      </c>
      <c r="AD173" s="3">
        <f>SUMIF('Attempt Log'!$B$2:$B$101,A173,'Attempt Log'!$K$2:$K$101)</f>
        <v>0</v>
      </c>
      <c r="AE173" s="3">
        <f t="shared" si="2"/>
        <v>-35</v>
      </c>
      <c r="AF173">
        <f>COUNTIF('Attempt Log'!$B$2:$B$101,A173)</f>
        <v>0</v>
      </c>
      <c r="AG173">
        <f>IFERROR(SUMIFS('Attempt Log'!$U$2:$U$101,'Attempt Log'!$B$2:$B$101,A173,'Attempt Log'!$N$2:$N$101,"Yes")/COUNTIFS('Attempt Log'!$B$2:$B$101,A173,'Attempt Log'!$N$2:$N$101,"Yes"),0)</f>
        <v>0</v>
      </c>
    </row>
    <row r="174" spans="1:33">
      <c r="A174" t="s">
        <v>913</v>
      </c>
      <c r="B174" t="s">
        <v>914</v>
      </c>
      <c r="C174" t="s">
        <v>915</v>
      </c>
      <c r="D174" t="s">
        <v>149</v>
      </c>
      <c r="E174" t="s">
        <v>150</v>
      </c>
      <c r="F174" t="s">
        <v>272</v>
      </c>
      <c r="G174" t="s">
        <v>279</v>
      </c>
      <c r="H174" t="s">
        <v>832</v>
      </c>
      <c r="I174" t="s">
        <v>833</v>
      </c>
      <c r="J174" t="s">
        <v>907</v>
      </c>
      <c r="K174" t="s">
        <v>129</v>
      </c>
      <c r="L174" t="s">
        <v>17</v>
      </c>
      <c r="M174">
        <v>1200</v>
      </c>
      <c r="N174" t="s">
        <v>153</v>
      </c>
      <c r="O174" t="s">
        <v>11</v>
      </c>
      <c r="P174" t="s">
        <v>143</v>
      </c>
      <c r="Q174" t="s">
        <v>2987</v>
      </c>
      <c r="R174" t="s">
        <v>3149</v>
      </c>
      <c r="S174" t="s">
        <v>3311</v>
      </c>
      <c r="T174">
        <v>2</v>
      </c>
      <c r="U174">
        <v>1</v>
      </c>
      <c r="V174">
        <v>1</v>
      </c>
      <c r="W174">
        <v>1</v>
      </c>
      <c r="X174">
        <v>0</v>
      </c>
      <c r="Y174" t="s">
        <v>154</v>
      </c>
      <c r="Z174" t="s">
        <v>916</v>
      </c>
      <c r="AA174" t="s">
        <v>7</v>
      </c>
      <c r="AB174" t="s">
        <v>8</v>
      </c>
      <c r="AC174" s="3">
        <f>T174*'Settings &amp; Rates'!$B$5+U174*'Settings &amp; Rates'!$B$6+V174*'Settings &amp; Rates'!$B$7+W174*'Settings &amp; Rates'!$B$8+X174*'Settings &amp; Rates'!$B$9</f>
        <v>35</v>
      </c>
      <c r="AD174" s="3">
        <f>SUMIF('Attempt Log'!$B$2:$B$101,A174,'Attempt Log'!$K$2:$K$101)</f>
        <v>0</v>
      </c>
      <c r="AE174" s="3">
        <f t="shared" si="2"/>
        <v>-35</v>
      </c>
      <c r="AF174">
        <f>COUNTIF('Attempt Log'!$B$2:$B$101,A174)</f>
        <v>0</v>
      </c>
      <c r="AG174">
        <f>IFERROR(SUMIFS('Attempt Log'!$U$2:$U$101,'Attempt Log'!$B$2:$B$101,A174,'Attempt Log'!$N$2:$N$101,"Yes")/COUNTIFS('Attempt Log'!$B$2:$B$101,A174,'Attempt Log'!$N$2:$N$101,"Yes"),0)</f>
        <v>0</v>
      </c>
    </row>
    <row r="175" spans="1:33">
      <c r="A175" t="s">
        <v>917</v>
      </c>
      <c r="B175" t="s">
        <v>918</v>
      </c>
      <c r="C175" t="s">
        <v>919</v>
      </c>
      <c r="D175" t="s">
        <v>149</v>
      </c>
      <c r="E175" t="s">
        <v>150</v>
      </c>
      <c r="F175" t="s">
        <v>272</v>
      </c>
      <c r="G175" t="s">
        <v>284</v>
      </c>
      <c r="H175" t="s">
        <v>832</v>
      </c>
      <c r="I175" t="s">
        <v>833</v>
      </c>
      <c r="J175" t="s">
        <v>907</v>
      </c>
      <c r="K175" t="s">
        <v>129</v>
      </c>
      <c r="L175" t="s">
        <v>17</v>
      </c>
      <c r="M175">
        <v>1500</v>
      </c>
      <c r="N175" t="s">
        <v>153</v>
      </c>
      <c r="O175" t="s">
        <v>11</v>
      </c>
      <c r="P175" t="s">
        <v>143</v>
      </c>
      <c r="Q175" t="s">
        <v>2996</v>
      </c>
      <c r="R175" t="s">
        <v>3158</v>
      </c>
      <c r="S175" t="s">
        <v>3320</v>
      </c>
      <c r="T175">
        <v>2</v>
      </c>
      <c r="U175">
        <v>1</v>
      </c>
      <c r="V175">
        <v>1</v>
      </c>
      <c r="W175">
        <v>1</v>
      </c>
      <c r="X175">
        <v>0</v>
      </c>
      <c r="Y175" t="s">
        <v>154</v>
      </c>
      <c r="Z175" t="s">
        <v>920</v>
      </c>
      <c r="AA175" t="s">
        <v>7</v>
      </c>
      <c r="AB175" t="s">
        <v>8</v>
      </c>
      <c r="AC175" s="3">
        <f>T175*'Settings &amp; Rates'!$B$5+U175*'Settings &amp; Rates'!$B$6+V175*'Settings &amp; Rates'!$B$7+W175*'Settings &amp; Rates'!$B$8+X175*'Settings &amp; Rates'!$B$9</f>
        <v>35</v>
      </c>
      <c r="AD175" s="3">
        <f>SUMIF('Attempt Log'!$B$2:$B$101,A175,'Attempt Log'!$K$2:$K$101)</f>
        <v>0</v>
      </c>
      <c r="AE175" s="3">
        <f t="shared" si="2"/>
        <v>-35</v>
      </c>
      <c r="AF175">
        <f>COUNTIF('Attempt Log'!$B$2:$B$101,A175)</f>
        <v>0</v>
      </c>
      <c r="AG175">
        <f>IFERROR(SUMIFS('Attempt Log'!$U$2:$U$101,'Attempt Log'!$B$2:$B$101,A175,'Attempt Log'!$N$2:$N$101,"Yes")/COUNTIFS('Attempt Log'!$B$2:$B$101,A175,'Attempt Log'!$N$2:$N$101,"Yes"),0)</f>
        <v>0</v>
      </c>
    </row>
    <row r="176" spans="1:33">
      <c r="A176" t="s">
        <v>921</v>
      </c>
      <c r="B176" t="s">
        <v>922</v>
      </c>
      <c r="C176" t="s">
        <v>923</v>
      </c>
      <c r="D176" t="s">
        <v>149</v>
      </c>
      <c r="E176" t="s">
        <v>150</v>
      </c>
      <c r="F176" t="s">
        <v>272</v>
      </c>
      <c r="G176" t="s">
        <v>289</v>
      </c>
      <c r="H176" t="s">
        <v>832</v>
      </c>
      <c r="I176" t="s">
        <v>833</v>
      </c>
      <c r="J176" t="s">
        <v>907</v>
      </c>
      <c r="K176" t="s">
        <v>129</v>
      </c>
      <c r="L176" t="s">
        <v>17</v>
      </c>
      <c r="M176">
        <v>3350</v>
      </c>
      <c r="N176" t="s">
        <v>153</v>
      </c>
      <c r="O176" t="s">
        <v>11</v>
      </c>
      <c r="P176" t="s">
        <v>143</v>
      </c>
      <c r="Q176" t="s">
        <v>3005</v>
      </c>
      <c r="R176" t="s">
        <v>3167</v>
      </c>
      <c r="S176" t="s">
        <v>3329</v>
      </c>
      <c r="T176">
        <v>2</v>
      </c>
      <c r="U176">
        <v>1</v>
      </c>
      <c r="V176">
        <v>1</v>
      </c>
      <c r="W176">
        <v>1</v>
      </c>
      <c r="X176">
        <v>0</v>
      </c>
      <c r="Y176" t="s">
        <v>154</v>
      </c>
      <c r="Z176" t="s">
        <v>924</v>
      </c>
      <c r="AA176" t="s">
        <v>7</v>
      </c>
      <c r="AB176" t="s">
        <v>8</v>
      </c>
      <c r="AC176" s="3">
        <f>T176*'Settings &amp; Rates'!$B$5+U176*'Settings &amp; Rates'!$B$6+V176*'Settings &amp; Rates'!$B$7+W176*'Settings &amp; Rates'!$B$8+X176*'Settings &amp; Rates'!$B$9</f>
        <v>35</v>
      </c>
      <c r="AD176" s="3">
        <f>SUMIF('Attempt Log'!$B$2:$B$101,A176,'Attempt Log'!$K$2:$K$101)</f>
        <v>0</v>
      </c>
      <c r="AE176" s="3">
        <f t="shared" si="2"/>
        <v>-35</v>
      </c>
      <c r="AF176">
        <f>COUNTIF('Attempt Log'!$B$2:$B$101,A176)</f>
        <v>0</v>
      </c>
      <c r="AG176">
        <f>IFERROR(SUMIFS('Attempt Log'!$U$2:$U$101,'Attempt Log'!$B$2:$B$101,A176,'Attempt Log'!$N$2:$N$101,"Yes")/COUNTIFS('Attempt Log'!$B$2:$B$101,A176,'Attempt Log'!$N$2:$N$101,"Yes"),0)</f>
        <v>0</v>
      </c>
    </row>
    <row r="177" spans="1:33">
      <c r="A177" t="s">
        <v>925</v>
      </c>
      <c r="B177" t="s">
        <v>926</v>
      </c>
      <c r="C177" t="s">
        <v>927</v>
      </c>
      <c r="D177" t="s">
        <v>149</v>
      </c>
      <c r="E177" t="s">
        <v>150</v>
      </c>
      <c r="F177" t="s">
        <v>294</v>
      </c>
      <c r="G177" t="s">
        <v>295</v>
      </c>
      <c r="H177" t="s">
        <v>832</v>
      </c>
      <c r="I177" t="s">
        <v>833</v>
      </c>
      <c r="J177" t="s">
        <v>907</v>
      </c>
      <c r="K177" t="s">
        <v>129</v>
      </c>
      <c r="L177" t="s">
        <v>17</v>
      </c>
      <c r="M177">
        <v>1750</v>
      </c>
      <c r="N177" t="s">
        <v>153</v>
      </c>
      <c r="O177" t="s">
        <v>11</v>
      </c>
      <c r="P177" t="s">
        <v>143</v>
      </c>
      <c r="Q177" t="s">
        <v>3014</v>
      </c>
      <c r="R177" t="s">
        <v>3176</v>
      </c>
      <c r="S177" t="s">
        <v>3338</v>
      </c>
      <c r="T177">
        <v>2</v>
      </c>
      <c r="U177">
        <v>1</v>
      </c>
      <c r="V177">
        <v>1</v>
      </c>
      <c r="W177">
        <v>1</v>
      </c>
      <c r="X177">
        <v>0</v>
      </c>
      <c r="Y177" t="s">
        <v>154</v>
      </c>
      <c r="Z177" t="s">
        <v>928</v>
      </c>
      <c r="AA177" t="s">
        <v>7</v>
      </c>
      <c r="AB177" t="s">
        <v>8</v>
      </c>
      <c r="AC177" s="3">
        <f>T177*'Settings &amp; Rates'!$B$5+U177*'Settings &amp; Rates'!$B$6+V177*'Settings &amp; Rates'!$B$7+W177*'Settings &amp; Rates'!$B$8+X177*'Settings &amp; Rates'!$B$9</f>
        <v>35</v>
      </c>
      <c r="AD177" s="3">
        <f>SUMIF('Attempt Log'!$B$2:$B$101,A177,'Attempt Log'!$K$2:$K$101)</f>
        <v>0</v>
      </c>
      <c r="AE177" s="3">
        <f t="shared" si="2"/>
        <v>-35</v>
      </c>
      <c r="AF177">
        <f>COUNTIF('Attempt Log'!$B$2:$B$101,A177)</f>
        <v>0</v>
      </c>
      <c r="AG177">
        <f>IFERROR(SUMIFS('Attempt Log'!$U$2:$U$101,'Attempt Log'!$B$2:$B$101,A177,'Attempt Log'!$N$2:$N$101,"Yes")/COUNTIFS('Attempt Log'!$B$2:$B$101,A177,'Attempt Log'!$N$2:$N$101,"Yes"),0)</f>
        <v>0</v>
      </c>
    </row>
    <row r="178" spans="1:33">
      <c r="A178" t="s">
        <v>929</v>
      </c>
      <c r="B178" t="s">
        <v>930</v>
      </c>
      <c r="C178" t="s">
        <v>931</v>
      </c>
      <c r="D178" t="s">
        <v>149</v>
      </c>
      <c r="E178" t="s">
        <v>150</v>
      </c>
      <c r="F178" t="s">
        <v>294</v>
      </c>
      <c r="G178" t="s">
        <v>300</v>
      </c>
      <c r="H178" t="s">
        <v>832</v>
      </c>
      <c r="I178" t="s">
        <v>833</v>
      </c>
      <c r="J178" t="s">
        <v>907</v>
      </c>
      <c r="K178" t="s">
        <v>129</v>
      </c>
      <c r="L178" t="s">
        <v>17</v>
      </c>
      <c r="M178">
        <v>3750</v>
      </c>
      <c r="N178" t="s">
        <v>153</v>
      </c>
      <c r="O178" t="s">
        <v>11</v>
      </c>
      <c r="P178" t="s">
        <v>143</v>
      </c>
      <c r="Q178" t="s">
        <v>3023</v>
      </c>
      <c r="R178" t="s">
        <v>3185</v>
      </c>
      <c r="S178" t="s">
        <v>3347</v>
      </c>
      <c r="T178">
        <v>2</v>
      </c>
      <c r="U178">
        <v>1</v>
      </c>
      <c r="V178">
        <v>1</v>
      </c>
      <c r="W178">
        <v>1</v>
      </c>
      <c r="X178">
        <v>0</v>
      </c>
      <c r="Y178" t="s">
        <v>154</v>
      </c>
      <c r="Z178" t="s">
        <v>932</v>
      </c>
      <c r="AA178" t="s">
        <v>7</v>
      </c>
      <c r="AB178" t="s">
        <v>8</v>
      </c>
      <c r="AC178" s="3">
        <f>T178*'Settings &amp; Rates'!$B$5+U178*'Settings &amp; Rates'!$B$6+V178*'Settings &amp; Rates'!$B$7+W178*'Settings &amp; Rates'!$B$8+X178*'Settings &amp; Rates'!$B$9</f>
        <v>35</v>
      </c>
      <c r="AD178" s="3">
        <f>SUMIF('Attempt Log'!$B$2:$B$101,A178,'Attempt Log'!$K$2:$K$101)</f>
        <v>0</v>
      </c>
      <c r="AE178" s="3">
        <f t="shared" si="2"/>
        <v>-35</v>
      </c>
      <c r="AF178">
        <f>COUNTIF('Attempt Log'!$B$2:$B$101,A178)</f>
        <v>0</v>
      </c>
      <c r="AG178">
        <f>IFERROR(SUMIFS('Attempt Log'!$U$2:$U$101,'Attempt Log'!$B$2:$B$101,A178,'Attempt Log'!$N$2:$N$101,"Yes")/COUNTIFS('Attempt Log'!$B$2:$B$101,A178,'Attempt Log'!$N$2:$N$101,"Yes"),0)</f>
        <v>0</v>
      </c>
    </row>
    <row r="179" spans="1:33">
      <c r="A179" t="s">
        <v>933</v>
      </c>
      <c r="B179" t="s">
        <v>934</v>
      </c>
      <c r="C179" t="s">
        <v>935</v>
      </c>
      <c r="D179" t="s">
        <v>149</v>
      </c>
      <c r="E179" t="s">
        <v>150</v>
      </c>
      <c r="F179" t="s">
        <v>294</v>
      </c>
      <c r="G179" t="s">
        <v>305</v>
      </c>
      <c r="H179" t="s">
        <v>832</v>
      </c>
      <c r="I179" t="s">
        <v>833</v>
      </c>
      <c r="J179" t="s">
        <v>907</v>
      </c>
      <c r="K179" t="s">
        <v>129</v>
      </c>
      <c r="L179" t="s">
        <v>17</v>
      </c>
      <c r="M179">
        <v>1550</v>
      </c>
      <c r="N179" t="s">
        <v>153</v>
      </c>
      <c r="O179" t="s">
        <v>11</v>
      </c>
      <c r="P179" t="s">
        <v>143</v>
      </c>
      <c r="Q179" t="s">
        <v>3032</v>
      </c>
      <c r="R179" t="s">
        <v>3194</v>
      </c>
      <c r="S179" t="s">
        <v>3356</v>
      </c>
      <c r="T179">
        <v>2</v>
      </c>
      <c r="U179">
        <v>1</v>
      </c>
      <c r="V179">
        <v>1</v>
      </c>
      <c r="W179">
        <v>1</v>
      </c>
      <c r="X179">
        <v>0</v>
      </c>
      <c r="Y179" t="s">
        <v>154</v>
      </c>
      <c r="Z179" t="s">
        <v>936</v>
      </c>
      <c r="AA179" t="s">
        <v>7</v>
      </c>
      <c r="AB179" t="s">
        <v>8</v>
      </c>
      <c r="AC179" s="3">
        <f>T179*'Settings &amp; Rates'!$B$5+U179*'Settings &amp; Rates'!$B$6+V179*'Settings &amp; Rates'!$B$7+W179*'Settings &amp; Rates'!$B$8+X179*'Settings &amp; Rates'!$B$9</f>
        <v>35</v>
      </c>
      <c r="AD179" s="3">
        <f>SUMIF('Attempt Log'!$B$2:$B$101,A179,'Attempt Log'!$K$2:$K$101)</f>
        <v>0</v>
      </c>
      <c r="AE179" s="3">
        <f t="shared" si="2"/>
        <v>-35</v>
      </c>
      <c r="AF179">
        <f>COUNTIF('Attempt Log'!$B$2:$B$101,A179)</f>
        <v>0</v>
      </c>
      <c r="AG179">
        <f>IFERROR(SUMIFS('Attempt Log'!$U$2:$U$101,'Attempt Log'!$B$2:$B$101,A179,'Attempt Log'!$N$2:$N$101,"Yes")/COUNTIFS('Attempt Log'!$B$2:$B$101,A179,'Attempt Log'!$N$2:$N$101,"Yes"),0)</f>
        <v>0</v>
      </c>
    </row>
    <row r="180" spans="1:33">
      <c r="A180" t="s">
        <v>937</v>
      </c>
      <c r="B180" t="s">
        <v>938</v>
      </c>
      <c r="C180" t="s">
        <v>939</v>
      </c>
      <c r="D180" t="s">
        <v>149</v>
      </c>
      <c r="E180" t="s">
        <v>150</v>
      </c>
      <c r="F180" t="s">
        <v>294</v>
      </c>
      <c r="G180" t="s">
        <v>310</v>
      </c>
      <c r="H180" t="s">
        <v>832</v>
      </c>
      <c r="I180" t="s">
        <v>833</v>
      </c>
      <c r="J180" t="s">
        <v>907</v>
      </c>
      <c r="K180" t="s">
        <v>129</v>
      </c>
      <c r="L180" t="s">
        <v>17</v>
      </c>
      <c r="M180">
        <v>2200</v>
      </c>
      <c r="N180" t="s">
        <v>153</v>
      </c>
      <c r="O180" t="s">
        <v>11</v>
      </c>
      <c r="P180" t="s">
        <v>143</v>
      </c>
      <c r="Q180" t="s">
        <v>3041</v>
      </c>
      <c r="R180" t="s">
        <v>3203</v>
      </c>
      <c r="S180" t="s">
        <v>3365</v>
      </c>
      <c r="T180">
        <v>2</v>
      </c>
      <c r="U180">
        <v>1</v>
      </c>
      <c r="V180">
        <v>1</v>
      </c>
      <c r="W180">
        <v>1</v>
      </c>
      <c r="X180">
        <v>0</v>
      </c>
      <c r="Y180" t="s">
        <v>154</v>
      </c>
      <c r="Z180" t="s">
        <v>940</v>
      </c>
      <c r="AA180" t="s">
        <v>7</v>
      </c>
      <c r="AB180" t="s">
        <v>8</v>
      </c>
      <c r="AC180" s="3">
        <f>T180*'Settings &amp; Rates'!$B$5+U180*'Settings &amp; Rates'!$B$6+V180*'Settings &amp; Rates'!$B$7+W180*'Settings &amp; Rates'!$B$8+X180*'Settings &amp; Rates'!$B$9</f>
        <v>35</v>
      </c>
      <c r="AD180" s="3">
        <f>SUMIF('Attempt Log'!$B$2:$B$101,A180,'Attempt Log'!$K$2:$K$101)</f>
        <v>0</v>
      </c>
      <c r="AE180" s="3">
        <f t="shared" si="2"/>
        <v>-35</v>
      </c>
      <c r="AF180">
        <f>COUNTIF('Attempt Log'!$B$2:$B$101,A180)</f>
        <v>0</v>
      </c>
      <c r="AG180">
        <f>IFERROR(SUMIFS('Attempt Log'!$U$2:$U$101,'Attempt Log'!$B$2:$B$101,A180,'Attempt Log'!$N$2:$N$101,"Yes")/COUNTIFS('Attempt Log'!$B$2:$B$101,A180,'Attempt Log'!$N$2:$N$101,"Yes"),0)</f>
        <v>0</v>
      </c>
    </row>
    <row r="181" spans="1:33">
      <c r="A181" t="s">
        <v>941</v>
      </c>
      <c r="B181" t="s">
        <v>942</v>
      </c>
      <c r="C181" t="s">
        <v>943</v>
      </c>
      <c r="D181" t="s">
        <v>149</v>
      </c>
      <c r="E181" t="s">
        <v>150</v>
      </c>
      <c r="F181" t="s">
        <v>315</v>
      </c>
      <c r="G181" t="s">
        <v>316</v>
      </c>
      <c r="H181" t="s">
        <v>832</v>
      </c>
      <c r="I181" t="s">
        <v>833</v>
      </c>
      <c r="J181" t="s">
        <v>907</v>
      </c>
      <c r="K181" t="s">
        <v>129</v>
      </c>
      <c r="L181" t="s">
        <v>17</v>
      </c>
      <c r="M181">
        <v>1450</v>
      </c>
      <c r="N181" t="s">
        <v>153</v>
      </c>
      <c r="O181" t="s">
        <v>11</v>
      </c>
      <c r="P181" t="s">
        <v>143</v>
      </c>
      <c r="Q181" t="s">
        <v>3050</v>
      </c>
      <c r="R181" t="s">
        <v>3212</v>
      </c>
      <c r="S181" t="s">
        <v>3374</v>
      </c>
      <c r="T181">
        <v>2</v>
      </c>
      <c r="U181">
        <v>1</v>
      </c>
      <c r="V181">
        <v>1</v>
      </c>
      <c r="W181">
        <v>1</v>
      </c>
      <c r="X181">
        <v>0</v>
      </c>
      <c r="Y181" t="s">
        <v>154</v>
      </c>
      <c r="Z181" t="s">
        <v>944</v>
      </c>
      <c r="AA181" t="s">
        <v>7</v>
      </c>
      <c r="AB181" t="s">
        <v>8</v>
      </c>
      <c r="AC181" s="3">
        <f>T181*'Settings &amp; Rates'!$B$5+U181*'Settings &amp; Rates'!$B$6+V181*'Settings &amp; Rates'!$B$7+W181*'Settings &amp; Rates'!$B$8+X181*'Settings &amp; Rates'!$B$9</f>
        <v>35</v>
      </c>
      <c r="AD181" s="3">
        <f>SUMIF('Attempt Log'!$B$2:$B$101,A181,'Attempt Log'!$K$2:$K$101)</f>
        <v>0</v>
      </c>
      <c r="AE181" s="3">
        <f t="shared" si="2"/>
        <v>-35</v>
      </c>
      <c r="AF181">
        <f>COUNTIF('Attempt Log'!$B$2:$B$101,A181)</f>
        <v>0</v>
      </c>
      <c r="AG181">
        <f>IFERROR(SUMIFS('Attempt Log'!$U$2:$U$101,'Attempt Log'!$B$2:$B$101,A181,'Attempt Log'!$N$2:$N$101,"Yes")/COUNTIFS('Attempt Log'!$B$2:$B$101,A181,'Attempt Log'!$N$2:$N$101,"Yes"),0)</f>
        <v>0</v>
      </c>
    </row>
    <row r="182" spans="1:33">
      <c r="A182" t="s">
        <v>945</v>
      </c>
      <c r="B182" t="s">
        <v>946</v>
      </c>
      <c r="C182" t="s">
        <v>947</v>
      </c>
      <c r="D182" t="s">
        <v>149</v>
      </c>
      <c r="E182" t="s">
        <v>150</v>
      </c>
      <c r="F182" t="s">
        <v>315</v>
      </c>
      <c r="G182" t="s">
        <v>321</v>
      </c>
      <c r="H182" t="s">
        <v>832</v>
      </c>
      <c r="I182" t="s">
        <v>833</v>
      </c>
      <c r="J182" t="s">
        <v>907</v>
      </c>
      <c r="K182" t="s">
        <v>129</v>
      </c>
      <c r="L182" t="s">
        <v>17</v>
      </c>
      <c r="M182">
        <v>2800</v>
      </c>
      <c r="N182" t="s">
        <v>153</v>
      </c>
      <c r="O182" t="s">
        <v>11</v>
      </c>
      <c r="P182" t="s">
        <v>143</v>
      </c>
      <c r="Q182" t="s">
        <v>3059</v>
      </c>
      <c r="R182" t="s">
        <v>3221</v>
      </c>
      <c r="S182" t="s">
        <v>3383</v>
      </c>
      <c r="T182">
        <v>2</v>
      </c>
      <c r="U182">
        <v>1</v>
      </c>
      <c r="V182">
        <v>1</v>
      </c>
      <c r="W182">
        <v>1</v>
      </c>
      <c r="X182">
        <v>0</v>
      </c>
      <c r="Y182" t="s">
        <v>154</v>
      </c>
      <c r="Z182" t="s">
        <v>948</v>
      </c>
      <c r="AA182" t="s">
        <v>7</v>
      </c>
      <c r="AB182" t="s">
        <v>8</v>
      </c>
      <c r="AC182" s="3">
        <f>T182*'Settings &amp; Rates'!$B$5+U182*'Settings &amp; Rates'!$B$6+V182*'Settings &amp; Rates'!$B$7+W182*'Settings &amp; Rates'!$B$8+X182*'Settings &amp; Rates'!$B$9</f>
        <v>35</v>
      </c>
      <c r="AD182" s="3">
        <f>SUMIF('Attempt Log'!$B$2:$B$101,A182,'Attempt Log'!$K$2:$K$101)</f>
        <v>0</v>
      </c>
      <c r="AE182" s="3">
        <f t="shared" si="2"/>
        <v>-35</v>
      </c>
      <c r="AF182">
        <f>COUNTIF('Attempt Log'!$B$2:$B$101,A182)</f>
        <v>0</v>
      </c>
      <c r="AG182">
        <f>IFERROR(SUMIFS('Attempt Log'!$U$2:$U$101,'Attempt Log'!$B$2:$B$101,A182,'Attempt Log'!$N$2:$N$101,"Yes")/COUNTIFS('Attempt Log'!$B$2:$B$101,A182,'Attempt Log'!$N$2:$N$101,"Yes"),0)</f>
        <v>0</v>
      </c>
    </row>
    <row r="183" spans="1:33">
      <c r="A183" t="s">
        <v>949</v>
      </c>
      <c r="B183" t="s">
        <v>950</v>
      </c>
      <c r="C183" t="s">
        <v>951</v>
      </c>
      <c r="D183" t="s">
        <v>149</v>
      </c>
      <c r="E183" t="s">
        <v>150</v>
      </c>
      <c r="F183" t="s">
        <v>315</v>
      </c>
      <c r="G183" t="s">
        <v>326</v>
      </c>
      <c r="H183" t="s">
        <v>832</v>
      </c>
      <c r="I183" t="s">
        <v>833</v>
      </c>
      <c r="J183" t="s">
        <v>907</v>
      </c>
      <c r="K183" t="s">
        <v>129</v>
      </c>
      <c r="L183" t="s">
        <v>17</v>
      </c>
      <c r="M183">
        <v>1200</v>
      </c>
      <c r="N183" t="s">
        <v>153</v>
      </c>
      <c r="O183" t="s">
        <v>11</v>
      </c>
      <c r="P183" t="s">
        <v>143</v>
      </c>
      <c r="Q183" t="s">
        <v>3068</v>
      </c>
      <c r="R183" t="s">
        <v>3230</v>
      </c>
      <c r="S183" t="s">
        <v>3392</v>
      </c>
      <c r="T183">
        <v>2</v>
      </c>
      <c r="U183">
        <v>1</v>
      </c>
      <c r="V183">
        <v>1</v>
      </c>
      <c r="W183">
        <v>1</v>
      </c>
      <c r="X183">
        <v>0</v>
      </c>
      <c r="Y183" t="s">
        <v>154</v>
      </c>
      <c r="Z183" t="s">
        <v>952</v>
      </c>
      <c r="AA183" t="s">
        <v>7</v>
      </c>
      <c r="AB183" t="s">
        <v>8</v>
      </c>
      <c r="AC183" s="3">
        <f>T183*'Settings &amp; Rates'!$B$5+U183*'Settings &amp; Rates'!$B$6+V183*'Settings &amp; Rates'!$B$7+W183*'Settings &amp; Rates'!$B$8+X183*'Settings &amp; Rates'!$B$9</f>
        <v>35</v>
      </c>
      <c r="AD183" s="3">
        <f>SUMIF('Attempt Log'!$B$2:$B$101,A183,'Attempt Log'!$K$2:$K$101)</f>
        <v>0</v>
      </c>
      <c r="AE183" s="3">
        <f t="shared" si="2"/>
        <v>-35</v>
      </c>
      <c r="AF183">
        <f>COUNTIF('Attempt Log'!$B$2:$B$101,A183)</f>
        <v>0</v>
      </c>
      <c r="AG183">
        <f>IFERROR(SUMIFS('Attempt Log'!$U$2:$U$101,'Attempt Log'!$B$2:$B$101,A183,'Attempt Log'!$N$2:$N$101,"Yes")/COUNTIFS('Attempt Log'!$B$2:$B$101,A183,'Attempt Log'!$N$2:$N$101,"Yes"),0)</f>
        <v>0</v>
      </c>
    </row>
    <row r="184" spans="1:33">
      <c r="A184" t="s">
        <v>953</v>
      </c>
      <c r="B184" t="s">
        <v>954</v>
      </c>
      <c r="C184" t="s">
        <v>955</v>
      </c>
      <c r="D184" t="s">
        <v>149</v>
      </c>
      <c r="E184" t="s">
        <v>150</v>
      </c>
      <c r="F184" t="s">
        <v>315</v>
      </c>
      <c r="G184" t="s">
        <v>331</v>
      </c>
      <c r="H184" t="s">
        <v>832</v>
      </c>
      <c r="I184" t="s">
        <v>833</v>
      </c>
      <c r="J184" t="s">
        <v>907</v>
      </c>
      <c r="K184" t="s">
        <v>129</v>
      </c>
      <c r="L184" t="s">
        <v>17</v>
      </c>
      <c r="M184">
        <v>1450</v>
      </c>
      <c r="N184" t="s">
        <v>153</v>
      </c>
      <c r="O184" t="s">
        <v>11</v>
      </c>
      <c r="P184" t="s">
        <v>143</v>
      </c>
      <c r="Q184" t="s">
        <v>3077</v>
      </c>
      <c r="R184" t="s">
        <v>3239</v>
      </c>
      <c r="S184" t="s">
        <v>3401</v>
      </c>
      <c r="T184">
        <v>2</v>
      </c>
      <c r="U184">
        <v>1</v>
      </c>
      <c r="V184">
        <v>1</v>
      </c>
      <c r="W184">
        <v>1</v>
      </c>
      <c r="X184">
        <v>0</v>
      </c>
      <c r="Y184" t="s">
        <v>154</v>
      </c>
      <c r="Z184" t="s">
        <v>956</v>
      </c>
      <c r="AA184" t="s">
        <v>7</v>
      </c>
      <c r="AB184" t="s">
        <v>8</v>
      </c>
      <c r="AC184" s="3">
        <f>T184*'Settings &amp; Rates'!$B$5+U184*'Settings &amp; Rates'!$B$6+V184*'Settings &amp; Rates'!$B$7+W184*'Settings &amp; Rates'!$B$8+X184*'Settings &amp; Rates'!$B$9</f>
        <v>35</v>
      </c>
      <c r="AD184" s="3">
        <f>SUMIF('Attempt Log'!$B$2:$B$101,A184,'Attempt Log'!$K$2:$K$101)</f>
        <v>0</v>
      </c>
      <c r="AE184" s="3">
        <f t="shared" si="2"/>
        <v>-35</v>
      </c>
      <c r="AF184">
        <f>COUNTIF('Attempt Log'!$B$2:$B$101,A184)</f>
        <v>0</v>
      </c>
      <c r="AG184">
        <f>IFERROR(SUMIFS('Attempt Log'!$U$2:$U$101,'Attempt Log'!$B$2:$B$101,A184,'Attempt Log'!$N$2:$N$101,"Yes")/COUNTIFS('Attempt Log'!$B$2:$B$101,A184,'Attempt Log'!$N$2:$N$101,"Yes"),0)</f>
        <v>0</v>
      </c>
    </row>
    <row r="185" spans="1:33">
      <c r="A185" t="s">
        <v>957</v>
      </c>
      <c r="B185" t="s">
        <v>958</v>
      </c>
      <c r="C185" t="s">
        <v>959</v>
      </c>
      <c r="D185" t="s">
        <v>149</v>
      </c>
      <c r="E185" t="s">
        <v>150</v>
      </c>
      <c r="F185" t="s">
        <v>151</v>
      </c>
      <c r="G185" t="s">
        <v>252</v>
      </c>
      <c r="H185" t="s">
        <v>832</v>
      </c>
      <c r="I185" t="s">
        <v>833</v>
      </c>
      <c r="J185" t="s">
        <v>907</v>
      </c>
      <c r="K185" t="s">
        <v>140</v>
      </c>
      <c r="L185" t="s">
        <v>141</v>
      </c>
      <c r="M185">
        <v>1700</v>
      </c>
      <c r="N185" t="s">
        <v>153</v>
      </c>
      <c r="O185" t="s">
        <v>11</v>
      </c>
      <c r="P185" t="s">
        <v>143</v>
      </c>
      <c r="Q185" t="s">
        <v>3086</v>
      </c>
      <c r="R185" t="s">
        <v>3248</v>
      </c>
      <c r="S185" t="s">
        <v>3410</v>
      </c>
      <c r="T185">
        <v>1</v>
      </c>
      <c r="U185">
        <v>1</v>
      </c>
      <c r="V185">
        <v>1</v>
      </c>
      <c r="W185">
        <v>1</v>
      </c>
      <c r="X185">
        <v>0</v>
      </c>
      <c r="Y185" t="s">
        <v>154</v>
      </c>
      <c r="Z185" t="s">
        <v>960</v>
      </c>
      <c r="AA185" t="s">
        <v>7</v>
      </c>
      <c r="AB185" t="s">
        <v>8</v>
      </c>
      <c r="AC185" s="3">
        <f>T185*'Settings &amp; Rates'!$B$5+U185*'Settings &amp; Rates'!$B$6+V185*'Settings &amp; Rates'!$B$7+W185*'Settings &amp; Rates'!$B$8+X185*'Settings &amp; Rates'!$B$9</f>
        <v>35</v>
      </c>
      <c r="AD185" s="3">
        <f>SUMIF('Attempt Log'!$B$2:$B$101,A185,'Attempt Log'!$K$2:$K$101)</f>
        <v>0</v>
      </c>
      <c r="AE185" s="3">
        <f t="shared" si="2"/>
        <v>-35</v>
      </c>
      <c r="AF185">
        <f>COUNTIF('Attempt Log'!$B$2:$B$101,A185)</f>
        <v>0</v>
      </c>
      <c r="AG185">
        <f>IFERROR(SUMIFS('Attempt Log'!$U$2:$U$101,'Attempt Log'!$B$2:$B$101,A185,'Attempt Log'!$N$2:$N$101,"Yes")/COUNTIFS('Attempt Log'!$B$2:$B$101,A185,'Attempt Log'!$N$2:$N$101,"Yes"),0)</f>
        <v>0</v>
      </c>
    </row>
    <row r="186" spans="1:33">
      <c r="A186" t="s">
        <v>961</v>
      </c>
      <c r="B186" t="s">
        <v>962</v>
      </c>
      <c r="C186" t="s">
        <v>963</v>
      </c>
      <c r="D186" t="s">
        <v>149</v>
      </c>
      <c r="E186" t="s">
        <v>150</v>
      </c>
      <c r="F186" t="s">
        <v>244</v>
      </c>
      <c r="G186" t="s">
        <v>257</v>
      </c>
      <c r="H186" t="s">
        <v>832</v>
      </c>
      <c r="I186" t="s">
        <v>833</v>
      </c>
      <c r="J186" t="s">
        <v>907</v>
      </c>
      <c r="K186" t="s">
        <v>140</v>
      </c>
      <c r="L186" t="s">
        <v>141</v>
      </c>
      <c r="M186">
        <v>550</v>
      </c>
      <c r="N186" t="s">
        <v>247</v>
      </c>
      <c r="O186" t="s">
        <v>11</v>
      </c>
      <c r="P186" t="s">
        <v>143</v>
      </c>
      <c r="Q186" t="s">
        <v>3095</v>
      </c>
      <c r="R186" t="s">
        <v>3257</v>
      </c>
      <c r="S186" t="s">
        <v>3419</v>
      </c>
      <c r="T186">
        <v>1</v>
      </c>
      <c r="U186">
        <v>1</v>
      </c>
      <c r="V186">
        <v>1</v>
      </c>
      <c r="W186">
        <v>1</v>
      </c>
      <c r="X186">
        <v>0</v>
      </c>
      <c r="Y186" t="s">
        <v>154</v>
      </c>
      <c r="Z186" t="s">
        <v>964</v>
      </c>
      <c r="AA186" t="s">
        <v>7</v>
      </c>
      <c r="AB186" t="s">
        <v>8</v>
      </c>
      <c r="AC186" s="3">
        <f>T186*'Settings &amp; Rates'!$B$5+U186*'Settings &amp; Rates'!$B$6+V186*'Settings &amp; Rates'!$B$7+W186*'Settings &amp; Rates'!$B$8+X186*'Settings &amp; Rates'!$B$9</f>
        <v>35</v>
      </c>
      <c r="AD186" s="3">
        <f>SUMIF('Attempt Log'!$B$2:$B$101,A186,'Attempt Log'!$K$2:$K$101)</f>
        <v>0</v>
      </c>
      <c r="AE186" s="3">
        <f t="shared" si="2"/>
        <v>-35</v>
      </c>
      <c r="AF186">
        <f>COUNTIF('Attempt Log'!$B$2:$B$101,A186)</f>
        <v>0</v>
      </c>
      <c r="AG186">
        <f>IFERROR(SUMIFS('Attempt Log'!$U$2:$U$101,'Attempt Log'!$B$2:$B$101,A186,'Attempt Log'!$N$2:$N$101,"Yes")/COUNTIFS('Attempt Log'!$B$2:$B$101,A186,'Attempt Log'!$N$2:$N$101,"Yes"),0)</f>
        <v>0</v>
      </c>
    </row>
    <row r="187" spans="1:33">
      <c r="A187" t="s">
        <v>965</v>
      </c>
      <c r="B187" t="s">
        <v>966</v>
      </c>
      <c r="C187" t="s">
        <v>967</v>
      </c>
      <c r="D187" t="s">
        <v>149</v>
      </c>
      <c r="E187" t="s">
        <v>150</v>
      </c>
      <c r="F187" t="s">
        <v>151</v>
      </c>
      <c r="G187" t="s">
        <v>262</v>
      </c>
      <c r="H187" t="s">
        <v>832</v>
      </c>
      <c r="I187" t="s">
        <v>833</v>
      </c>
      <c r="J187" t="s">
        <v>907</v>
      </c>
      <c r="K187" t="s">
        <v>140</v>
      </c>
      <c r="L187" t="s">
        <v>141</v>
      </c>
      <c r="M187">
        <v>2500</v>
      </c>
      <c r="N187" t="s">
        <v>153</v>
      </c>
      <c r="O187" t="s">
        <v>11</v>
      </c>
      <c r="P187" t="s">
        <v>143</v>
      </c>
      <c r="Q187" t="s">
        <v>3104</v>
      </c>
      <c r="R187" t="s">
        <v>3266</v>
      </c>
      <c r="S187" t="s">
        <v>3428</v>
      </c>
      <c r="T187">
        <v>1</v>
      </c>
      <c r="U187">
        <v>1</v>
      </c>
      <c r="V187">
        <v>1</v>
      </c>
      <c r="W187">
        <v>1</v>
      </c>
      <c r="X187">
        <v>0</v>
      </c>
      <c r="Y187" t="s">
        <v>154</v>
      </c>
      <c r="Z187" t="s">
        <v>968</v>
      </c>
      <c r="AA187" t="s">
        <v>7</v>
      </c>
      <c r="AB187" t="s">
        <v>8</v>
      </c>
      <c r="AC187" s="3">
        <f>T187*'Settings &amp; Rates'!$B$5+U187*'Settings &amp; Rates'!$B$6+V187*'Settings &amp; Rates'!$B$7+W187*'Settings &amp; Rates'!$B$8+X187*'Settings &amp; Rates'!$B$9</f>
        <v>35</v>
      </c>
      <c r="AD187" s="3">
        <f>SUMIF('Attempt Log'!$B$2:$B$101,A187,'Attempt Log'!$K$2:$K$101)</f>
        <v>0</v>
      </c>
      <c r="AE187" s="3">
        <f t="shared" si="2"/>
        <v>-35</v>
      </c>
      <c r="AF187">
        <f>COUNTIF('Attempt Log'!$B$2:$B$101,A187)</f>
        <v>0</v>
      </c>
      <c r="AG187">
        <f>IFERROR(SUMIFS('Attempt Log'!$U$2:$U$101,'Attempt Log'!$B$2:$B$101,A187,'Attempt Log'!$N$2:$N$101,"Yes")/COUNTIFS('Attempt Log'!$B$2:$B$101,A187,'Attempt Log'!$N$2:$N$101,"Yes"),0)</f>
        <v>0</v>
      </c>
    </row>
    <row r="188" spans="1:33">
      <c r="A188" t="s">
        <v>969</v>
      </c>
      <c r="B188" t="s">
        <v>970</v>
      </c>
      <c r="C188" t="s">
        <v>971</v>
      </c>
      <c r="D188" t="s">
        <v>149</v>
      </c>
      <c r="E188" t="s">
        <v>150</v>
      </c>
      <c r="F188" t="s">
        <v>151</v>
      </c>
      <c r="G188" t="s">
        <v>267</v>
      </c>
      <c r="H188" t="s">
        <v>832</v>
      </c>
      <c r="I188" t="s">
        <v>833</v>
      </c>
      <c r="J188" t="s">
        <v>907</v>
      </c>
      <c r="K188" t="s">
        <v>140</v>
      </c>
      <c r="L188" t="s">
        <v>141</v>
      </c>
      <c r="M188">
        <v>2400</v>
      </c>
      <c r="N188" t="s">
        <v>153</v>
      </c>
      <c r="O188" t="s">
        <v>11</v>
      </c>
      <c r="P188" t="s">
        <v>143</v>
      </c>
      <c r="Q188" t="s">
        <v>3113</v>
      </c>
      <c r="R188" t="s">
        <v>3275</v>
      </c>
      <c r="S188" t="s">
        <v>3437</v>
      </c>
      <c r="T188">
        <v>1</v>
      </c>
      <c r="U188">
        <v>1</v>
      </c>
      <c r="V188">
        <v>1</v>
      </c>
      <c r="W188">
        <v>1</v>
      </c>
      <c r="X188">
        <v>0</v>
      </c>
      <c r="Y188" t="s">
        <v>154</v>
      </c>
      <c r="Z188" t="s">
        <v>972</v>
      </c>
      <c r="AA188" t="s">
        <v>7</v>
      </c>
      <c r="AB188" t="s">
        <v>8</v>
      </c>
      <c r="AC188" s="3">
        <f>T188*'Settings &amp; Rates'!$B$5+U188*'Settings &amp; Rates'!$B$6+V188*'Settings &amp; Rates'!$B$7+W188*'Settings &amp; Rates'!$B$8+X188*'Settings &amp; Rates'!$B$9</f>
        <v>35</v>
      </c>
      <c r="AD188" s="3">
        <f>SUMIF('Attempt Log'!$B$2:$B$101,A188,'Attempt Log'!$K$2:$K$101)</f>
        <v>0</v>
      </c>
      <c r="AE188" s="3">
        <f t="shared" si="2"/>
        <v>-35</v>
      </c>
      <c r="AF188">
        <f>COUNTIF('Attempt Log'!$B$2:$B$101,A188)</f>
        <v>0</v>
      </c>
      <c r="AG188">
        <f>IFERROR(SUMIFS('Attempt Log'!$U$2:$U$101,'Attempt Log'!$B$2:$B$101,A188,'Attempt Log'!$N$2:$N$101,"Yes")/COUNTIFS('Attempt Log'!$B$2:$B$101,A188,'Attempt Log'!$N$2:$N$101,"Yes"),0)</f>
        <v>0</v>
      </c>
    </row>
    <row r="189" spans="1:33">
      <c r="A189" t="s">
        <v>973</v>
      </c>
      <c r="B189" t="s">
        <v>974</v>
      </c>
      <c r="C189" t="s">
        <v>975</v>
      </c>
      <c r="D189" t="s">
        <v>149</v>
      </c>
      <c r="E189" t="s">
        <v>150</v>
      </c>
      <c r="F189" t="s">
        <v>151</v>
      </c>
      <c r="G189" t="s">
        <v>152</v>
      </c>
      <c r="H189" t="s">
        <v>832</v>
      </c>
      <c r="I189" t="s">
        <v>833</v>
      </c>
      <c r="J189" t="s">
        <v>907</v>
      </c>
      <c r="K189" t="s">
        <v>140</v>
      </c>
      <c r="L189" t="s">
        <v>141</v>
      </c>
      <c r="M189">
        <v>2000</v>
      </c>
      <c r="N189" t="s">
        <v>153</v>
      </c>
      <c r="O189" t="s">
        <v>11</v>
      </c>
      <c r="P189" t="s">
        <v>143</v>
      </c>
      <c r="Q189" t="s">
        <v>3122</v>
      </c>
      <c r="R189" t="s">
        <v>3284</v>
      </c>
      <c r="S189" t="s">
        <v>3446</v>
      </c>
      <c r="T189">
        <v>1</v>
      </c>
      <c r="U189">
        <v>1</v>
      </c>
      <c r="V189">
        <v>1</v>
      </c>
      <c r="W189">
        <v>1</v>
      </c>
      <c r="X189">
        <v>0</v>
      </c>
      <c r="Y189" t="s">
        <v>154</v>
      </c>
      <c r="Z189" t="s">
        <v>976</v>
      </c>
      <c r="AA189" t="s">
        <v>7</v>
      </c>
      <c r="AB189" t="s">
        <v>8</v>
      </c>
      <c r="AC189" s="3">
        <f>T189*'Settings &amp; Rates'!$B$5+U189*'Settings &amp; Rates'!$B$6+V189*'Settings &amp; Rates'!$B$7+W189*'Settings &amp; Rates'!$B$8+X189*'Settings &amp; Rates'!$B$9</f>
        <v>35</v>
      </c>
      <c r="AD189" s="3">
        <f>SUMIF('Attempt Log'!$B$2:$B$101,A189,'Attempt Log'!$K$2:$K$101)</f>
        <v>0</v>
      </c>
      <c r="AE189" s="3">
        <f t="shared" si="2"/>
        <v>-35</v>
      </c>
      <c r="AF189">
        <f>COUNTIF('Attempt Log'!$B$2:$B$101,A189)</f>
        <v>0</v>
      </c>
      <c r="AG189">
        <f>IFERROR(SUMIFS('Attempt Log'!$U$2:$U$101,'Attempt Log'!$B$2:$B$101,A189,'Attempt Log'!$N$2:$N$101,"Yes")/COUNTIFS('Attempt Log'!$B$2:$B$101,A189,'Attempt Log'!$N$2:$N$101,"Yes"),0)</f>
        <v>0</v>
      </c>
    </row>
    <row r="190" spans="1:33">
      <c r="A190" t="s">
        <v>977</v>
      </c>
      <c r="B190" t="s">
        <v>978</v>
      </c>
      <c r="C190" t="s">
        <v>979</v>
      </c>
      <c r="D190" t="s">
        <v>137</v>
      </c>
      <c r="E190" t="s">
        <v>169</v>
      </c>
      <c r="F190" t="s">
        <v>170</v>
      </c>
      <c r="G190" t="s">
        <v>336</v>
      </c>
      <c r="H190" t="s">
        <v>390</v>
      </c>
      <c r="I190" t="s">
        <v>391</v>
      </c>
      <c r="J190" t="s">
        <v>980</v>
      </c>
      <c r="K190" t="s">
        <v>140</v>
      </c>
      <c r="L190" t="s">
        <v>141</v>
      </c>
      <c r="M190">
        <v>6250</v>
      </c>
      <c r="N190" t="s">
        <v>142</v>
      </c>
      <c r="O190" t="s">
        <v>11</v>
      </c>
      <c r="P190" t="s">
        <v>338</v>
      </c>
      <c r="Q190" t="s">
        <v>3511</v>
      </c>
      <c r="R190" t="s">
        <v>3596</v>
      </c>
      <c r="S190" t="s">
        <v>3686</v>
      </c>
      <c r="T190">
        <v>2</v>
      </c>
      <c r="U190">
        <v>2</v>
      </c>
      <c r="V190">
        <v>1</v>
      </c>
      <c r="W190">
        <v>1</v>
      </c>
      <c r="X190">
        <v>0</v>
      </c>
      <c r="Y190" t="s">
        <v>173</v>
      </c>
      <c r="Z190" t="s">
        <v>981</v>
      </c>
      <c r="AA190" t="s">
        <v>7</v>
      </c>
      <c r="AB190" t="s">
        <v>8</v>
      </c>
      <c r="AC190" s="3">
        <f>T190*'Settings &amp; Rates'!$B$5+U190*'Settings &amp; Rates'!$B$6+V190*'Settings &amp; Rates'!$B$7+W190*'Settings &amp; Rates'!$B$8+X190*'Settings &amp; Rates'!$B$9</f>
        <v>55</v>
      </c>
      <c r="AD190" s="3">
        <f>SUMIF('Attempt Log'!$B$2:$B$101,A190,'Attempt Log'!$K$2:$K$101)</f>
        <v>0</v>
      </c>
      <c r="AE190" s="3">
        <f t="shared" si="2"/>
        <v>-55</v>
      </c>
      <c r="AF190">
        <f>COUNTIF('Attempt Log'!$B$2:$B$101,A190)</f>
        <v>0</v>
      </c>
      <c r="AG190">
        <f>IFERROR(SUMIFS('Attempt Log'!$U$2:$U$101,'Attempt Log'!$B$2:$B$101,A190,'Attempt Log'!$N$2:$N$101,"Yes")/COUNTIFS('Attempt Log'!$B$2:$B$101,A190,'Attempt Log'!$N$2:$N$101,"Yes"),0)</f>
        <v>0</v>
      </c>
    </row>
    <row r="191" spans="1:33">
      <c r="A191" t="s">
        <v>982</v>
      </c>
      <c r="B191" t="s">
        <v>983</v>
      </c>
      <c r="C191" t="s">
        <v>984</v>
      </c>
      <c r="D191" t="s">
        <v>137</v>
      </c>
      <c r="E191" t="s">
        <v>169</v>
      </c>
      <c r="F191" t="s">
        <v>170</v>
      </c>
      <c r="G191" t="s">
        <v>171</v>
      </c>
      <c r="H191" t="s">
        <v>390</v>
      </c>
      <c r="I191" t="s">
        <v>391</v>
      </c>
      <c r="J191" t="s">
        <v>980</v>
      </c>
      <c r="K191" t="s">
        <v>140</v>
      </c>
      <c r="L191" t="s">
        <v>141</v>
      </c>
      <c r="M191">
        <v>6250</v>
      </c>
      <c r="N191" t="s">
        <v>142</v>
      </c>
      <c r="O191" t="s">
        <v>11</v>
      </c>
      <c r="P191" t="s">
        <v>172</v>
      </c>
      <c r="Q191" t="s">
        <v>3516</v>
      </c>
      <c r="R191" t="s">
        <v>3601</v>
      </c>
      <c r="S191" t="s">
        <v>3691</v>
      </c>
      <c r="T191">
        <v>2</v>
      </c>
      <c r="U191">
        <v>2</v>
      </c>
      <c r="V191">
        <v>1</v>
      </c>
      <c r="W191">
        <v>1</v>
      </c>
      <c r="X191">
        <v>0</v>
      </c>
      <c r="Y191" t="s">
        <v>173</v>
      </c>
      <c r="Z191" t="s">
        <v>985</v>
      </c>
      <c r="AA191" t="s">
        <v>7</v>
      </c>
      <c r="AB191" t="s">
        <v>8</v>
      </c>
      <c r="AC191" s="3">
        <f>T191*'Settings &amp; Rates'!$B$5+U191*'Settings &amp; Rates'!$B$6+V191*'Settings &amp; Rates'!$B$7+W191*'Settings &amp; Rates'!$B$8+X191*'Settings &amp; Rates'!$B$9</f>
        <v>55</v>
      </c>
      <c r="AD191" s="3">
        <f>SUMIF('Attempt Log'!$B$2:$B$101,A191,'Attempt Log'!$K$2:$K$101)</f>
        <v>0</v>
      </c>
      <c r="AE191" s="3">
        <f t="shared" si="2"/>
        <v>-55</v>
      </c>
      <c r="AF191">
        <f>COUNTIF('Attempt Log'!$B$2:$B$101,A191)</f>
        <v>0</v>
      </c>
      <c r="AG191">
        <f>IFERROR(SUMIFS('Attempt Log'!$U$2:$U$101,'Attempt Log'!$B$2:$B$101,A191,'Attempt Log'!$N$2:$N$101,"Yes")/COUNTIFS('Attempt Log'!$B$2:$B$101,A191,'Attempt Log'!$N$2:$N$101,"Yes"),0)</f>
        <v>0</v>
      </c>
    </row>
    <row r="192" spans="1:33">
      <c r="A192" t="s">
        <v>986</v>
      </c>
      <c r="B192" t="s">
        <v>987</v>
      </c>
      <c r="C192" t="s">
        <v>988</v>
      </c>
      <c r="D192" t="s">
        <v>137</v>
      </c>
      <c r="E192" t="s">
        <v>169</v>
      </c>
      <c r="F192" t="s">
        <v>170</v>
      </c>
      <c r="G192" t="s">
        <v>343</v>
      </c>
      <c r="H192" t="s">
        <v>390</v>
      </c>
      <c r="I192" t="s">
        <v>391</v>
      </c>
      <c r="J192" t="s">
        <v>980</v>
      </c>
      <c r="K192" t="s">
        <v>140</v>
      </c>
      <c r="L192" t="s">
        <v>141</v>
      </c>
      <c r="M192">
        <v>6250</v>
      </c>
      <c r="N192" t="s">
        <v>142</v>
      </c>
      <c r="O192" t="s">
        <v>11</v>
      </c>
      <c r="P192" t="s">
        <v>344</v>
      </c>
      <c r="Q192" t="s">
        <v>3521</v>
      </c>
      <c r="R192" t="s">
        <v>3606</v>
      </c>
      <c r="S192" t="s">
        <v>3696</v>
      </c>
      <c r="T192">
        <v>2</v>
      </c>
      <c r="U192">
        <v>2</v>
      </c>
      <c r="V192">
        <v>1</v>
      </c>
      <c r="W192">
        <v>1</v>
      </c>
      <c r="X192">
        <v>0</v>
      </c>
      <c r="Y192" t="s">
        <v>173</v>
      </c>
      <c r="Z192" t="s">
        <v>989</v>
      </c>
      <c r="AA192" t="s">
        <v>7</v>
      </c>
      <c r="AB192" t="s">
        <v>8</v>
      </c>
      <c r="AC192" s="3">
        <f>T192*'Settings &amp; Rates'!$B$5+U192*'Settings &amp; Rates'!$B$6+V192*'Settings &amp; Rates'!$B$7+W192*'Settings &amp; Rates'!$B$8+X192*'Settings &amp; Rates'!$B$9</f>
        <v>55</v>
      </c>
      <c r="AD192" s="3">
        <f>SUMIF('Attempt Log'!$B$2:$B$101,A192,'Attempt Log'!$K$2:$K$101)</f>
        <v>0</v>
      </c>
      <c r="AE192" s="3">
        <f t="shared" si="2"/>
        <v>-55</v>
      </c>
      <c r="AF192">
        <f>COUNTIF('Attempt Log'!$B$2:$B$101,A192)</f>
        <v>0</v>
      </c>
      <c r="AG192">
        <f>IFERROR(SUMIFS('Attempt Log'!$U$2:$U$101,'Attempt Log'!$B$2:$B$101,A192,'Attempt Log'!$N$2:$N$101,"Yes")/COUNTIFS('Attempt Log'!$B$2:$B$101,A192,'Attempt Log'!$N$2:$N$101,"Yes"),0)</f>
        <v>0</v>
      </c>
    </row>
    <row r="193" spans="1:33">
      <c r="A193" t="s">
        <v>990</v>
      </c>
      <c r="B193" t="s">
        <v>991</v>
      </c>
      <c r="C193" t="s">
        <v>992</v>
      </c>
      <c r="D193" t="s">
        <v>137</v>
      </c>
      <c r="E193" t="s">
        <v>169</v>
      </c>
      <c r="F193" t="s">
        <v>170</v>
      </c>
      <c r="G193" t="s">
        <v>349</v>
      </c>
      <c r="H193" t="s">
        <v>390</v>
      </c>
      <c r="I193" t="s">
        <v>391</v>
      </c>
      <c r="J193" t="s">
        <v>980</v>
      </c>
      <c r="K193" t="s">
        <v>140</v>
      </c>
      <c r="L193" t="s">
        <v>141</v>
      </c>
      <c r="M193">
        <v>6250</v>
      </c>
      <c r="N193" t="s">
        <v>142</v>
      </c>
      <c r="O193" t="s">
        <v>11</v>
      </c>
      <c r="P193" t="s">
        <v>350</v>
      </c>
      <c r="Q193" t="s">
        <v>3526</v>
      </c>
      <c r="R193" t="s">
        <v>3611</v>
      </c>
      <c r="S193" t="s">
        <v>3701</v>
      </c>
      <c r="T193">
        <v>2</v>
      </c>
      <c r="U193">
        <v>2</v>
      </c>
      <c r="V193">
        <v>1</v>
      </c>
      <c r="W193">
        <v>1</v>
      </c>
      <c r="X193">
        <v>0</v>
      </c>
      <c r="Y193" t="s">
        <v>173</v>
      </c>
      <c r="Z193" t="s">
        <v>993</v>
      </c>
      <c r="AA193" t="s">
        <v>7</v>
      </c>
      <c r="AB193" t="s">
        <v>8</v>
      </c>
      <c r="AC193" s="3">
        <f>T193*'Settings &amp; Rates'!$B$5+U193*'Settings &amp; Rates'!$B$6+V193*'Settings &amp; Rates'!$B$7+W193*'Settings &amp; Rates'!$B$8+X193*'Settings &amp; Rates'!$B$9</f>
        <v>55</v>
      </c>
      <c r="AD193" s="3">
        <f>SUMIF('Attempt Log'!$B$2:$B$101,A193,'Attempt Log'!$K$2:$K$101)</f>
        <v>0</v>
      </c>
      <c r="AE193" s="3">
        <f t="shared" si="2"/>
        <v>-55</v>
      </c>
      <c r="AF193">
        <f>COUNTIF('Attempt Log'!$B$2:$B$101,A193)</f>
        <v>0</v>
      </c>
      <c r="AG193">
        <f>IFERROR(SUMIFS('Attempt Log'!$U$2:$U$101,'Attempt Log'!$B$2:$B$101,A193,'Attempt Log'!$N$2:$N$101,"Yes")/COUNTIFS('Attempt Log'!$B$2:$B$101,A193,'Attempt Log'!$N$2:$N$101,"Yes"),0)</f>
        <v>0</v>
      </c>
    </row>
    <row r="194" spans="1:33">
      <c r="A194" t="s">
        <v>994</v>
      </c>
      <c r="B194" t="s">
        <v>995</v>
      </c>
      <c r="C194" t="s">
        <v>996</v>
      </c>
      <c r="D194" t="s">
        <v>137</v>
      </c>
      <c r="E194" t="s">
        <v>169</v>
      </c>
      <c r="F194" t="s">
        <v>170</v>
      </c>
      <c r="G194" t="s">
        <v>355</v>
      </c>
      <c r="H194" t="s">
        <v>390</v>
      </c>
      <c r="I194" t="s">
        <v>391</v>
      </c>
      <c r="J194" t="s">
        <v>980</v>
      </c>
      <c r="K194" t="s">
        <v>140</v>
      </c>
      <c r="L194" t="s">
        <v>141</v>
      </c>
      <c r="M194">
        <v>6250</v>
      </c>
      <c r="N194" t="s">
        <v>142</v>
      </c>
      <c r="O194" t="s">
        <v>11</v>
      </c>
      <c r="P194" t="s">
        <v>356</v>
      </c>
      <c r="Q194" t="s">
        <v>3531</v>
      </c>
      <c r="R194" t="s">
        <v>3616</v>
      </c>
      <c r="S194" t="s">
        <v>3706</v>
      </c>
      <c r="T194">
        <v>2</v>
      </c>
      <c r="U194">
        <v>2</v>
      </c>
      <c r="V194">
        <v>1</v>
      </c>
      <c r="W194">
        <v>1</v>
      </c>
      <c r="X194">
        <v>0</v>
      </c>
      <c r="Y194" t="s">
        <v>173</v>
      </c>
      <c r="Z194" t="s">
        <v>997</v>
      </c>
      <c r="AA194" t="s">
        <v>7</v>
      </c>
      <c r="AB194" t="s">
        <v>8</v>
      </c>
      <c r="AC194" s="3">
        <f>T194*'Settings &amp; Rates'!$B$5+U194*'Settings &amp; Rates'!$B$6+V194*'Settings &amp; Rates'!$B$7+W194*'Settings &amp; Rates'!$B$8+X194*'Settings &amp; Rates'!$B$9</f>
        <v>55</v>
      </c>
      <c r="AD194" s="3">
        <f>SUMIF('Attempt Log'!$B$2:$B$101,A194,'Attempt Log'!$K$2:$K$101)</f>
        <v>0</v>
      </c>
      <c r="AE194" s="3">
        <f t="shared" ref="AE194:AE257" si="3">AD194-AC194</f>
        <v>-55</v>
      </c>
      <c r="AF194">
        <f>COUNTIF('Attempt Log'!$B$2:$B$101,A194)</f>
        <v>0</v>
      </c>
      <c r="AG194">
        <f>IFERROR(SUMIFS('Attempt Log'!$U$2:$U$101,'Attempt Log'!$B$2:$B$101,A194,'Attempt Log'!$N$2:$N$101,"Yes")/COUNTIFS('Attempt Log'!$B$2:$B$101,A194,'Attempt Log'!$N$2:$N$101,"Yes"),0)</f>
        <v>0</v>
      </c>
    </row>
    <row r="195" spans="1:33">
      <c r="A195" t="s">
        <v>998</v>
      </c>
      <c r="B195" t="s">
        <v>999</v>
      </c>
      <c r="C195" t="s">
        <v>1000</v>
      </c>
      <c r="D195" t="s">
        <v>137</v>
      </c>
      <c r="E195" t="s">
        <v>169</v>
      </c>
      <c r="F195" t="s">
        <v>170</v>
      </c>
      <c r="G195" t="s">
        <v>336</v>
      </c>
      <c r="H195" t="s">
        <v>538</v>
      </c>
      <c r="I195" t="s">
        <v>539</v>
      </c>
      <c r="J195" t="s">
        <v>1001</v>
      </c>
      <c r="K195" t="s">
        <v>129</v>
      </c>
      <c r="L195" t="s">
        <v>17</v>
      </c>
      <c r="M195">
        <v>7250</v>
      </c>
      <c r="N195" t="s">
        <v>142</v>
      </c>
      <c r="O195" t="s">
        <v>11</v>
      </c>
      <c r="P195" t="s">
        <v>338</v>
      </c>
      <c r="Q195" t="s">
        <v>3512</v>
      </c>
      <c r="R195" t="s">
        <v>3597</v>
      </c>
      <c r="S195" t="s">
        <v>3687</v>
      </c>
      <c r="T195">
        <v>2</v>
      </c>
      <c r="U195">
        <v>2</v>
      </c>
      <c r="V195">
        <v>1</v>
      </c>
      <c r="W195">
        <v>1</v>
      </c>
      <c r="X195">
        <v>0</v>
      </c>
      <c r="Y195" t="s">
        <v>173</v>
      </c>
      <c r="Z195" t="s">
        <v>1002</v>
      </c>
      <c r="AA195" t="s">
        <v>7</v>
      </c>
      <c r="AB195" t="s">
        <v>8</v>
      </c>
      <c r="AC195" s="3">
        <f>T195*'Settings &amp; Rates'!$B$5+U195*'Settings &amp; Rates'!$B$6+V195*'Settings &amp; Rates'!$B$7+W195*'Settings &amp; Rates'!$B$8+X195*'Settings &amp; Rates'!$B$9</f>
        <v>55</v>
      </c>
      <c r="AD195" s="3">
        <f>SUMIF('Attempt Log'!$B$2:$B$101,A195,'Attempt Log'!$K$2:$K$101)</f>
        <v>0</v>
      </c>
      <c r="AE195" s="3">
        <f t="shared" si="3"/>
        <v>-55</v>
      </c>
      <c r="AF195">
        <f>COUNTIF('Attempt Log'!$B$2:$B$101,A195)</f>
        <v>0</v>
      </c>
      <c r="AG195">
        <f>IFERROR(SUMIFS('Attempt Log'!$U$2:$U$101,'Attempt Log'!$B$2:$B$101,A195,'Attempt Log'!$N$2:$N$101,"Yes")/COUNTIFS('Attempt Log'!$B$2:$B$101,A195,'Attempt Log'!$N$2:$N$101,"Yes"),0)</f>
        <v>0</v>
      </c>
    </row>
    <row r="196" spans="1:33">
      <c r="A196" t="s">
        <v>1003</v>
      </c>
      <c r="B196" t="s">
        <v>1004</v>
      </c>
      <c r="C196" t="s">
        <v>1005</v>
      </c>
      <c r="D196" t="s">
        <v>137</v>
      </c>
      <c r="E196" t="s">
        <v>169</v>
      </c>
      <c r="F196" t="s">
        <v>170</v>
      </c>
      <c r="G196" t="s">
        <v>171</v>
      </c>
      <c r="H196" t="s">
        <v>538</v>
      </c>
      <c r="I196" t="s">
        <v>539</v>
      </c>
      <c r="J196" t="s">
        <v>1001</v>
      </c>
      <c r="K196" t="s">
        <v>129</v>
      </c>
      <c r="L196" t="s">
        <v>17</v>
      </c>
      <c r="M196">
        <v>7250</v>
      </c>
      <c r="N196" t="s">
        <v>142</v>
      </c>
      <c r="O196" t="s">
        <v>11</v>
      </c>
      <c r="P196" t="s">
        <v>172</v>
      </c>
      <c r="Q196" t="s">
        <v>3517</v>
      </c>
      <c r="R196" t="s">
        <v>3602</v>
      </c>
      <c r="S196" t="s">
        <v>3692</v>
      </c>
      <c r="T196">
        <v>2</v>
      </c>
      <c r="U196">
        <v>2</v>
      </c>
      <c r="V196">
        <v>1</v>
      </c>
      <c r="W196">
        <v>1</v>
      </c>
      <c r="X196">
        <v>0</v>
      </c>
      <c r="Y196" t="s">
        <v>173</v>
      </c>
      <c r="Z196" t="s">
        <v>1006</v>
      </c>
      <c r="AA196" t="s">
        <v>7</v>
      </c>
      <c r="AB196" t="s">
        <v>8</v>
      </c>
      <c r="AC196" s="3">
        <f>T196*'Settings &amp; Rates'!$B$5+U196*'Settings &amp; Rates'!$B$6+V196*'Settings &amp; Rates'!$B$7+W196*'Settings &amp; Rates'!$B$8+X196*'Settings &amp; Rates'!$B$9</f>
        <v>55</v>
      </c>
      <c r="AD196" s="3">
        <f>SUMIF('Attempt Log'!$B$2:$B$101,A196,'Attempt Log'!$K$2:$K$101)</f>
        <v>0</v>
      </c>
      <c r="AE196" s="3">
        <f t="shared" si="3"/>
        <v>-55</v>
      </c>
      <c r="AF196">
        <f>COUNTIF('Attempt Log'!$B$2:$B$101,A196)</f>
        <v>0</v>
      </c>
      <c r="AG196">
        <f>IFERROR(SUMIFS('Attempt Log'!$U$2:$U$101,'Attempt Log'!$B$2:$B$101,A196,'Attempt Log'!$N$2:$N$101,"Yes")/COUNTIFS('Attempt Log'!$B$2:$B$101,A196,'Attempt Log'!$N$2:$N$101,"Yes"),0)</f>
        <v>0</v>
      </c>
    </row>
    <row r="197" spans="1:33">
      <c r="A197" t="s">
        <v>1007</v>
      </c>
      <c r="B197" t="s">
        <v>1008</v>
      </c>
      <c r="C197" t="s">
        <v>1009</v>
      </c>
      <c r="D197" t="s">
        <v>137</v>
      </c>
      <c r="E197" t="s">
        <v>169</v>
      </c>
      <c r="F197" t="s">
        <v>170</v>
      </c>
      <c r="G197" t="s">
        <v>343</v>
      </c>
      <c r="H197" t="s">
        <v>538</v>
      </c>
      <c r="I197" t="s">
        <v>539</v>
      </c>
      <c r="J197" t="s">
        <v>1001</v>
      </c>
      <c r="K197" t="s">
        <v>129</v>
      </c>
      <c r="L197" t="s">
        <v>17</v>
      </c>
      <c r="M197">
        <v>7250</v>
      </c>
      <c r="N197" t="s">
        <v>142</v>
      </c>
      <c r="O197" t="s">
        <v>11</v>
      </c>
      <c r="P197" t="s">
        <v>344</v>
      </c>
      <c r="Q197" t="s">
        <v>3522</v>
      </c>
      <c r="R197" t="s">
        <v>3607</v>
      </c>
      <c r="S197" t="s">
        <v>3697</v>
      </c>
      <c r="T197">
        <v>2</v>
      </c>
      <c r="U197">
        <v>2</v>
      </c>
      <c r="V197">
        <v>1</v>
      </c>
      <c r="W197">
        <v>1</v>
      </c>
      <c r="X197">
        <v>0</v>
      </c>
      <c r="Y197" t="s">
        <v>173</v>
      </c>
      <c r="Z197" t="s">
        <v>1010</v>
      </c>
      <c r="AA197" t="s">
        <v>7</v>
      </c>
      <c r="AB197" t="s">
        <v>8</v>
      </c>
      <c r="AC197" s="3">
        <f>T197*'Settings &amp; Rates'!$B$5+U197*'Settings &amp; Rates'!$B$6+V197*'Settings &amp; Rates'!$B$7+W197*'Settings &amp; Rates'!$B$8+X197*'Settings &amp; Rates'!$B$9</f>
        <v>55</v>
      </c>
      <c r="AD197" s="3">
        <f>SUMIF('Attempt Log'!$B$2:$B$101,A197,'Attempt Log'!$K$2:$K$101)</f>
        <v>0</v>
      </c>
      <c r="AE197" s="3">
        <f t="shared" si="3"/>
        <v>-55</v>
      </c>
      <c r="AF197">
        <f>COUNTIF('Attempt Log'!$B$2:$B$101,A197)</f>
        <v>0</v>
      </c>
      <c r="AG197">
        <f>IFERROR(SUMIFS('Attempt Log'!$U$2:$U$101,'Attempt Log'!$B$2:$B$101,A197,'Attempt Log'!$N$2:$N$101,"Yes")/COUNTIFS('Attempt Log'!$B$2:$B$101,A197,'Attempt Log'!$N$2:$N$101,"Yes"),0)</f>
        <v>0</v>
      </c>
    </row>
    <row r="198" spans="1:33">
      <c r="A198" t="s">
        <v>1011</v>
      </c>
      <c r="B198" t="s">
        <v>1012</v>
      </c>
      <c r="C198" t="s">
        <v>1013</v>
      </c>
      <c r="D198" t="s">
        <v>137</v>
      </c>
      <c r="E198" t="s">
        <v>169</v>
      </c>
      <c r="F198" t="s">
        <v>170</v>
      </c>
      <c r="G198" t="s">
        <v>349</v>
      </c>
      <c r="H198" t="s">
        <v>538</v>
      </c>
      <c r="I198" t="s">
        <v>539</v>
      </c>
      <c r="J198" t="s">
        <v>1001</v>
      </c>
      <c r="K198" t="s">
        <v>129</v>
      </c>
      <c r="L198" t="s">
        <v>17</v>
      </c>
      <c r="M198">
        <v>7250</v>
      </c>
      <c r="N198" t="s">
        <v>142</v>
      </c>
      <c r="O198" t="s">
        <v>11</v>
      </c>
      <c r="P198" t="s">
        <v>350</v>
      </c>
      <c r="Q198" t="s">
        <v>3527</v>
      </c>
      <c r="R198" t="s">
        <v>3612</v>
      </c>
      <c r="S198" t="s">
        <v>3702</v>
      </c>
      <c r="T198">
        <v>2</v>
      </c>
      <c r="U198">
        <v>2</v>
      </c>
      <c r="V198">
        <v>1</v>
      </c>
      <c r="W198">
        <v>1</v>
      </c>
      <c r="X198">
        <v>0</v>
      </c>
      <c r="Y198" t="s">
        <v>173</v>
      </c>
      <c r="Z198" t="s">
        <v>1014</v>
      </c>
      <c r="AA198" t="s">
        <v>7</v>
      </c>
      <c r="AB198" t="s">
        <v>8</v>
      </c>
      <c r="AC198" s="3">
        <f>T198*'Settings &amp; Rates'!$B$5+U198*'Settings &amp; Rates'!$B$6+V198*'Settings &amp; Rates'!$B$7+W198*'Settings &amp; Rates'!$B$8+X198*'Settings &amp; Rates'!$B$9</f>
        <v>55</v>
      </c>
      <c r="AD198" s="3">
        <f>SUMIF('Attempt Log'!$B$2:$B$101,A198,'Attempt Log'!$K$2:$K$101)</f>
        <v>0</v>
      </c>
      <c r="AE198" s="3">
        <f t="shared" si="3"/>
        <v>-55</v>
      </c>
      <c r="AF198">
        <f>COUNTIF('Attempt Log'!$B$2:$B$101,A198)</f>
        <v>0</v>
      </c>
      <c r="AG198">
        <f>IFERROR(SUMIFS('Attempt Log'!$U$2:$U$101,'Attempt Log'!$B$2:$B$101,A198,'Attempt Log'!$N$2:$N$101,"Yes")/COUNTIFS('Attempt Log'!$B$2:$B$101,A198,'Attempt Log'!$N$2:$N$101,"Yes"),0)</f>
        <v>0</v>
      </c>
    </row>
    <row r="199" spans="1:33">
      <c r="A199" t="s">
        <v>1015</v>
      </c>
      <c r="B199" t="s">
        <v>1016</v>
      </c>
      <c r="C199" t="s">
        <v>1017</v>
      </c>
      <c r="D199" t="s">
        <v>137</v>
      </c>
      <c r="E199" t="s">
        <v>169</v>
      </c>
      <c r="F199" t="s">
        <v>170</v>
      </c>
      <c r="G199" t="s">
        <v>355</v>
      </c>
      <c r="H199" t="s">
        <v>538</v>
      </c>
      <c r="I199" t="s">
        <v>539</v>
      </c>
      <c r="J199" t="s">
        <v>1001</v>
      </c>
      <c r="K199" t="s">
        <v>129</v>
      </c>
      <c r="L199" t="s">
        <v>17</v>
      </c>
      <c r="M199">
        <v>7250</v>
      </c>
      <c r="N199" t="s">
        <v>142</v>
      </c>
      <c r="O199" t="s">
        <v>11</v>
      </c>
      <c r="P199" t="s">
        <v>356</v>
      </c>
      <c r="Q199" t="s">
        <v>3532</v>
      </c>
      <c r="R199" t="s">
        <v>3617</v>
      </c>
      <c r="S199" t="s">
        <v>3707</v>
      </c>
      <c r="T199">
        <v>2</v>
      </c>
      <c r="U199">
        <v>2</v>
      </c>
      <c r="V199">
        <v>1</v>
      </c>
      <c r="W199">
        <v>1</v>
      </c>
      <c r="X199">
        <v>0</v>
      </c>
      <c r="Y199" t="s">
        <v>173</v>
      </c>
      <c r="Z199" t="s">
        <v>1018</v>
      </c>
      <c r="AA199" t="s">
        <v>7</v>
      </c>
      <c r="AB199" t="s">
        <v>8</v>
      </c>
      <c r="AC199" s="3">
        <f>T199*'Settings &amp; Rates'!$B$5+U199*'Settings &amp; Rates'!$B$6+V199*'Settings &amp; Rates'!$B$7+W199*'Settings &amp; Rates'!$B$8+X199*'Settings &amp; Rates'!$B$9</f>
        <v>55</v>
      </c>
      <c r="AD199" s="3">
        <f>SUMIF('Attempt Log'!$B$2:$B$101,A199,'Attempt Log'!$K$2:$K$101)</f>
        <v>0</v>
      </c>
      <c r="AE199" s="3">
        <f t="shared" si="3"/>
        <v>-55</v>
      </c>
      <c r="AF199">
        <f>COUNTIF('Attempt Log'!$B$2:$B$101,A199)</f>
        <v>0</v>
      </c>
      <c r="AG199">
        <f>IFERROR(SUMIFS('Attempt Log'!$U$2:$U$101,'Attempt Log'!$B$2:$B$101,A199,'Attempt Log'!$N$2:$N$101,"Yes")/COUNTIFS('Attempt Log'!$B$2:$B$101,A199,'Attempt Log'!$N$2:$N$101,"Yes"),0)</f>
        <v>0</v>
      </c>
    </row>
    <row r="200" spans="1:33">
      <c r="A200" t="s">
        <v>1019</v>
      </c>
      <c r="B200" t="s">
        <v>1020</v>
      </c>
      <c r="C200" t="s">
        <v>1021</v>
      </c>
      <c r="D200" t="s">
        <v>137</v>
      </c>
      <c r="E200" t="s">
        <v>169</v>
      </c>
      <c r="F200" t="s">
        <v>170</v>
      </c>
      <c r="G200" t="s">
        <v>336</v>
      </c>
      <c r="H200" t="s">
        <v>538</v>
      </c>
      <c r="I200" t="s">
        <v>539</v>
      </c>
      <c r="J200" t="s">
        <v>1022</v>
      </c>
      <c r="K200" t="s">
        <v>129</v>
      </c>
      <c r="L200" t="s">
        <v>17</v>
      </c>
      <c r="M200">
        <v>8250</v>
      </c>
      <c r="N200" t="s">
        <v>1023</v>
      </c>
      <c r="O200" t="s">
        <v>11</v>
      </c>
      <c r="P200" t="s">
        <v>338</v>
      </c>
      <c r="Q200" t="s">
        <v>3513</v>
      </c>
      <c r="R200" t="s">
        <v>3598</v>
      </c>
      <c r="S200" t="s">
        <v>3688</v>
      </c>
      <c r="T200">
        <v>2</v>
      </c>
      <c r="U200">
        <v>2</v>
      </c>
      <c r="V200">
        <v>1</v>
      </c>
      <c r="W200">
        <v>1</v>
      </c>
      <c r="X200">
        <v>0</v>
      </c>
      <c r="Y200" t="s">
        <v>173</v>
      </c>
      <c r="Z200" t="s">
        <v>1024</v>
      </c>
      <c r="AA200" t="s">
        <v>7</v>
      </c>
      <c r="AB200" t="s">
        <v>8</v>
      </c>
      <c r="AC200" s="3">
        <f>T200*'Settings &amp; Rates'!$B$5+U200*'Settings &amp; Rates'!$B$6+V200*'Settings &amp; Rates'!$B$7+W200*'Settings &amp; Rates'!$B$8+X200*'Settings &amp; Rates'!$B$9</f>
        <v>55</v>
      </c>
      <c r="AD200" s="3">
        <f>SUMIF('Attempt Log'!$B$2:$B$101,A200,'Attempt Log'!$K$2:$K$101)</f>
        <v>0</v>
      </c>
      <c r="AE200" s="3">
        <f t="shared" si="3"/>
        <v>-55</v>
      </c>
      <c r="AF200">
        <f>COUNTIF('Attempt Log'!$B$2:$B$101,A200)</f>
        <v>0</v>
      </c>
      <c r="AG200">
        <f>IFERROR(SUMIFS('Attempt Log'!$U$2:$U$101,'Attempt Log'!$B$2:$B$101,A200,'Attempt Log'!$N$2:$N$101,"Yes")/COUNTIFS('Attempt Log'!$B$2:$B$101,A200,'Attempt Log'!$N$2:$N$101,"Yes"),0)</f>
        <v>0</v>
      </c>
    </row>
    <row r="201" spans="1:33">
      <c r="A201" t="s">
        <v>1025</v>
      </c>
      <c r="B201" t="s">
        <v>1026</v>
      </c>
      <c r="C201" t="s">
        <v>1027</v>
      </c>
      <c r="D201" t="s">
        <v>137</v>
      </c>
      <c r="E201" t="s">
        <v>169</v>
      </c>
      <c r="F201" t="s">
        <v>170</v>
      </c>
      <c r="G201" t="s">
        <v>171</v>
      </c>
      <c r="H201" t="s">
        <v>538</v>
      </c>
      <c r="I201" t="s">
        <v>539</v>
      </c>
      <c r="J201" t="s">
        <v>1022</v>
      </c>
      <c r="K201" t="s">
        <v>129</v>
      </c>
      <c r="L201" t="s">
        <v>17</v>
      </c>
      <c r="M201">
        <v>8250</v>
      </c>
      <c r="N201" t="s">
        <v>1023</v>
      </c>
      <c r="O201" t="s">
        <v>11</v>
      </c>
      <c r="P201" t="s">
        <v>172</v>
      </c>
      <c r="Q201" t="s">
        <v>3518</v>
      </c>
      <c r="R201" t="s">
        <v>3603</v>
      </c>
      <c r="S201" t="s">
        <v>3693</v>
      </c>
      <c r="T201">
        <v>2</v>
      </c>
      <c r="U201">
        <v>2</v>
      </c>
      <c r="V201">
        <v>1</v>
      </c>
      <c r="W201">
        <v>1</v>
      </c>
      <c r="X201">
        <v>0</v>
      </c>
      <c r="Y201" t="s">
        <v>173</v>
      </c>
      <c r="Z201" t="s">
        <v>1028</v>
      </c>
      <c r="AA201" t="s">
        <v>7</v>
      </c>
      <c r="AB201" t="s">
        <v>8</v>
      </c>
      <c r="AC201" s="3">
        <f>T201*'Settings &amp; Rates'!$B$5+U201*'Settings &amp; Rates'!$B$6+V201*'Settings &amp; Rates'!$B$7+W201*'Settings &amp; Rates'!$B$8+X201*'Settings &amp; Rates'!$B$9</f>
        <v>55</v>
      </c>
      <c r="AD201" s="3">
        <f>SUMIF('Attempt Log'!$B$2:$B$101,A201,'Attempt Log'!$K$2:$K$101)</f>
        <v>0</v>
      </c>
      <c r="AE201" s="3">
        <f t="shared" si="3"/>
        <v>-55</v>
      </c>
      <c r="AF201">
        <f>COUNTIF('Attempt Log'!$B$2:$B$101,A201)</f>
        <v>0</v>
      </c>
      <c r="AG201">
        <f>IFERROR(SUMIFS('Attempt Log'!$U$2:$U$101,'Attempt Log'!$B$2:$B$101,A201,'Attempt Log'!$N$2:$N$101,"Yes")/COUNTIFS('Attempt Log'!$B$2:$B$101,A201,'Attempt Log'!$N$2:$N$101,"Yes"),0)</f>
        <v>0</v>
      </c>
    </row>
    <row r="202" spans="1:33">
      <c r="A202" t="s">
        <v>1029</v>
      </c>
      <c r="B202" t="s">
        <v>1030</v>
      </c>
      <c r="C202" t="s">
        <v>1031</v>
      </c>
      <c r="D202" t="s">
        <v>137</v>
      </c>
      <c r="E202" t="s">
        <v>169</v>
      </c>
      <c r="F202" t="s">
        <v>170</v>
      </c>
      <c r="G202" t="s">
        <v>343</v>
      </c>
      <c r="H202" t="s">
        <v>538</v>
      </c>
      <c r="I202" t="s">
        <v>539</v>
      </c>
      <c r="J202" t="s">
        <v>1022</v>
      </c>
      <c r="K202" t="s">
        <v>129</v>
      </c>
      <c r="L202" t="s">
        <v>17</v>
      </c>
      <c r="M202">
        <v>8250</v>
      </c>
      <c r="N202" t="s">
        <v>1023</v>
      </c>
      <c r="O202" t="s">
        <v>11</v>
      </c>
      <c r="P202" t="s">
        <v>344</v>
      </c>
      <c r="Q202" t="s">
        <v>3523</v>
      </c>
      <c r="R202" t="s">
        <v>3608</v>
      </c>
      <c r="S202" t="s">
        <v>3698</v>
      </c>
      <c r="T202">
        <v>2</v>
      </c>
      <c r="U202">
        <v>2</v>
      </c>
      <c r="V202">
        <v>1</v>
      </c>
      <c r="W202">
        <v>1</v>
      </c>
      <c r="X202">
        <v>0</v>
      </c>
      <c r="Y202" t="s">
        <v>173</v>
      </c>
      <c r="Z202" t="s">
        <v>1032</v>
      </c>
      <c r="AA202" t="s">
        <v>7</v>
      </c>
      <c r="AB202" t="s">
        <v>8</v>
      </c>
      <c r="AC202" s="3">
        <f>T202*'Settings &amp; Rates'!$B$5+U202*'Settings &amp; Rates'!$B$6+V202*'Settings &amp; Rates'!$B$7+W202*'Settings &amp; Rates'!$B$8+X202*'Settings &amp; Rates'!$B$9</f>
        <v>55</v>
      </c>
      <c r="AD202" s="3">
        <f>SUMIF('Attempt Log'!$B$2:$B$101,A202,'Attempt Log'!$K$2:$K$101)</f>
        <v>0</v>
      </c>
      <c r="AE202" s="3">
        <f t="shared" si="3"/>
        <v>-55</v>
      </c>
      <c r="AF202">
        <f>COUNTIF('Attempt Log'!$B$2:$B$101,A202)</f>
        <v>0</v>
      </c>
      <c r="AG202">
        <f>IFERROR(SUMIFS('Attempt Log'!$U$2:$U$101,'Attempt Log'!$B$2:$B$101,A202,'Attempt Log'!$N$2:$N$101,"Yes")/COUNTIFS('Attempt Log'!$B$2:$B$101,A202,'Attempt Log'!$N$2:$N$101,"Yes"),0)</f>
        <v>0</v>
      </c>
    </row>
    <row r="203" spans="1:33">
      <c r="A203" t="s">
        <v>1033</v>
      </c>
      <c r="B203" t="s">
        <v>1034</v>
      </c>
      <c r="C203" t="s">
        <v>1035</v>
      </c>
      <c r="D203" t="s">
        <v>137</v>
      </c>
      <c r="E203" t="s">
        <v>169</v>
      </c>
      <c r="F203" t="s">
        <v>170</v>
      </c>
      <c r="G203" t="s">
        <v>349</v>
      </c>
      <c r="H203" t="s">
        <v>538</v>
      </c>
      <c r="I203" t="s">
        <v>539</v>
      </c>
      <c r="J203" t="s">
        <v>1022</v>
      </c>
      <c r="K203" t="s">
        <v>129</v>
      </c>
      <c r="L203" t="s">
        <v>17</v>
      </c>
      <c r="M203">
        <v>8250</v>
      </c>
      <c r="N203" t="s">
        <v>1023</v>
      </c>
      <c r="O203" t="s">
        <v>11</v>
      </c>
      <c r="P203" t="s">
        <v>350</v>
      </c>
      <c r="Q203" t="s">
        <v>3528</v>
      </c>
      <c r="R203" t="s">
        <v>3613</v>
      </c>
      <c r="S203" t="s">
        <v>3703</v>
      </c>
      <c r="T203">
        <v>2</v>
      </c>
      <c r="U203">
        <v>2</v>
      </c>
      <c r="V203">
        <v>1</v>
      </c>
      <c r="W203">
        <v>1</v>
      </c>
      <c r="X203">
        <v>0</v>
      </c>
      <c r="Y203" t="s">
        <v>173</v>
      </c>
      <c r="Z203" t="s">
        <v>1036</v>
      </c>
      <c r="AA203" t="s">
        <v>7</v>
      </c>
      <c r="AB203" t="s">
        <v>8</v>
      </c>
      <c r="AC203" s="3">
        <f>T203*'Settings &amp; Rates'!$B$5+U203*'Settings &amp; Rates'!$B$6+V203*'Settings &amp; Rates'!$B$7+W203*'Settings &amp; Rates'!$B$8+X203*'Settings &amp; Rates'!$B$9</f>
        <v>55</v>
      </c>
      <c r="AD203" s="3">
        <f>SUMIF('Attempt Log'!$B$2:$B$101,A203,'Attempt Log'!$K$2:$K$101)</f>
        <v>0</v>
      </c>
      <c r="AE203" s="3">
        <f t="shared" si="3"/>
        <v>-55</v>
      </c>
      <c r="AF203">
        <f>COUNTIF('Attempt Log'!$B$2:$B$101,A203)</f>
        <v>0</v>
      </c>
      <c r="AG203">
        <f>IFERROR(SUMIFS('Attempt Log'!$U$2:$U$101,'Attempt Log'!$B$2:$B$101,A203,'Attempt Log'!$N$2:$N$101,"Yes")/COUNTIFS('Attempt Log'!$B$2:$B$101,A203,'Attempt Log'!$N$2:$N$101,"Yes"),0)</f>
        <v>0</v>
      </c>
    </row>
    <row r="204" spans="1:33">
      <c r="A204" t="s">
        <v>1037</v>
      </c>
      <c r="B204" t="s">
        <v>1038</v>
      </c>
      <c r="C204" t="s">
        <v>1039</v>
      </c>
      <c r="D204" t="s">
        <v>137</v>
      </c>
      <c r="E204" t="s">
        <v>169</v>
      </c>
      <c r="F204" t="s">
        <v>170</v>
      </c>
      <c r="G204" t="s">
        <v>355</v>
      </c>
      <c r="H204" t="s">
        <v>538</v>
      </c>
      <c r="I204" t="s">
        <v>539</v>
      </c>
      <c r="J204" t="s">
        <v>1022</v>
      </c>
      <c r="K204" t="s">
        <v>129</v>
      </c>
      <c r="L204" t="s">
        <v>17</v>
      </c>
      <c r="M204">
        <v>8250</v>
      </c>
      <c r="N204" t="s">
        <v>1023</v>
      </c>
      <c r="O204" t="s">
        <v>11</v>
      </c>
      <c r="P204" t="s">
        <v>356</v>
      </c>
      <c r="Q204" t="s">
        <v>3533</v>
      </c>
      <c r="R204" t="s">
        <v>3618</v>
      </c>
      <c r="S204" t="s">
        <v>3708</v>
      </c>
      <c r="T204">
        <v>2</v>
      </c>
      <c r="U204">
        <v>2</v>
      </c>
      <c r="V204">
        <v>1</v>
      </c>
      <c r="W204">
        <v>1</v>
      </c>
      <c r="X204">
        <v>0</v>
      </c>
      <c r="Y204" t="s">
        <v>173</v>
      </c>
      <c r="Z204" t="s">
        <v>1040</v>
      </c>
      <c r="AA204" t="s">
        <v>7</v>
      </c>
      <c r="AB204" t="s">
        <v>8</v>
      </c>
      <c r="AC204" s="3">
        <f>T204*'Settings &amp; Rates'!$B$5+U204*'Settings &amp; Rates'!$B$6+V204*'Settings &amp; Rates'!$B$7+W204*'Settings &amp; Rates'!$B$8+X204*'Settings &amp; Rates'!$B$9</f>
        <v>55</v>
      </c>
      <c r="AD204" s="3">
        <f>SUMIF('Attempt Log'!$B$2:$B$101,A204,'Attempt Log'!$K$2:$K$101)</f>
        <v>0</v>
      </c>
      <c r="AE204" s="3">
        <f t="shared" si="3"/>
        <v>-55</v>
      </c>
      <c r="AF204">
        <f>COUNTIF('Attempt Log'!$B$2:$B$101,A204)</f>
        <v>0</v>
      </c>
      <c r="AG204">
        <f>IFERROR(SUMIFS('Attempt Log'!$U$2:$U$101,'Attempt Log'!$B$2:$B$101,A204,'Attempt Log'!$N$2:$N$101,"Yes")/COUNTIFS('Attempt Log'!$B$2:$B$101,A204,'Attempt Log'!$N$2:$N$101,"Yes"),0)</f>
        <v>0</v>
      </c>
    </row>
    <row r="205" spans="1:33">
      <c r="A205" t="s">
        <v>1041</v>
      </c>
      <c r="B205" t="s">
        <v>1042</v>
      </c>
      <c r="C205" t="s">
        <v>1043</v>
      </c>
      <c r="D205" t="s">
        <v>137</v>
      </c>
      <c r="E205" t="s">
        <v>169</v>
      </c>
      <c r="F205" t="s">
        <v>170</v>
      </c>
      <c r="G205" t="s">
        <v>336</v>
      </c>
      <c r="H205" t="s">
        <v>832</v>
      </c>
      <c r="I205" t="s">
        <v>833</v>
      </c>
      <c r="J205" t="s">
        <v>1044</v>
      </c>
      <c r="K205" t="s">
        <v>129</v>
      </c>
      <c r="L205" t="s">
        <v>17</v>
      </c>
      <c r="M205">
        <v>9250</v>
      </c>
      <c r="N205" t="s">
        <v>1023</v>
      </c>
      <c r="O205" t="s">
        <v>11</v>
      </c>
      <c r="P205" t="s">
        <v>338</v>
      </c>
      <c r="Q205" t="s">
        <v>3514</v>
      </c>
      <c r="R205" t="s">
        <v>3599</v>
      </c>
      <c r="S205" t="s">
        <v>3689</v>
      </c>
      <c r="T205">
        <v>2</v>
      </c>
      <c r="U205">
        <v>3</v>
      </c>
      <c r="V205">
        <v>1</v>
      </c>
      <c r="W205">
        <v>1</v>
      </c>
      <c r="X205">
        <v>0</v>
      </c>
      <c r="Y205" t="s">
        <v>173</v>
      </c>
      <c r="Z205" t="s">
        <v>1045</v>
      </c>
      <c r="AA205" t="s">
        <v>7</v>
      </c>
      <c r="AB205" t="s">
        <v>8</v>
      </c>
      <c r="AC205" s="3">
        <f>T205*'Settings &amp; Rates'!$B$5+U205*'Settings &amp; Rates'!$B$6+V205*'Settings &amp; Rates'!$B$7+W205*'Settings &amp; Rates'!$B$8+X205*'Settings &amp; Rates'!$B$9</f>
        <v>75</v>
      </c>
      <c r="AD205" s="3">
        <f>SUMIF('Attempt Log'!$B$2:$B$101,A205,'Attempt Log'!$K$2:$K$101)</f>
        <v>0</v>
      </c>
      <c r="AE205" s="3">
        <f t="shared" si="3"/>
        <v>-75</v>
      </c>
      <c r="AF205">
        <f>COUNTIF('Attempt Log'!$B$2:$B$101,A205)</f>
        <v>0</v>
      </c>
      <c r="AG205">
        <f>IFERROR(SUMIFS('Attempt Log'!$U$2:$U$101,'Attempt Log'!$B$2:$B$101,A205,'Attempt Log'!$N$2:$N$101,"Yes")/COUNTIFS('Attempt Log'!$B$2:$B$101,A205,'Attempt Log'!$N$2:$N$101,"Yes"),0)</f>
        <v>0</v>
      </c>
    </row>
    <row r="206" spans="1:33">
      <c r="A206" t="s">
        <v>1046</v>
      </c>
      <c r="B206" t="s">
        <v>1047</v>
      </c>
      <c r="C206" t="s">
        <v>1048</v>
      </c>
      <c r="D206" t="s">
        <v>137</v>
      </c>
      <c r="E206" t="s">
        <v>169</v>
      </c>
      <c r="F206" t="s">
        <v>170</v>
      </c>
      <c r="G206" t="s">
        <v>171</v>
      </c>
      <c r="H206" t="s">
        <v>832</v>
      </c>
      <c r="I206" t="s">
        <v>833</v>
      </c>
      <c r="J206" t="s">
        <v>1044</v>
      </c>
      <c r="K206" t="s">
        <v>129</v>
      </c>
      <c r="L206" t="s">
        <v>17</v>
      </c>
      <c r="M206">
        <v>9250</v>
      </c>
      <c r="N206" t="s">
        <v>1023</v>
      </c>
      <c r="O206" t="s">
        <v>11</v>
      </c>
      <c r="P206" t="s">
        <v>172</v>
      </c>
      <c r="Q206" t="s">
        <v>3519</v>
      </c>
      <c r="R206" t="s">
        <v>3604</v>
      </c>
      <c r="S206" t="s">
        <v>3694</v>
      </c>
      <c r="T206">
        <v>2</v>
      </c>
      <c r="U206">
        <v>3</v>
      </c>
      <c r="V206">
        <v>1</v>
      </c>
      <c r="W206">
        <v>1</v>
      </c>
      <c r="X206">
        <v>0</v>
      </c>
      <c r="Y206" t="s">
        <v>173</v>
      </c>
      <c r="Z206" t="s">
        <v>1049</v>
      </c>
      <c r="AA206" t="s">
        <v>7</v>
      </c>
      <c r="AB206" t="s">
        <v>8</v>
      </c>
      <c r="AC206" s="3">
        <f>T206*'Settings &amp; Rates'!$B$5+U206*'Settings &amp; Rates'!$B$6+V206*'Settings &amp; Rates'!$B$7+W206*'Settings &amp; Rates'!$B$8+X206*'Settings &amp; Rates'!$B$9</f>
        <v>75</v>
      </c>
      <c r="AD206" s="3">
        <f>SUMIF('Attempt Log'!$B$2:$B$101,A206,'Attempt Log'!$K$2:$K$101)</f>
        <v>0</v>
      </c>
      <c r="AE206" s="3">
        <f t="shared" si="3"/>
        <v>-75</v>
      </c>
      <c r="AF206">
        <f>COUNTIF('Attempt Log'!$B$2:$B$101,A206)</f>
        <v>0</v>
      </c>
      <c r="AG206">
        <f>IFERROR(SUMIFS('Attempt Log'!$U$2:$U$101,'Attempt Log'!$B$2:$B$101,A206,'Attempt Log'!$N$2:$N$101,"Yes")/COUNTIFS('Attempt Log'!$B$2:$B$101,A206,'Attempt Log'!$N$2:$N$101,"Yes"),0)</f>
        <v>0</v>
      </c>
    </row>
    <row r="207" spans="1:33">
      <c r="A207" t="s">
        <v>1050</v>
      </c>
      <c r="B207" t="s">
        <v>1051</v>
      </c>
      <c r="C207" t="s">
        <v>1052</v>
      </c>
      <c r="D207" t="s">
        <v>137</v>
      </c>
      <c r="E207" t="s">
        <v>169</v>
      </c>
      <c r="F207" t="s">
        <v>170</v>
      </c>
      <c r="G207" t="s">
        <v>343</v>
      </c>
      <c r="H207" t="s">
        <v>832</v>
      </c>
      <c r="I207" t="s">
        <v>833</v>
      </c>
      <c r="J207" t="s">
        <v>1044</v>
      </c>
      <c r="K207" t="s">
        <v>129</v>
      </c>
      <c r="L207" t="s">
        <v>17</v>
      </c>
      <c r="M207">
        <v>9250</v>
      </c>
      <c r="N207" t="s">
        <v>1023</v>
      </c>
      <c r="O207" t="s">
        <v>11</v>
      </c>
      <c r="P207" t="s">
        <v>344</v>
      </c>
      <c r="Q207" t="s">
        <v>3524</v>
      </c>
      <c r="R207" t="s">
        <v>3609</v>
      </c>
      <c r="S207" t="s">
        <v>3699</v>
      </c>
      <c r="T207">
        <v>2</v>
      </c>
      <c r="U207">
        <v>3</v>
      </c>
      <c r="V207">
        <v>1</v>
      </c>
      <c r="W207">
        <v>1</v>
      </c>
      <c r="X207">
        <v>0</v>
      </c>
      <c r="Y207" t="s">
        <v>173</v>
      </c>
      <c r="Z207" t="s">
        <v>1053</v>
      </c>
      <c r="AA207" t="s">
        <v>7</v>
      </c>
      <c r="AB207" t="s">
        <v>8</v>
      </c>
      <c r="AC207" s="3">
        <f>T207*'Settings &amp; Rates'!$B$5+U207*'Settings &amp; Rates'!$B$6+V207*'Settings &amp; Rates'!$B$7+W207*'Settings &amp; Rates'!$B$8+X207*'Settings &amp; Rates'!$B$9</f>
        <v>75</v>
      </c>
      <c r="AD207" s="3">
        <f>SUMIF('Attempt Log'!$B$2:$B$101,A207,'Attempt Log'!$K$2:$K$101)</f>
        <v>0</v>
      </c>
      <c r="AE207" s="3">
        <f t="shared" si="3"/>
        <v>-75</v>
      </c>
      <c r="AF207">
        <f>COUNTIF('Attempt Log'!$B$2:$B$101,A207)</f>
        <v>0</v>
      </c>
      <c r="AG207">
        <f>IFERROR(SUMIFS('Attempt Log'!$U$2:$U$101,'Attempt Log'!$B$2:$B$101,A207,'Attempt Log'!$N$2:$N$101,"Yes")/COUNTIFS('Attempt Log'!$B$2:$B$101,A207,'Attempt Log'!$N$2:$N$101,"Yes"),0)</f>
        <v>0</v>
      </c>
    </row>
    <row r="208" spans="1:33">
      <c r="A208" t="s">
        <v>1054</v>
      </c>
      <c r="B208" t="s">
        <v>1055</v>
      </c>
      <c r="C208" t="s">
        <v>1056</v>
      </c>
      <c r="D208" t="s">
        <v>137</v>
      </c>
      <c r="E208" t="s">
        <v>169</v>
      </c>
      <c r="F208" t="s">
        <v>170</v>
      </c>
      <c r="G208" t="s">
        <v>349</v>
      </c>
      <c r="H208" t="s">
        <v>832</v>
      </c>
      <c r="I208" t="s">
        <v>833</v>
      </c>
      <c r="J208" t="s">
        <v>1044</v>
      </c>
      <c r="K208" t="s">
        <v>129</v>
      </c>
      <c r="L208" t="s">
        <v>17</v>
      </c>
      <c r="M208">
        <v>9250</v>
      </c>
      <c r="N208" t="s">
        <v>1023</v>
      </c>
      <c r="O208" t="s">
        <v>11</v>
      </c>
      <c r="P208" t="s">
        <v>350</v>
      </c>
      <c r="Q208" t="s">
        <v>3529</v>
      </c>
      <c r="R208" t="s">
        <v>3614</v>
      </c>
      <c r="S208" t="s">
        <v>3704</v>
      </c>
      <c r="T208">
        <v>2</v>
      </c>
      <c r="U208">
        <v>3</v>
      </c>
      <c r="V208">
        <v>1</v>
      </c>
      <c r="W208">
        <v>1</v>
      </c>
      <c r="X208">
        <v>0</v>
      </c>
      <c r="Y208" t="s">
        <v>173</v>
      </c>
      <c r="Z208" t="s">
        <v>1057</v>
      </c>
      <c r="AA208" t="s">
        <v>7</v>
      </c>
      <c r="AB208" t="s">
        <v>8</v>
      </c>
      <c r="AC208" s="3">
        <f>T208*'Settings &amp; Rates'!$B$5+U208*'Settings &amp; Rates'!$B$6+V208*'Settings &amp; Rates'!$B$7+W208*'Settings &amp; Rates'!$B$8+X208*'Settings &amp; Rates'!$B$9</f>
        <v>75</v>
      </c>
      <c r="AD208" s="3">
        <f>SUMIF('Attempt Log'!$B$2:$B$101,A208,'Attempt Log'!$K$2:$K$101)</f>
        <v>0</v>
      </c>
      <c r="AE208" s="3">
        <f t="shared" si="3"/>
        <v>-75</v>
      </c>
      <c r="AF208">
        <f>COUNTIF('Attempt Log'!$B$2:$B$101,A208)</f>
        <v>0</v>
      </c>
      <c r="AG208">
        <f>IFERROR(SUMIFS('Attempt Log'!$U$2:$U$101,'Attempt Log'!$B$2:$B$101,A208,'Attempt Log'!$N$2:$N$101,"Yes")/COUNTIFS('Attempt Log'!$B$2:$B$101,A208,'Attempt Log'!$N$2:$N$101,"Yes"),0)</f>
        <v>0</v>
      </c>
    </row>
    <row r="209" spans="1:33">
      <c r="A209" t="s">
        <v>1058</v>
      </c>
      <c r="B209" t="s">
        <v>1059</v>
      </c>
      <c r="C209" t="s">
        <v>1060</v>
      </c>
      <c r="D209" t="s">
        <v>137</v>
      </c>
      <c r="E209" t="s">
        <v>169</v>
      </c>
      <c r="F209" t="s">
        <v>170</v>
      </c>
      <c r="G209" t="s">
        <v>355</v>
      </c>
      <c r="H209" t="s">
        <v>832</v>
      </c>
      <c r="I209" t="s">
        <v>833</v>
      </c>
      <c r="J209" t="s">
        <v>1044</v>
      </c>
      <c r="K209" t="s">
        <v>129</v>
      </c>
      <c r="L209" t="s">
        <v>17</v>
      </c>
      <c r="M209">
        <v>9250</v>
      </c>
      <c r="N209" t="s">
        <v>1023</v>
      </c>
      <c r="O209" t="s">
        <v>11</v>
      </c>
      <c r="P209" t="s">
        <v>356</v>
      </c>
      <c r="Q209" t="s">
        <v>3534</v>
      </c>
      <c r="R209" t="s">
        <v>3619</v>
      </c>
      <c r="S209" t="s">
        <v>3709</v>
      </c>
      <c r="T209">
        <v>2</v>
      </c>
      <c r="U209">
        <v>3</v>
      </c>
      <c r="V209">
        <v>1</v>
      </c>
      <c r="W209">
        <v>1</v>
      </c>
      <c r="X209">
        <v>0</v>
      </c>
      <c r="Y209" t="s">
        <v>173</v>
      </c>
      <c r="Z209" t="s">
        <v>1061</v>
      </c>
      <c r="AA209" t="s">
        <v>7</v>
      </c>
      <c r="AB209" t="s">
        <v>8</v>
      </c>
      <c r="AC209" s="3">
        <f>T209*'Settings &amp; Rates'!$B$5+U209*'Settings &amp; Rates'!$B$6+V209*'Settings &amp; Rates'!$B$7+W209*'Settings &amp; Rates'!$B$8+X209*'Settings &amp; Rates'!$B$9</f>
        <v>75</v>
      </c>
      <c r="AD209" s="3">
        <f>SUMIF('Attempt Log'!$B$2:$B$101,A209,'Attempt Log'!$K$2:$K$101)</f>
        <v>0</v>
      </c>
      <c r="AE209" s="3">
        <f t="shared" si="3"/>
        <v>-75</v>
      </c>
      <c r="AF209">
        <f>COUNTIF('Attempt Log'!$B$2:$B$101,A209)</f>
        <v>0</v>
      </c>
      <c r="AG209">
        <f>IFERROR(SUMIFS('Attempt Log'!$U$2:$U$101,'Attempt Log'!$B$2:$B$101,A209,'Attempt Log'!$N$2:$N$101,"Yes")/COUNTIFS('Attempt Log'!$B$2:$B$101,A209,'Attempt Log'!$N$2:$N$101,"Yes"),0)</f>
        <v>0</v>
      </c>
    </row>
    <row r="210" spans="1:33">
      <c r="A210" t="s">
        <v>1062</v>
      </c>
      <c r="B210" t="s">
        <v>1063</v>
      </c>
      <c r="C210" t="s">
        <v>1064</v>
      </c>
      <c r="D210" t="s">
        <v>137</v>
      </c>
      <c r="E210" t="s">
        <v>138</v>
      </c>
      <c r="F210" t="s">
        <v>138</v>
      </c>
      <c r="G210" t="s">
        <v>1065</v>
      </c>
      <c r="H210" t="s">
        <v>126</v>
      </c>
      <c r="I210" t="s">
        <v>127</v>
      </c>
      <c r="J210" t="s">
        <v>1066</v>
      </c>
      <c r="K210" t="s">
        <v>129</v>
      </c>
      <c r="L210" t="s">
        <v>17</v>
      </c>
      <c r="M210">
        <v>4250</v>
      </c>
      <c r="N210" t="s">
        <v>142</v>
      </c>
      <c r="O210" t="s">
        <v>11</v>
      </c>
      <c r="P210" t="s">
        <v>143</v>
      </c>
      <c r="Q210" t="s">
        <v>3450</v>
      </c>
      <c r="R210" t="s">
        <v>3535</v>
      </c>
      <c r="S210" t="s">
        <v>3625</v>
      </c>
      <c r="T210">
        <v>2</v>
      </c>
      <c r="U210">
        <v>3</v>
      </c>
      <c r="V210">
        <v>1</v>
      </c>
      <c r="W210">
        <v>1</v>
      </c>
      <c r="X210">
        <v>0</v>
      </c>
      <c r="Y210" t="s">
        <v>144</v>
      </c>
      <c r="Z210" t="s">
        <v>145</v>
      </c>
      <c r="AA210" t="s">
        <v>7</v>
      </c>
      <c r="AB210" t="s">
        <v>8</v>
      </c>
      <c r="AC210" s="3">
        <f>T210*'Settings &amp; Rates'!$B$5+U210*'Settings &amp; Rates'!$B$6+V210*'Settings &amp; Rates'!$B$7+W210*'Settings &amp; Rates'!$B$8+X210*'Settings &amp; Rates'!$B$9</f>
        <v>75</v>
      </c>
      <c r="AD210" s="3">
        <f>SUMIF('Attempt Log'!$B$2:$B$101,A210,'Attempt Log'!$K$2:$K$101)</f>
        <v>0</v>
      </c>
      <c r="AE210" s="3">
        <f t="shared" si="3"/>
        <v>-75</v>
      </c>
      <c r="AF210">
        <f>COUNTIF('Attempt Log'!$B$2:$B$101,A210)</f>
        <v>0</v>
      </c>
      <c r="AG210">
        <f>IFERROR(SUMIFS('Attempt Log'!$U$2:$U$101,'Attempt Log'!$B$2:$B$101,A210,'Attempt Log'!$N$2:$N$101,"Yes")/COUNTIFS('Attempt Log'!$B$2:$B$101,A210,'Attempt Log'!$N$2:$N$101,"Yes"),0)</f>
        <v>0</v>
      </c>
    </row>
    <row r="211" spans="1:33">
      <c r="A211" t="s">
        <v>1067</v>
      </c>
      <c r="B211" t="s">
        <v>1068</v>
      </c>
      <c r="C211" t="s">
        <v>1069</v>
      </c>
      <c r="D211" t="s">
        <v>137</v>
      </c>
      <c r="E211" t="s">
        <v>138</v>
      </c>
      <c r="F211" t="s">
        <v>138</v>
      </c>
      <c r="G211" t="s">
        <v>139</v>
      </c>
      <c r="H211" t="s">
        <v>126</v>
      </c>
      <c r="I211" t="s">
        <v>127</v>
      </c>
      <c r="J211" t="s">
        <v>1066</v>
      </c>
      <c r="K211" t="s">
        <v>140</v>
      </c>
      <c r="L211" t="s">
        <v>141</v>
      </c>
      <c r="M211">
        <v>650</v>
      </c>
      <c r="N211" t="s">
        <v>142</v>
      </c>
      <c r="O211" t="s">
        <v>11</v>
      </c>
      <c r="P211" t="s">
        <v>143</v>
      </c>
      <c r="Q211" t="s">
        <v>3451</v>
      </c>
      <c r="R211" t="s">
        <v>3536</v>
      </c>
      <c r="S211" t="s">
        <v>3626</v>
      </c>
      <c r="T211">
        <v>1</v>
      </c>
      <c r="U211">
        <v>3</v>
      </c>
      <c r="V211">
        <v>1</v>
      </c>
      <c r="W211">
        <v>1</v>
      </c>
      <c r="X211">
        <v>0</v>
      </c>
      <c r="Y211" t="s">
        <v>144</v>
      </c>
      <c r="Z211" t="s">
        <v>145</v>
      </c>
      <c r="AA211" t="s">
        <v>7</v>
      </c>
      <c r="AB211" t="s">
        <v>8</v>
      </c>
      <c r="AC211" s="3">
        <f>T211*'Settings &amp; Rates'!$B$5+U211*'Settings &amp; Rates'!$B$6+V211*'Settings &amp; Rates'!$B$7+W211*'Settings &amp; Rates'!$B$8+X211*'Settings &amp; Rates'!$B$9</f>
        <v>75</v>
      </c>
      <c r="AD211" s="3">
        <f>SUMIF('Attempt Log'!$B$2:$B$101,A211,'Attempt Log'!$K$2:$K$101)</f>
        <v>0</v>
      </c>
      <c r="AE211" s="3">
        <f t="shared" si="3"/>
        <v>-75</v>
      </c>
      <c r="AF211">
        <f>COUNTIF('Attempt Log'!$B$2:$B$101,A211)</f>
        <v>0</v>
      </c>
      <c r="AG211">
        <f>IFERROR(SUMIFS('Attempt Log'!$U$2:$U$101,'Attempt Log'!$B$2:$B$101,A211,'Attempt Log'!$N$2:$N$101,"Yes")/COUNTIFS('Attempt Log'!$B$2:$B$101,A211,'Attempt Log'!$N$2:$N$101,"Yes"),0)</f>
        <v>0</v>
      </c>
    </row>
    <row r="212" spans="1:33">
      <c r="A212" t="s">
        <v>1070</v>
      </c>
      <c r="B212" t="s">
        <v>1071</v>
      </c>
      <c r="C212" t="s">
        <v>1072</v>
      </c>
      <c r="D212" t="s">
        <v>137</v>
      </c>
      <c r="E212" t="s">
        <v>138</v>
      </c>
      <c r="F212" t="s">
        <v>138</v>
      </c>
      <c r="G212" t="s">
        <v>1073</v>
      </c>
      <c r="H212" t="s">
        <v>126</v>
      </c>
      <c r="I212" t="s">
        <v>127</v>
      </c>
      <c r="J212" t="s">
        <v>1066</v>
      </c>
      <c r="K212" t="s">
        <v>129</v>
      </c>
      <c r="L212" t="s">
        <v>17</v>
      </c>
      <c r="M212">
        <v>4250</v>
      </c>
      <c r="N212" t="s">
        <v>142</v>
      </c>
      <c r="O212" t="s">
        <v>11</v>
      </c>
      <c r="P212" t="s">
        <v>143</v>
      </c>
      <c r="Q212" t="s">
        <v>3453</v>
      </c>
      <c r="R212" t="s">
        <v>3538</v>
      </c>
      <c r="S212" t="s">
        <v>3628</v>
      </c>
      <c r="T212">
        <v>2</v>
      </c>
      <c r="U212">
        <v>3</v>
      </c>
      <c r="V212">
        <v>1</v>
      </c>
      <c r="W212">
        <v>1</v>
      </c>
      <c r="X212">
        <v>0</v>
      </c>
      <c r="Y212" t="s">
        <v>144</v>
      </c>
      <c r="Z212" t="s">
        <v>145</v>
      </c>
      <c r="AA212" t="s">
        <v>7</v>
      </c>
      <c r="AB212" t="s">
        <v>8</v>
      </c>
      <c r="AC212" s="3">
        <f>T212*'Settings &amp; Rates'!$B$5+U212*'Settings &amp; Rates'!$B$6+V212*'Settings &amp; Rates'!$B$7+W212*'Settings &amp; Rates'!$B$8+X212*'Settings &amp; Rates'!$B$9</f>
        <v>75</v>
      </c>
      <c r="AD212" s="3">
        <f>SUMIF('Attempt Log'!$B$2:$B$101,A212,'Attempt Log'!$K$2:$K$101)</f>
        <v>0</v>
      </c>
      <c r="AE212" s="3">
        <f t="shared" si="3"/>
        <v>-75</v>
      </c>
      <c r="AF212">
        <f>COUNTIF('Attempt Log'!$B$2:$B$101,A212)</f>
        <v>0</v>
      </c>
      <c r="AG212">
        <f>IFERROR(SUMIFS('Attempt Log'!$U$2:$U$101,'Attempt Log'!$B$2:$B$101,A212,'Attempt Log'!$N$2:$N$101,"Yes")/COUNTIFS('Attempt Log'!$B$2:$B$101,A212,'Attempt Log'!$N$2:$N$101,"Yes"),0)</f>
        <v>0</v>
      </c>
    </row>
    <row r="213" spans="1:33">
      <c r="A213" t="s">
        <v>1074</v>
      </c>
      <c r="B213" t="s">
        <v>1075</v>
      </c>
      <c r="C213" t="s">
        <v>1076</v>
      </c>
      <c r="D213" t="s">
        <v>137</v>
      </c>
      <c r="E213" t="s">
        <v>138</v>
      </c>
      <c r="F213" t="s">
        <v>138</v>
      </c>
      <c r="G213" t="s">
        <v>1065</v>
      </c>
      <c r="H213" t="s">
        <v>126</v>
      </c>
      <c r="I213" t="s">
        <v>127</v>
      </c>
      <c r="J213" t="s">
        <v>1066</v>
      </c>
      <c r="K213" t="s">
        <v>129</v>
      </c>
      <c r="L213" t="s">
        <v>17</v>
      </c>
      <c r="M213">
        <v>2750</v>
      </c>
      <c r="N213" t="s">
        <v>142</v>
      </c>
      <c r="O213" t="s">
        <v>11</v>
      </c>
      <c r="P213" t="s">
        <v>143</v>
      </c>
      <c r="Q213" t="s">
        <v>3454</v>
      </c>
      <c r="R213" t="s">
        <v>3539</v>
      </c>
      <c r="S213" t="s">
        <v>3629</v>
      </c>
      <c r="T213">
        <v>2</v>
      </c>
      <c r="U213">
        <v>3</v>
      </c>
      <c r="V213">
        <v>1</v>
      </c>
      <c r="W213">
        <v>1</v>
      </c>
      <c r="X213">
        <v>0</v>
      </c>
      <c r="Y213" t="s">
        <v>144</v>
      </c>
      <c r="Z213" t="s">
        <v>145</v>
      </c>
      <c r="AA213" t="s">
        <v>7</v>
      </c>
      <c r="AB213" t="s">
        <v>8</v>
      </c>
      <c r="AC213" s="3">
        <f>T213*'Settings &amp; Rates'!$B$5+U213*'Settings &amp; Rates'!$B$6+V213*'Settings &amp; Rates'!$B$7+W213*'Settings &amp; Rates'!$B$8+X213*'Settings &amp; Rates'!$B$9</f>
        <v>75</v>
      </c>
      <c r="AD213" s="3">
        <f>SUMIF('Attempt Log'!$B$2:$B$101,A213,'Attempt Log'!$K$2:$K$101)</f>
        <v>0</v>
      </c>
      <c r="AE213" s="3">
        <f t="shared" si="3"/>
        <v>-75</v>
      </c>
      <c r="AF213">
        <f>COUNTIF('Attempt Log'!$B$2:$B$101,A213)</f>
        <v>0</v>
      </c>
      <c r="AG213">
        <f>IFERROR(SUMIFS('Attempt Log'!$U$2:$U$101,'Attempt Log'!$B$2:$B$101,A213,'Attempt Log'!$N$2:$N$101,"Yes")/COUNTIFS('Attempt Log'!$B$2:$B$101,A213,'Attempt Log'!$N$2:$N$101,"Yes"),0)</f>
        <v>0</v>
      </c>
    </row>
    <row r="214" spans="1:33">
      <c r="A214" t="s">
        <v>1077</v>
      </c>
      <c r="B214" t="s">
        <v>1078</v>
      </c>
      <c r="C214" t="s">
        <v>1079</v>
      </c>
      <c r="D214" t="s">
        <v>137</v>
      </c>
      <c r="E214" t="s">
        <v>138</v>
      </c>
      <c r="F214" t="s">
        <v>138</v>
      </c>
      <c r="G214" t="s">
        <v>139</v>
      </c>
      <c r="H214" t="s">
        <v>126</v>
      </c>
      <c r="I214" t="s">
        <v>127</v>
      </c>
      <c r="J214" t="s">
        <v>1066</v>
      </c>
      <c r="K214" t="s">
        <v>140</v>
      </c>
      <c r="L214" t="s">
        <v>141</v>
      </c>
      <c r="M214">
        <v>1750</v>
      </c>
      <c r="N214" t="s">
        <v>142</v>
      </c>
      <c r="O214" t="s">
        <v>11</v>
      </c>
      <c r="P214" t="s">
        <v>143</v>
      </c>
      <c r="Q214" t="s">
        <v>3458</v>
      </c>
      <c r="R214" t="s">
        <v>3543</v>
      </c>
      <c r="S214" t="s">
        <v>3633</v>
      </c>
      <c r="T214">
        <v>1</v>
      </c>
      <c r="U214">
        <v>3</v>
      </c>
      <c r="V214">
        <v>1</v>
      </c>
      <c r="W214">
        <v>1</v>
      </c>
      <c r="X214">
        <v>0</v>
      </c>
      <c r="Y214" t="s">
        <v>144</v>
      </c>
      <c r="Z214" t="s">
        <v>145</v>
      </c>
      <c r="AA214" t="s">
        <v>7</v>
      </c>
      <c r="AB214" t="s">
        <v>8</v>
      </c>
      <c r="AC214" s="3">
        <f>T214*'Settings &amp; Rates'!$B$5+U214*'Settings &amp; Rates'!$B$6+V214*'Settings &amp; Rates'!$B$7+W214*'Settings &amp; Rates'!$B$8+X214*'Settings &amp; Rates'!$B$9</f>
        <v>75</v>
      </c>
      <c r="AD214" s="3">
        <f>SUMIF('Attempt Log'!$B$2:$B$101,A214,'Attempt Log'!$K$2:$K$101)</f>
        <v>0</v>
      </c>
      <c r="AE214" s="3">
        <f t="shared" si="3"/>
        <v>-75</v>
      </c>
      <c r="AF214">
        <f>COUNTIF('Attempt Log'!$B$2:$B$101,A214)</f>
        <v>0</v>
      </c>
      <c r="AG214">
        <f>IFERROR(SUMIFS('Attempt Log'!$U$2:$U$101,'Attempt Log'!$B$2:$B$101,A214,'Attempt Log'!$N$2:$N$101,"Yes")/COUNTIFS('Attempt Log'!$B$2:$B$101,A214,'Attempt Log'!$N$2:$N$101,"Yes"),0)</f>
        <v>0</v>
      </c>
    </row>
    <row r="215" spans="1:33">
      <c r="A215" t="s">
        <v>1080</v>
      </c>
      <c r="B215" t="s">
        <v>1081</v>
      </c>
      <c r="C215" t="s">
        <v>1082</v>
      </c>
      <c r="D215" t="s">
        <v>137</v>
      </c>
      <c r="E215" t="s">
        <v>138</v>
      </c>
      <c r="F215" t="s">
        <v>138</v>
      </c>
      <c r="G215" t="s">
        <v>139</v>
      </c>
      <c r="H215" t="s">
        <v>126</v>
      </c>
      <c r="I215" t="s">
        <v>127</v>
      </c>
      <c r="J215" t="s">
        <v>1066</v>
      </c>
      <c r="K215" t="s">
        <v>140</v>
      </c>
      <c r="L215" t="s">
        <v>141</v>
      </c>
      <c r="M215">
        <v>950</v>
      </c>
      <c r="N215" t="s">
        <v>142</v>
      </c>
      <c r="O215" t="s">
        <v>11</v>
      </c>
      <c r="P215" t="s">
        <v>143</v>
      </c>
      <c r="Q215" t="s">
        <v>3463</v>
      </c>
      <c r="R215" t="s">
        <v>3548</v>
      </c>
      <c r="S215" t="s">
        <v>3638</v>
      </c>
      <c r="T215">
        <v>1</v>
      </c>
      <c r="U215">
        <v>3</v>
      </c>
      <c r="V215">
        <v>1</v>
      </c>
      <c r="W215">
        <v>1</v>
      </c>
      <c r="X215">
        <v>0</v>
      </c>
      <c r="Y215" t="s">
        <v>144</v>
      </c>
      <c r="Z215" t="s">
        <v>145</v>
      </c>
      <c r="AA215" t="s">
        <v>7</v>
      </c>
      <c r="AB215" t="s">
        <v>8</v>
      </c>
      <c r="AC215" s="3">
        <f>T215*'Settings &amp; Rates'!$B$5+U215*'Settings &amp; Rates'!$B$6+V215*'Settings &amp; Rates'!$B$7+W215*'Settings &amp; Rates'!$B$8+X215*'Settings &amp; Rates'!$B$9</f>
        <v>75</v>
      </c>
      <c r="AD215" s="3">
        <f>SUMIF('Attempt Log'!$B$2:$B$101,A215,'Attempt Log'!$K$2:$K$101)</f>
        <v>0</v>
      </c>
      <c r="AE215" s="3">
        <f t="shared" si="3"/>
        <v>-75</v>
      </c>
      <c r="AF215">
        <f>COUNTIF('Attempt Log'!$B$2:$B$101,A215)</f>
        <v>0</v>
      </c>
      <c r="AG215">
        <f>IFERROR(SUMIFS('Attempt Log'!$U$2:$U$101,'Attempt Log'!$B$2:$B$101,A215,'Attempt Log'!$N$2:$N$101,"Yes")/COUNTIFS('Attempt Log'!$B$2:$B$101,A215,'Attempt Log'!$N$2:$N$101,"Yes"),0)</f>
        <v>0</v>
      </c>
    </row>
    <row r="216" spans="1:33">
      <c r="A216" t="s">
        <v>1083</v>
      </c>
      <c r="B216" t="s">
        <v>1084</v>
      </c>
      <c r="C216" t="s">
        <v>1085</v>
      </c>
      <c r="D216" t="s">
        <v>137</v>
      </c>
      <c r="E216" t="s">
        <v>138</v>
      </c>
      <c r="F216" t="s">
        <v>138</v>
      </c>
      <c r="G216" t="s">
        <v>1065</v>
      </c>
      <c r="H216" t="s">
        <v>126</v>
      </c>
      <c r="I216" t="s">
        <v>127</v>
      </c>
      <c r="J216" t="s">
        <v>1066</v>
      </c>
      <c r="K216" t="s">
        <v>129</v>
      </c>
      <c r="L216" t="s">
        <v>17</v>
      </c>
      <c r="M216">
        <v>3150</v>
      </c>
      <c r="N216" t="s">
        <v>142</v>
      </c>
      <c r="O216" t="s">
        <v>11</v>
      </c>
      <c r="P216" t="s">
        <v>143</v>
      </c>
      <c r="Q216" t="s">
        <v>3464</v>
      </c>
      <c r="R216" t="s">
        <v>3549</v>
      </c>
      <c r="S216" t="s">
        <v>3639</v>
      </c>
      <c r="T216">
        <v>2</v>
      </c>
      <c r="U216">
        <v>3</v>
      </c>
      <c r="V216">
        <v>1</v>
      </c>
      <c r="W216">
        <v>1</v>
      </c>
      <c r="X216">
        <v>0</v>
      </c>
      <c r="Y216" t="s">
        <v>144</v>
      </c>
      <c r="Z216" t="s">
        <v>145</v>
      </c>
      <c r="AA216" t="s">
        <v>7</v>
      </c>
      <c r="AB216" t="s">
        <v>8</v>
      </c>
      <c r="AC216" s="3">
        <f>T216*'Settings &amp; Rates'!$B$5+U216*'Settings &amp; Rates'!$B$6+V216*'Settings &amp; Rates'!$B$7+W216*'Settings &amp; Rates'!$B$8+X216*'Settings &amp; Rates'!$B$9</f>
        <v>75</v>
      </c>
      <c r="AD216" s="3">
        <f>SUMIF('Attempt Log'!$B$2:$B$101,A216,'Attempt Log'!$K$2:$K$101)</f>
        <v>0</v>
      </c>
      <c r="AE216" s="3">
        <f t="shared" si="3"/>
        <v>-75</v>
      </c>
      <c r="AF216">
        <f>COUNTIF('Attempt Log'!$B$2:$B$101,A216)</f>
        <v>0</v>
      </c>
      <c r="AG216">
        <f>IFERROR(SUMIFS('Attempt Log'!$U$2:$U$101,'Attempt Log'!$B$2:$B$101,A216,'Attempt Log'!$N$2:$N$101,"Yes")/COUNTIFS('Attempt Log'!$B$2:$B$101,A216,'Attempt Log'!$N$2:$N$101,"Yes"),0)</f>
        <v>0</v>
      </c>
    </row>
    <row r="217" spans="1:33">
      <c r="A217" t="s">
        <v>1086</v>
      </c>
      <c r="B217" t="s">
        <v>1087</v>
      </c>
      <c r="C217" t="s">
        <v>1088</v>
      </c>
      <c r="D217" t="s">
        <v>137</v>
      </c>
      <c r="E217" t="s">
        <v>138</v>
      </c>
      <c r="F217" t="s">
        <v>138</v>
      </c>
      <c r="G217" t="s">
        <v>139</v>
      </c>
      <c r="H217" t="s">
        <v>126</v>
      </c>
      <c r="I217" t="s">
        <v>127</v>
      </c>
      <c r="J217" t="s">
        <v>1066</v>
      </c>
      <c r="K217" t="s">
        <v>140</v>
      </c>
      <c r="L217" t="s">
        <v>141</v>
      </c>
      <c r="M217">
        <v>1550</v>
      </c>
      <c r="N217" t="s">
        <v>142</v>
      </c>
      <c r="O217" t="s">
        <v>11</v>
      </c>
      <c r="P217" t="s">
        <v>143</v>
      </c>
      <c r="Q217" t="s">
        <v>3465</v>
      </c>
      <c r="R217" t="s">
        <v>3550</v>
      </c>
      <c r="S217" t="s">
        <v>3640</v>
      </c>
      <c r="T217">
        <v>1</v>
      </c>
      <c r="U217">
        <v>3</v>
      </c>
      <c r="V217">
        <v>1</v>
      </c>
      <c r="W217">
        <v>1</v>
      </c>
      <c r="X217">
        <v>0</v>
      </c>
      <c r="Y217" t="s">
        <v>144</v>
      </c>
      <c r="Z217" t="s">
        <v>145</v>
      </c>
      <c r="AA217" t="s">
        <v>7</v>
      </c>
      <c r="AB217" t="s">
        <v>8</v>
      </c>
      <c r="AC217" s="3">
        <f>T217*'Settings &amp; Rates'!$B$5+U217*'Settings &amp; Rates'!$B$6+V217*'Settings &amp; Rates'!$B$7+W217*'Settings &amp; Rates'!$B$8+X217*'Settings &amp; Rates'!$B$9</f>
        <v>75</v>
      </c>
      <c r="AD217" s="3">
        <f>SUMIF('Attempt Log'!$B$2:$B$101,A217,'Attempt Log'!$K$2:$K$101)</f>
        <v>0</v>
      </c>
      <c r="AE217" s="3">
        <f t="shared" si="3"/>
        <v>-75</v>
      </c>
      <c r="AF217">
        <f>COUNTIF('Attempt Log'!$B$2:$B$101,A217)</f>
        <v>0</v>
      </c>
      <c r="AG217">
        <f>IFERROR(SUMIFS('Attempt Log'!$U$2:$U$101,'Attempt Log'!$B$2:$B$101,A217,'Attempt Log'!$N$2:$N$101,"Yes")/COUNTIFS('Attempt Log'!$B$2:$B$101,A217,'Attempt Log'!$N$2:$N$101,"Yes"),0)</f>
        <v>0</v>
      </c>
    </row>
    <row r="218" spans="1:33">
      <c r="A218" t="s">
        <v>1089</v>
      </c>
      <c r="B218" t="s">
        <v>1090</v>
      </c>
      <c r="C218" t="s">
        <v>1091</v>
      </c>
      <c r="D218" t="s">
        <v>137</v>
      </c>
      <c r="E218" t="s">
        <v>138</v>
      </c>
      <c r="F218" t="s">
        <v>138</v>
      </c>
      <c r="G218" t="s">
        <v>139</v>
      </c>
      <c r="H218" t="s">
        <v>126</v>
      </c>
      <c r="I218" t="s">
        <v>127</v>
      </c>
      <c r="J218" t="s">
        <v>1066</v>
      </c>
      <c r="K218" t="s">
        <v>140</v>
      </c>
      <c r="L218" t="s">
        <v>141</v>
      </c>
      <c r="M218">
        <v>550</v>
      </c>
      <c r="N218" t="s">
        <v>142</v>
      </c>
      <c r="O218" t="s">
        <v>11</v>
      </c>
      <c r="P218" t="s">
        <v>143</v>
      </c>
      <c r="Q218" t="s">
        <v>3466</v>
      </c>
      <c r="R218" t="s">
        <v>3551</v>
      </c>
      <c r="S218" t="s">
        <v>3641</v>
      </c>
      <c r="T218">
        <v>1</v>
      </c>
      <c r="U218">
        <v>3</v>
      </c>
      <c r="V218">
        <v>1</v>
      </c>
      <c r="W218">
        <v>1</v>
      </c>
      <c r="X218">
        <v>0</v>
      </c>
      <c r="Y218" t="s">
        <v>144</v>
      </c>
      <c r="Z218" t="s">
        <v>145</v>
      </c>
      <c r="AA218" t="s">
        <v>7</v>
      </c>
      <c r="AB218" t="s">
        <v>8</v>
      </c>
      <c r="AC218" s="3">
        <f>T218*'Settings &amp; Rates'!$B$5+U218*'Settings &amp; Rates'!$B$6+V218*'Settings &amp; Rates'!$B$7+W218*'Settings &amp; Rates'!$B$8+X218*'Settings &amp; Rates'!$B$9</f>
        <v>75</v>
      </c>
      <c r="AD218" s="3">
        <f>SUMIF('Attempt Log'!$B$2:$B$101,A218,'Attempt Log'!$K$2:$K$101)</f>
        <v>0</v>
      </c>
      <c r="AE218" s="3">
        <f t="shared" si="3"/>
        <v>-75</v>
      </c>
      <c r="AF218">
        <f>COUNTIF('Attempt Log'!$B$2:$B$101,A218)</f>
        <v>0</v>
      </c>
      <c r="AG218">
        <f>IFERROR(SUMIFS('Attempt Log'!$U$2:$U$101,'Attempt Log'!$B$2:$B$101,A218,'Attempt Log'!$N$2:$N$101,"Yes")/COUNTIFS('Attempt Log'!$B$2:$B$101,A218,'Attempt Log'!$N$2:$N$101,"Yes"),0)</f>
        <v>0</v>
      </c>
    </row>
    <row r="219" spans="1:33">
      <c r="A219" t="s">
        <v>1092</v>
      </c>
      <c r="B219" t="s">
        <v>1093</v>
      </c>
      <c r="C219" t="s">
        <v>1094</v>
      </c>
      <c r="D219" t="s">
        <v>137</v>
      </c>
      <c r="E219" t="s">
        <v>138</v>
      </c>
      <c r="F219" t="s">
        <v>138</v>
      </c>
      <c r="G219" t="s">
        <v>1065</v>
      </c>
      <c r="H219" t="s">
        <v>126</v>
      </c>
      <c r="I219" t="s">
        <v>127</v>
      </c>
      <c r="J219" t="s">
        <v>1066</v>
      </c>
      <c r="K219" t="s">
        <v>129</v>
      </c>
      <c r="L219" t="s">
        <v>17</v>
      </c>
      <c r="M219">
        <v>5000</v>
      </c>
      <c r="N219" t="s">
        <v>142</v>
      </c>
      <c r="O219" t="s">
        <v>11</v>
      </c>
      <c r="P219" t="s">
        <v>143</v>
      </c>
      <c r="Q219" t="s">
        <v>3467</v>
      </c>
      <c r="R219" t="s">
        <v>3552</v>
      </c>
      <c r="S219" t="s">
        <v>3642</v>
      </c>
      <c r="T219">
        <v>2</v>
      </c>
      <c r="U219">
        <v>3</v>
      </c>
      <c r="V219">
        <v>1</v>
      </c>
      <c r="W219">
        <v>1</v>
      </c>
      <c r="X219">
        <v>0</v>
      </c>
      <c r="Y219" t="s">
        <v>144</v>
      </c>
      <c r="Z219" t="s">
        <v>145</v>
      </c>
      <c r="AA219" t="s">
        <v>7</v>
      </c>
      <c r="AB219" t="s">
        <v>8</v>
      </c>
      <c r="AC219" s="3">
        <f>T219*'Settings &amp; Rates'!$B$5+U219*'Settings &amp; Rates'!$B$6+V219*'Settings &amp; Rates'!$B$7+W219*'Settings &amp; Rates'!$B$8+X219*'Settings &amp; Rates'!$B$9</f>
        <v>75</v>
      </c>
      <c r="AD219" s="3">
        <f>SUMIF('Attempt Log'!$B$2:$B$101,A219,'Attempt Log'!$K$2:$K$101)</f>
        <v>0</v>
      </c>
      <c r="AE219" s="3">
        <f t="shared" si="3"/>
        <v>-75</v>
      </c>
      <c r="AF219">
        <f>COUNTIF('Attempt Log'!$B$2:$B$101,A219)</f>
        <v>0</v>
      </c>
      <c r="AG219">
        <f>IFERROR(SUMIFS('Attempt Log'!$U$2:$U$101,'Attempt Log'!$B$2:$B$101,A219,'Attempt Log'!$N$2:$N$101,"Yes")/COUNTIFS('Attempt Log'!$B$2:$B$101,A219,'Attempt Log'!$N$2:$N$101,"Yes"),0)</f>
        <v>0</v>
      </c>
    </row>
    <row r="220" spans="1:33">
      <c r="A220" t="s">
        <v>1095</v>
      </c>
      <c r="B220" t="s">
        <v>1096</v>
      </c>
      <c r="C220" t="s">
        <v>1097</v>
      </c>
      <c r="D220" t="s">
        <v>137</v>
      </c>
      <c r="E220" t="s">
        <v>138</v>
      </c>
      <c r="F220" t="s">
        <v>138</v>
      </c>
      <c r="G220" t="s">
        <v>139</v>
      </c>
      <c r="H220" t="s">
        <v>126</v>
      </c>
      <c r="I220" t="s">
        <v>127</v>
      </c>
      <c r="J220" t="s">
        <v>1066</v>
      </c>
      <c r="K220" t="s">
        <v>140</v>
      </c>
      <c r="L220" t="s">
        <v>141</v>
      </c>
      <c r="M220">
        <v>1500</v>
      </c>
      <c r="N220" t="s">
        <v>142</v>
      </c>
      <c r="O220" t="s">
        <v>11</v>
      </c>
      <c r="P220" t="s">
        <v>143</v>
      </c>
      <c r="Q220" t="s">
        <v>3468</v>
      </c>
      <c r="R220" t="s">
        <v>3553</v>
      </c>
      <c r="S220" t="s">
        <v>3643</v>
      </c>
      <c r="T220">
        <v>1</v>
      </c>
      <c r="U220">
        <v>3</v>
      </c>
      <c r="V220">
        <v>1</v>
      </c>
      <c r="W220">
        <v>1</v>
      </c>
      <c r="X220">
        <v>0</v>
      </c>
      <c r="Y220" t="s">
        <v>144</v>
      </c>
      <c r="Z220" t="s">
        <v>145</v>
      </c>
      <c r="AA220" t="s">
        <v>7</v>
      </c>
      <c r="AB220" t="s">
        <v>8</v>
      </c>
      <c r="AC220" s="3">
        <f>T220*'Settings &amp; Rates'!$B$5+U220*'Settings &amp; Rates'!$B$6+V220*'Settings &amp; Rates'!$B$7+W220*'Settings &amp; Rates'!$B$8+X220*'Settings &amp; Rates'!$B$9</f>
        <v>75</v>
      </c>
      <c r="AD220" s="3">
        <f>SUMIF('Attempt Log'!$B$2:$B$101,A220,'Attempt Log'!$K$2:$K$101)</f>
        <v>0</v>
      </c>
      <c r="AE220" s="3">
        <f t="shared" si="3"/>
        <v>-75</v>
      </c>
      <c r="AF220">
        <f>COUNTIF('Attempt Log'!$B$2:$B$101,A220)</f>
        <v>0</v>
      </c>
      <c r="AG220">
        <f>IFERROR(SUMIFS('Attempt Log'!$U$2:$U$101,'Attempt Log'!$B$2:$B$101,A220,'Attempt Log'!$N$2:$N$101,"Yes")/COUNTIFS('Attempt Log'!$B$2:$B$101,A220,'Attempt Log'!$N$2:$N$101,"Yes"),0)</f>
        <v>0</v>
      </c>
    </row>
    <row r="221" spans="1:33">
      <c r="A221" t="s">
        <v>1098</v>
      </c>
      <c r="B221" t="s">
        <v>1099</v>
      </c>
      <c r="C221" t="s">
        <v>1100</v>
      </c>
      <c r="D221" t="s">
        <v>137</v>
      </c>
      <c r="E221" t="s">
        <v>138</v>
      </c>
      <c r="F221" t="s">
        <v>138</v>
      </c>
      <c r="G221" t="s">
        <v>369</v>
      </c>
      <c r="H221" t="s">
        <v>1101</v>
      </c>
      <c r="I221" t="s">
        <v>391</v>
      </c>
      <c r="J221" t="s">
        <v>1102</v>
      </c>
      <c r="K221" t="s">
        <v>129</v>
      </c>
      <c r="L221" t="s">
        <v>17</v>
      </c>
      <c r="M221">
        <v>2200</v>
      </c>
      <c r="N221" t="s">
        <v>142</v>
      </c>
      <c r="O221" t="s">
        <v>11</v>
      </c>
      <c r="P221" t="s">
        <v>143</v>
      </c>
      <c r="Q221" t="s">
        <v>3493</v>
      </c>
      <c r="R221" t="s">
        <v>3578</v>
      </c>
      <c r="S221" t="s">
        <v>3668</v>
      </c>
      <c r="T221">
        <v>2</v>
      </c>
      <c r="U221">
        <v>2</v>
      </c>
      <c r="V221">
        <v>1</v>
      </c>
      <c r="W221">
        <v>1</v>
      </c>
      <c r="X221">
        <v>0</v>
      </c>
      <c r="Y221" t="s">
        <v>144</v>
      </c>
      <c r="Z221" t="s">
        <v>1103</v>
      </c>
      <c r="AA221" t="s">
        <v>7</v>
      </c>
      <c r="AB221" t="s">
        <v>8</v>
      </c>
      <c r="AC221" s="3">
        <f>T221*'Settings &amp; Rates'!$B$5+U221*'Settings &amp; Rates'!$B$6+V221*'Settings &amp; Rates'!$B$7+W221*'Settings &amp; Rates'!$B$8+X221*'Settings &amp; Rates'!$B$9</f>
        <v>55</v>
      </c>
      <c r="AD221" s="3">
        <f>SUMIF('Attempt Log'!$B$2:$B$101,A221,'Attempt Log'!$K$2:$K$101)</f>
        <v>0</v>
      </c>
      <c r="AE221" s="3">
        <f t="shared" si="3"/>
        <v>-55</v>
      </c>
      <c r="AF221">
        <f>COUNTIF('Attempt Log'!$B$2:$B$101,A221)</f>
        <v>0</v>
      </c>
      <c r="AG221">
        <f>IFERROR(SUMIFS('Attempt Log'!$U$2:$U$101,'Attempt Log'!$B$2:$B$101,A221,'Attempt Log'!$N$2:$N$101,"Yes")/COUNTIFS('Attempt Log'!$B$2:$B$101,A221,'Attempt Log'!$N$2:$N$101,"Yes"),0)</f>
        <v>0</v>
      </c>
    </row>
    <row r="222" spans="1:33">
      <c r="A222" t="s">
        <v>1104</v>
      </c>
      <c r="B222" t="s">
        <v>1105</v>
      </c>
      <c r="C222" t="s">
        <v>1106</v>
      </c>
      <c r="D222" t="s">
        <v>137</v>
      </c>
      <c r="E222" t="s">
        <v>138</v>
      </c>
      <c r="F222" t="s">
        <v>138</v>
      </c>
      <c r="G222" t="s">
        <v>369</v>
      </c>
      <c r="H222" t="s">
        <v>1101</v>
      </c>
      <c r="I222" t="s">
        <v>391</v>
      </c>
      <c r="J222" t="s">
        <v>1102</v>
      </c>
      <c r="K222" t="s">
        <v>129</v>
      </c>
      <c r="L222" t="s">
        <v>17</v>
      </c>
      <c r="M222">
        <v>1500</v>
      </c>
      <c r="N222" t="s">
        <v>142</v>
      </c>
      <c r="O222" t="s">
        <v>11</v>
      </c>
      <c r="P222" t="s">
        <v>143</v>
      </c>
      <c r="Q222" t="s">
        <v>3494</v>
      </c>
      <c r="R222" t="s">
        <v>3579</v>
      </c>
      <c r="S222" t="s">
        <v>3669</v>
      </c>
      <c r="T222">
        <v>2</v>
      </c>
      <c r="U222">
        <v>2</v>
      </c>
      <c r="V222">
        <v>1</v>
      </c>
      <c r="W222">
        <v>1</v>
      </c>
      <c r="X222">
        <v>0</v>
      </c>
      <c r="Y222" t="s">
        <v>144</v>
      </c>
      <c r="Z222" t="s">
        <v>1103</v>
      </c>
      <c r="AA222" t="s">
        <v>7</v>
      </c>
      <c r="AB222" t="s">
        <v>8</v>
      </c>
      <c r="AC222" s="3">
        <f>T222*'Settings &amp; Rates'!$B$5+U222*'Settings &amp; Rates'!$B$6+V222*'Settings &amp; Rates'!$B$7+W222*'Settings &amp; Rates'!$B$8+X222*'Settings &amp; Rates'!$B$9</f>
        <v>55</v>
      </c>
      <c r="AD222" s="3">
        <f>SUMIF('Attempt Log'!$B$2:$B$101,A222,'Attempt Log'!$K$2:$K$101)</f>
        <v>0</v>
      </c>
      <c r="AE222" s="3">
        <f t="shared" si="3"/>
        <v>-55</v>
      </c>
      <c r="AF222">
        <f>COUNTIF('Attempt Log'!$B$2:$B$101,A222)</f>
        <v>0</v>
      </c>
      <c r="AG222">
        <f>IFERROR(SUMIFS('Attempt Log'!$U$2:$U$101,'Attempt Log'!$B$2:$B$101,A222,'Attempt Log'!$N$2:$N$101,"Yes")/COUNTIFS('Attempt Log'!$B$2:$B$101,A222,'Attempt Log'!$N$2:$N$101,"Yes"),0)</f>
        <v>0</v>
      </c>
    </row>
    <row r="223" spans="1:33">
      <c r="A223" t="s">
        <v>1107</v>
      </c>
      <c r="B223" t="s">
        <v>1108</v>
      </c>
      <c r="C223" t="s">
        <v>1109</v>
      </c>
      <c r="D223" t="s">
        <v>137</v>
      </c>
      <c r="E223" t="s">
        <v>138</v>
      </c>
      <c r="F223" t="s">
        <v>138</v>
      </c>
      <c r="G223" t="s">
        <v>369</v>
      </c>
      <c r="H223" t="s">
        <v>1101</v>
      </c>
      <c r="I223" t="s">
        <v>391</v>
      </c>
      <c r="J223" t="s">
        <v>1102</v>
      </c>
      <c r="K223" t="s">
        <v>129</v>
      </c>
      <c r="L223" t="s">
        <v>17</v>
      </c>
      <c r="M223">
        <v>2100</v>
      </c>
      <c r="N223" t="s">
        <v>142</v>
      </c>
      <c r="O223" t="s">
        <v>11</v>
      </c>
      <c r="P223" t="s">
        <v>143</v>
      </c>
      <c r="Q223" t="s">
        <v>3495</v>
      </c>
      <c r="R223" t="s">
        <v>3580</v>
      </c>
      <c r="S223" t="s">
        <v>3670</v>
      </c>
      <c r="T223">
        <v>2</v>
      </c>
      <c r="U223">
        <v>2</v>
      </c>
      <c r="V223">
        <v>1</v>
      </c>
      <c r="W223">
        <v>1</v>
      </c>
      <c r="X223">
        <v>0</v>
      </c>
      <c r="Y223" t="s">
        <v>144</v>
      </c>
      <c r="Z223" t="s">
        <v>1103</v>
      </c>
      <c r="AA223" t="s">
        <v>7</v>
      </c>
      <c r="AB223" t="s">
        <v>8</v>
      </c>
      <c r="AC223" s="3">
        <f>T223*'Settings &amp; Rates'!$B$5+U223*'Settings &amp; Rates'!$B$6+V223*'Settings &amp; Rates'!$B$7+W223*'Settings &amp; Rates'!$B$8+X223*'Settings &amp; Rates'!$B$9</f>
        <v>55</v>
      </c>
      <c r="AD223" s="3">
        <f>SUMIF('Attempt Log'!$B$2:$B$101,A223,'Attempt Log'!$K$2:$K$101)</f>
        <v>0</v>
      </c>
      <c r="AE223" s="3">
        <f t="shared" si="3"/>
        <v>-55</v>
      </c>
      <c r="AF223">
        <f>COUNTIF('Attempt Log'!$B$2:$B$101,A223)</f>
        <v>0</v>
      </c>
      <c r="AG223">
        <f>IFERROR(SUMIFS('Attempt Log'!$U$2:$U$101,'Attempt Log'!$B$2:$B$101,A223,'Attempt Log'!$N$2:$N$101,"Yes")/COUNTIFS('Attempt Log'!$B$2:$B$101,A223,'Attempt Log'!$N$2:$N$101,"Yes"),0)</f>
        <v>0</v>
      </c>
    </row>
    <row r="224" spans="1:33">
      <c r="A224" t="s">
        <v>1110</v>
      </c>
      <c r="B224" t="s">
        <v>1111</v>
      </c>
      <c r="C224" t="s">
        <v>1112</v>
      </c>
      <c r="D224" t="s">
        <v>137</v>
      </c>
      <c r="E224" t="s">
        <v>138</v>
      </c>
      <c r="F224" t="s">
        <v>138</v>
      </c>
      <c r="G224" t="s">
        <v>361</v>
      </c>
      <c r="H224" t="s">
        <v>1101</v>
      </c>
      <c r="I224" t="s">
        <v>391</v>
      </c>
      <c r="J224" t="s">
        <v>1102</v>
      </c>
      <c r="K224" t="s">
        <v>140</v>
      </c>
      <c r="L224" t="s">
        <v>141</v>
      </c>
      <c r="M224">
        <v>1050</v>
      </c>
      <c r="N224" t="s">
        <v>142</v>
      </c>
      <c r="O224" t="s">
        <v>11</v>
      </c>
      <c r="P224" t="s">
        <v>143</v>
      </c>
      <c r="Q224" t="s">
        <v>3496</v>
      </c>
      <c r="R224" t="s">
        <v>3581</v>
      </c>
      <c r="S224" t="s">
        <v>3671</v>
      </c>
      <c r="T224">
        <v>1</v>
      </c>
      <c r="U224">
        <v>2</v>
      </c>
      <c r="V224">
        <v>1</v>
      </c>
      <c r="W224">
        <v>1</v>
      </c>
      <c r="X224">
        <v>0</v>
      </c>
      <c r="Y224" t="s">
        <v>144</v>
      </c>
      <c r="Z224" t="s">
        <v>1103</v>
      </c>
      <c r="AA224" t="s">
        <v>7</v>
      </c>
      <c r="AB224" t="s">
        <v>8</v>
      </c>
      <c r="AC224" s="3">
        <f>T224*'Settings &amp; Rates'!$B$5+U224*'Settings &amp; Rates'!$B$6+V224*'Settings &amp; Rates'!$B$7+W224*'Settings &amp; Rates'!$B$8+X224*'Settings &amp; Rates'!$B$9</f>
        <v>55</v>
      </c>
      <c r="AD224" s="3">
        <f>SUMIF('Attempt Log'!$B$2:$B$101,A224,'Attempt Log'!$K$2:$K$101)</f>
        <v>0</v>
      </c>
      <c r="AE224" s="3">
        <f t="shared" si="3"/>
        <v>-55</v>
      </c>
      <c r="AF224">
        <f>COUNTIF('Attempt Log'!$B$2:$B$101,A224)</f>
        <v>0</v>
      </c>
      <c r="AG224">
        <f>IFERROR(SUMIFS('Attempt Log'!$U$2:$U$101,'Attempt Log'!$B$2:$B$101,A224,'Attempt Log'!$N$2:$N$101,"Yes")/COUNTIFS('Attempt Log'!$B$2:$B$101,A224,'Attempt Log'!$N$2:$N$101,"Yes"),0)</f>
        <v>0</v>
      </c>
    </row>
    <row r="225" spans="1:33">
      <c r="A225" t="s">
        <v>1113</v>
      </c>
      <c r="B225" t="s">
        <v>1114</v>
      </c>
      <c r="C225" t="s">
        <v>1115</v>
      </c>
      <c r="D225" t="s">
        <v>137</v>
      </c>
      <c r="E225" t="s">
        <v>138</v>
      </c>
      <c r="F225" t="s">
        <v>138</v>
      </c>
      <c r="G225" t="s">
        <v>380</v>
      </c>
      <c r="H225" t="s">
        <v>1101</v>
      </c>
      <c r="I225" t="s">
        <v>391</v>
      </c>
      <c r="J225" t="s">
        <v>1102</v>
      </c>
      <c r="K225" t="s">
        <v>129</v>
      </c>
      <c r="L225" t="s">
        <v>17</v>
      </c>
      <c r="M225">
        <v>2700</v>
      </c>
      <c r="N225" t="s">
        <v>142</v>
      </c>
      <c r="O225" t="s">
        <v>11</v>
      </c>
      <c r="P225" t="s">
        <v>143</v>
      </c>
      <c r="Q225" t="s">
        <v>3498</v>
      </c>
      <c r="R225" t="s">
        <v>3583</v>
      </c>
      <c r="S225" t="s">
        <v>3673</v>
      </c>
      <c r="T225">
        <v>2</v>
      </c>
      <c r="U225">
        <v>2</v>
      </c>
      <c r="V225">
        <v>1</v>
      </c>
      <c r="W225">
        <v>1</v>
      </c>
      <c r="X225">
        <v>0</v>
      </c>
      <c r="Y225" t="s">
        <v>144</v>
      </c>
      <c r="Z225" t="s">
        <v>1103</v>
      </c>
      <c r="AA225" t="s">
        <v>7</v>
      </c>
      <c r="AB225" t="s">
        <v>8</v>
      </c>
      <c r="AC225" s="3">
        <f>T225*'Settings &amp; Rates'!$B$5+U225*'Settings &amp; Rates'!$B$6+V225*'Settings &amp; Rates'!$B$7+W225*'Settings &amp; Rates'!$B$8+X225*'Settings &amp; Rates'!$B$9</f>
        <v>55</v>
      </c>
      <c r="AD225" s="3">
        <f>SUMIF('Attempt Log'!$B$2:$B$101,A225,'Attempt Log'!$K$2:$K$101)</f>
        <v>0</v>
      </c>
      <c r="AE225" s="3">
        <f t="shared" si="3"/>
        <v>-55</v>
      </c>
      <c r="AF225">
        <f>COUNTIF('Attempt Log'!$B$2:$B$101,A225)</f>
        <v>0</v>
      </c>
      <c r="AG225">
        <f>IFERROR(SUMIFS('Attempt Log'!$U$2:$U$101,'Attempt Log'!$B$2:$B$101,A225,'Attempt Log'!$N$2:$N$101,"Yes")/COUNTIFS('Attempt Log'!$B$2:$B$101,A225,'Attempt Log'!$N$2:$N$101,"Yes"),0)</f>
        <v>0</v>
      </c>
    </row>
    <row r="226" spans="1:33">
      <c r="A226" t="s">
        <v>1116</v>
      </c>
      <c r="B226" t="s">
        <v>1117</v>
      </c>
      <c r="C226" t="s">
        <v>1118</v>
      </c>
      <c r="D226" t="s">
        <v>137</v>
      </c>
      <c r="E226" t="s">
        <v>138</v>
      </c>
      <c r="F226" t="s">
        <v>138</v>
      </c>
      <c r="G226" t="s">
        <v>380</v>
      </c>
      <c r="H226" t="s">
        <v>1101</v>
      </c>
      <c r="I226" t="s">
        <v>391</v>
      </c>
      <c r="J226" t="s">
        <v>1102</v>
      </c>
      <c r="K226" t="s">
        <v>129</v>
      </c>
      <c r="L226" t="s">
        <v>17</v>
      </c>
      <c r="M226">
        <v>2350</v>
      </c>
      <c r="N226" t="s">
        <v>142</v>
      </c>
      <c r="O226" t="s">
        <v>11</v>
      </c>
      <c r="P226" t="s">
        <v>143</v>
      </c>
      <c r="Q226" t="s">
        <v>3499</v>
      </c>
      <c r="R226" t="s">
        <v>3584</v>
      </c>
      <c r="S226" t="s">
        <v>3674</v>
      </c>
      <c r="T226">
        <v>2</v>
      </c>
      <c r="U226">
        <v>2</v>
      </c>
      <c r="V226">
        <v>1</v>
      </c>
      <c r="W226">
        <v>1</v>
      </c>
      <c r="X226">
        <v>0</v>
      </c>
      <c r="Y226" t="s">
        <v>144</v>
      </c>
      <c r="Z226" t="s">
        <v>1103</v>
      </c>
      <c r="AA226" t="s">
        <v>7</v>
      </c>
      <c r="AB226" t="s">
        <v>8</v>
      </c>
      <c r="AC226" s="3">
        <f>T226*'Settings &amp; Rates'!$B$5+U226*'Settings &amp; Rates'!$B$6+V226*'Settings &amp; Rates'!$B$7+W226*'Settings &amp; Rates'!$B$8+X226*'Settings &amp; Rates'!$B$9</f>
        <v>55</v>
      </c>
      <c r="AD226" s="3">
        <f>SUMIF('Attempt Log'!$B$2:$B$101,A226,'Attempt Log'!$K$2:$K$101)</f>
        <v>0</v>
      </c>
      <c r="AE226" s="3">
        <f t="shared" si="3"/>
        <v>-55</v>
      </c>
      <c r="AF226">
        <f>COUNTIF('Attempt Log'!$B$2:$B$101,A226)</f>
        <v>0</v>
      </c>
      <c r="AG226">
        <f>IFERROR(SUMIFS('Attempt Log'!$U$2:$U$101,'Attempt Log'!$B$2:$B$101,A226,'Attempt Log'!$N$2:$N$101,"Yes")/COUNTIFS('Attempt Log'!$B$2:$B$101,A226,'Attempt Log'!$N$2:$N$101,"Yes"),0)</f>
        <v>0</v>
      </c>
    </row>
    <row r="227" spans="1:33">
      <c r="A227" t="s">
        <v>1119</v>
      </c>
      <c r="B227" t="s">
        <v>1120</v>
      </c>
      <c r="C227" t="s">
        <v>1121</v>
      </c>
      <c r="D227" t="s">
        <v>137</v>
      </c>
      <c r="E227" t="s">
        <v>138</v>
      </c>
      <c r="F227" t="s">
        <v>138</v>
      </c>
      <c r="G227" t="s">
        <v>139</v>
      </c>
      <c r="H227" t="s">
        <v>1101</v>
      </c>
      <c r="I227" t="s">
        <v>391</v>
      </c>
      <c r="J227" t="s">
        <v>1122</v>
      </c>
      <c r="K227" t="s">
        <v>140</v>
      </c>
      <c r="L227" t="s">
        <v>141</v>
      </c>
      <c r="M227">
        <v>750</v>
      </c>
      <c r="N227" t="s">
        <v>142</v>
      </c>
      <c r="O227" t="s">
        <v>11</v>
      </c>
      <c r="P227" t="s">
        <v>143</v>
      </c>
      <c r="Q227" t="s">
        <v>3490</v>
      </c>
      <c r="R227" t="s">
        <v>3575</v>
      </c>
      <c r="S227" t="s">
        <v>3665</v>
      </c>
      <c r="T227">
        <v>1</v>
      </c>
      <c r="U227">
        <v>2</v>
      </c>
      <c r="V227">
        <v>1</v>
      </c>
      <c r="W227">
        <v>1</v>
      </c>
      <c r="X227">
        <v>0</v>
      </c>
      <c r="Y227" t="s">
        <v>144</v>
      </c>
      <c r="Z227" t="s">
        <v>1103</v>
      </c>
      <c r="AA227" t="s">
        <v>7</v>
      </c>
      <c r="AB227" t="s">
        <v>8</v>
      </c>
      <c r="AC227" s="3">
        <f>T227*'Settings &amp; Rates'!$B$5+U227*'Settings &amp; Rates'!$B$6+V227*'Settings &amp; Rates'!$B$7+W227*'Settings &amp; Rates'!$B$8+X227*'Settings &amp; Rates'!$B$9</f>
        <v>55</v>
      </c>
      <c r="AD227" s="3">
        <f>SUMIF('Attempt Log'!$B$2:$B$101,A227,'Attempt Log'!$K$2:$K$101)</f>
        <v>0</v>
      </c>
      <c r="AE227" s="3">
        <f t="shared" si="3"/>
        <v>-55</v>
      </c>
      <c r="AF227">
        <f>COUNTIF('Attempt Log'!$B$2:$B$101,A227)</f>
        <v>0</v>
      </c>
      <c r="AG227">
        <f>IFERROR(SUMIFS('Attempt Log'!$U$2:$U$101,'Attempt Log'!$B$2:$B$101,A227,'Attempt Log'!$N$2:$N$101,"Yes")/COUNTIFS('Attempt Log'!$B$2:$B$101,A227,'Attempt Log'!$N$2:$N$101,"Yes"),0)</f>
        <v>0</v>
      </c>
    </row>
    <row r="228" spans="1:33">
      <c r="A228" t="s">
        <v>1123</v>
      </c>
      <c r="B228" t="s">
        <v>1124</v>
      </c>
      <c r="C228" t="s">
        <v>1125</v>
      </c>
      <c r="D228" t="s">
        <v>137</v>
      </c>
      <c r="E228" t="s">
        <v>138</v>
      </c>
      <c r="F228" t="s">
        <v>138</v>
      </c>
      <c r="G228" t="s">
        <v>139</v>
      </c>
      <c r="H228" t="s">
        <v>1101</v>
      </c>
      <c r="I228" t="s">
        <v>391</v>
      </c>
      <c r="J228" t="s">
        <v>1122</v>
      </c>
      <c r="K228" t="s">
        <v>140</v>
      </c>
      <c r="L228" t="s">
        <v>141</v>
      </c>
      <c r="M228">
        <v>2200</v>
      </c>
      <c r="N228" t="s">
        <v>142</v>
      </c>
      <c r="O228" t="s">
        <v>11</v>
      </c>
      <c r="P228" t="s">
        <v>143</v>
      </c>
      <c r="Q228" t="s">
        <v>3491</v>
      </c>
      <c r="R228" t="s">
        <v>3576</v>
      </c>
      <c r="S228" t="s">
        <v>3666</v>
      </c>
      <c r="T228">
        <v>1</v>
      </c>
      <c r="U228">
        <v>2</v>
      </c>
      <c r="V228">
        <v>1</v>
      </c>
      <c r="W228">
        <v>1</v>
      </c>
      <c r="X228">
        <v>0</v>
      </c>
      <c r="Y228" t="s">
        <v>144</v>
      </c>
      <c r="Z228" t="s">
        <v>1103</v>
      </c>
      <c r="AA228" t="s">
        <v>7</v>
      </c>
      <c r="AB228" t="s">
        <v>8</v>
      </c>
      <c r="AC228" s="3">
        <f>T228*'Settings &amp; Rates'!$B$5+U228*'Settings &amp; Rates'!$B$6+V228*'Settings &amp; Rates'!$B$7+W228*'Settings &amp; Rates'!$B$8+X228*'Settings &amp; Rates'!$B$9</f>
        <v>55</v>
      </c>
      <c r="AD228" s="3">
        <f>SUMIF('Attempt Log'!$B$2:$B$101,A228,'Attempt Log'!$K$2:$K$101)</f>
        <v>0</v>
      </c>
      <c r="AE228" s="3">
        <f t="shared" si="3"/>
        <v>-55</v>
      </c>
      <c r="AF228">
        <f>COUNTIF('Attempt Log'!$B$2:$B$101,A228)</f>
        <v>0</v>
      </c>
      <c r="AG228">
        <f>IFERROR(SUMIFS('Attempt Log'!$U$2:$U$101,'Attempt Log'!$B$2:$B$101,A228,'Attempt Log'!$N$2:$N$101,"Yes")/COUNTIFS('Attempt Log'!$B$2:$B$101,A228,'Attempt Log'!$N$2:$N$101,"Yes"),0)</f>
        <v>0</v>
      </c>
    </row>
    <row r="229" spans="1:33">
      <c r="A229" t="s">
        <v>1126</v>
      </c>
      <c r="B229" t="s">
        <v>1127</v>
      </c>
      <c r="C229" t="s">
        <v>1128</v>
      </c>
      <c r="D229" t="s">
        <v>137</v>
      </c>
      <c r="E229" t="s">
        <v>138</v>
      </c>
      <c r="F229" t="s">
        <v>138</v>
      </c>
      <c r="G229" t="s">
        <v>139</v>
      </c>
      <c r="H229" t="s">
        <v>1101</v>
      </c>
      <c r="I229" t="s">
        <v>391</v>
      </c>
      <c r="J229" t="s">
        <v>1122</v>
      </c>
      <c r="K229" t="s">
        <v>140</v>
      </c>
      <c r="L229" t="s">
        <v>141</v>
      </c>
      <c r="M229">
        <v>1550</v>
      </c>
      <c r="N229" t="s">
        <v>142</v>
      </c>
      <c r="O229" t="s">
        <v>11</v>
      </c>
      <c r="P229" t="s">
        <v>143</v>
      </c>
      <c r="Q229" t="s">
        <v>3492</v>
      </c>
      <c r="R229" t="s">
        <v>3577</v>
      </c>
      <c r="S229" t="s">
        <v>3667</v>
      </c>
      <c r="T229">
        <v>1</v>
      </c>
      <c r="U229">
        <v>2</v>
      </c>
      <c r="V229">
        <v>1</v>
      </c>
      <c r="W229">
        <v>1</v>
      </c>
      <c r="X229">
        <v>0</v>
      </c>
      <c r="Y229" t="s">
        <v>144</v>
      </c>
      <c r="Z229" t="s">
        <v>1103</v>
      </c>
      <c r="AA229" t="s">
        <v>7</v>
      </c>
      <c r="AB229" t="s">
        <v>8</v>
      </c>
      <c r="AC229" s="3">
        <f>T229*'Settings &amp; Rates'!$B$5+U229*'Settings &amp; Rates'!$B$6+V229*'Settings &amp; Rates'!$B$7+W229*'Settings &amp; Rates'!$B$8+X229*'Settings &amp; Rates'!$B$9</f>
        <v>55</v>
      </c>
      <c r="AD229" s="3">
        <f>SUMIF('Attempt Log'!$B$2:$B$101,A229,'Attempt Log'!$K$2:$K$101)</f>
        <v>0</v>
      </c>
      <c r="AE229" s="3">
        <f t="shared" si="3"/>
        <v>-55</v>
      </c>
      <c r="AF229">
        <f>COUNTIF('Attempt Log'!$B$2:$B$101,A229)</f>
        <v>0</v>
      </c>
      <c r="AG229">
        <f>IFERROR(SUMIFS('Attempt Log'!$U$2:$U$101,'Attempt Log'!$B$2:$B$101,A229,'Attempt Log'!$N$2:$N$101,"Yes")/COUNTIFS('Attempt Log'!$B$2:$B$101,A229,'Attempt Log'!$N$2:$N$101,"Yes"),0)</f>
        <v>0</v>
      </c>
    </row>
    <row r="230" spans="1:33">
      <c r="A230" t="s">
        <v>1129</v>
      </c>
      <c r="B230" t="s">
        <v>1130</v>
      </c>
      <c r="C230" t="s">
        <v>1131</v>
      </c>
      <c r="D230" t="s">
        <v>137</v>
      </c>
      <c r="E230" t="s">
        <v>138</v>
      </c>
      <c r="F230" t="s">
        <v>138</v>
      </c>
      <c r="G230" t="s">
        <v>139</v>
      </c>
      <c r="H230" t="s">
        <v>1101</v>
      </c>
      <c r="I230" t="s">
        <v>391</v>
      </c>
      <c r="J230" t="s">
        <v>1122</v>
      </c>
      <c r="K230" t="s">
        <v>140</v>
      </c>
      <c r="L230" t="s">
        <v>141</v>
      </c>
      <c r="M230">
        <v>1650</v>
      </c>
      <c r="N230" t="s">
        <v>142</v>
      </c>
      <c r="O230" t="s">
        <v>11</v>
      </c>
      <c r="P230" t="s">
        <v>143</v>
      </c>
      <c r="Q230" t="s">
        <v>3497</v>
      </c>
      <c r="R230" t="s">
        <v>3582</v>
      </c>
      <c r="S230" t="s">
        <v>3672</v>
      </c>
      <c r="T230">
        <v>1</v>
      </c>
      <c r="U230">
        <v>2</v>
      </c>
      <c r="V230">
        <v>1</v>
      </c>
      <c r="W230">
        <v>1</v>
      </c>
      <c r="X230">
        <v>0</v>
      </c>
      <c r="Y230" t="s">
        <v>144</v>
      </c>
      <c r="Z230" t="s">
        <v>1103</v>
      </c>
      <c r="AA230" t="s">
        <v>7</v>
      </c>
      <c r="AB230" t="s">
        <v>8</v>
      </c>
      <c r="AC230" s="3">
        <f>T230*'Settings &amp; Rates'!$B$5+U230*'Settings &amp; Rates'!$B$6+V230*'Settings &amp; Rates'!$B$7+W230*'Settings &amp; Rates'!$B$8+X230*'Settings &amp; Rates'!$B$9</f>
        <v>55</v>
      </c>
      <c r="AD230" s="3">
        <f>SUMIF('Attempt Log'!$B$2:$B$101,A230,'Attempt Log'!$K$2:$K$101)</f>
        <v>0</v>
      </c>
      <c r="AE230" s="3">
        <f t="shared" si="3"/>
        <v>-55</v>
      </c>
      <c r="AF230">
        <f>COUNTIF('Attempt Log'!$B$2:$B$101,A230)</f>
        <v>0</v>
      </c>
      <c r="AG230">
        <f>IFERROR(SUMIFS('Attempt Log'!$U$2:$U$101,'Attempt Log'!$B$2:$B$101,A230,'Attempt Log'!$N$2:$N$101,"Yes")/COUNTIFS('Attempt Log'!$B$2:$B$101,A230,'Attempt Log'!$N$2:$N$101,"Yes"),0)</f>
        <v>0</v>
      </c>
    </row>
    <row r="231" spans="1:33">
      <c r="A231" t="s">
        <v>1132</v>
      </c>
      <c r="B231" t="s">
        <v>1133</v>
      </c>
      <c r="C231" t="s">
        <v>1134</v>
      </c>
      <c r="D231" t="s">
        <v>137</v>
      </c>
      <c r="E231" t="s">
        <v>138</v>
      </c>
      <c r="F231" t="s">
        <v>138</v>
      </c>
      <c r="G231" t="s">
        <v>139</v>
      </c>
      <c r="H231" t="s">
        <v>1101</v>
      </c>
      <c r="I231" t="s">
        <v>391</v>
      </c>
      <c r="J231" t="s">
        <v>1122</v>
      </c>
      <c r="K231" t="s">
        <v>140</v>
      </c>
      <c r="L231" t="s">
        <v>141</v>
      </c>
      <c r="M231">
        <v>700</v>
      </c>
      <c r="N231" t="s">
        <v>142</v>
      </c>
      <c r="O231" t="s">
        <v>11</v>
      </c>
      <c r="P231" t="s">
        <v>143</v>
      </c>
      <c r="Q231" t="s">
        <v>3500</v>
      </c>
      <c r="R231" t="s">
        <v>3585</v>
      </c>
      <c r="S231" t="s">
        <v>3675</v>
      </c>
      <c r="T231">
        <v>1</v>
      </c>
      <c r="U231">
        <v>2</v>
      </c>
      <c r="V231">
        <v>1</v>
      </c>
      <c r="W231">
        <v>1</v>
      </c>
      <c r="X231">
        <v>0</v>
      </c>
      <c r="Y231" t="s">
        <v>144</v>
      </c>
      <c r="Z231" t="s">
        <v>1103</v>
      </c>
      <c r="AA231" t="s">
        <v>7</v>
      </c>
      <c r="AB231" t="s">
        <v>8</v>
      </c>
      <c r="AC231" s="3">
        <f>T231*'Settings &amp; Rates'!$B$5+U231*'Settings &amp; Rates'!$B$6+V231*'Settings &amp; Rates'!$B$7+W231*'Settings &amp; Rates'!$B$8+X231*'Settings &amp; Rates'!$B$9</f>
        <v>55</v>
      </c>
      <c r="AD231" s="3">
        <f>SUMIF('Attempt Log'!$B$2:$B$101,A231,'Attempt Log'!$K$2:$K$101)</f>
        <v>0</v>
      </c>
      <c r="AE231" s="3">
        <f t="shared" si="3"/>
        <v>-55</v>
      </c>
      <c r="AF231">
        <f>COUNTIF('Attempt Log'!$B$2:$B$101,A231)</f>
        <v>0</v>
      </c>
      <c r="AG231">
        <f>IFERROR(SUMIFS('Attempt Log'!$U$2:$U$101,'Attempt Log'!$B$2:$B$101,A231,'Attempt Log'!$N$2:$N$101,"Yes")/COUNTIFS('Attempt Log'!$B$2:$B$101,A231,'Attempt Log'!$N$2:$N$101,"Yes"),0)</f>
        <v>0</v>
      </c>
    </row>
    <row r="232" spans="1:33">
      <c r="A232" t="s">
        <v>1135</v>
      </c>
      <c r="B232" t="s">
        <v>1136</v>
      </c>
      <c r="C232" t="s">
        <v>1137</v>
      </c>
      <c r="D232" t="s">
        <v>137</v>
      </c>
      <c r="E232" t="s">
        <v>138</v>
      </c>
      <c r="F232" t="s">
        <v>138</v>
      </c>
      <c r="G232" t="s">
        <v>139</v>
      </c>
      <c r="H232" t="s">
        <v>1101</v>
      </c>
      <c r="I232" t="s">
        <v>391</v>
      </c>
      <c r="J232" t="s">
        <v>1122</v>
      </c>
      <c r="K232" t="s">
        <v>140</v>
      </c>
      <c r="L232" t="s">
        <v>141</v>
      </c>
      <c r="M232">
        <v>550</v>
      </c>
      <c r="N232" t="s">
        <v>142</v>
      </c>
      <c r="O232" t="s">
        <v>11</v>
      </c>
      <c r="P232" t="s">
        <v>143</v>
      </c>
      <c r="Q232" t="s">
        <v>3501</v>
      </c>
      <c r="R232" t="s">
        <v>3586</v>
      </c>
      <c r="S232" t="s">
        <v>3676</v>
      </c>
      <c r="T232">
        <v>1</v>
      </c>
      <c r="U232">
        <v>2</v>
      </c>
      <c r="V232">
        <v>1</v>
      </c>
      <c r="W232">
        <v>1</v>
      </c>
      <c r="X232">
        <v>0</v>
      </c>
      <c r="Y232" t="s">
        <v>144</v>
      </c>
      <c r="Z232" t="s">
        <v>1103</v>
      </c>
      <c r="AA232" t="s">
        <v>7</v>
      </c>
      <c r="AB232" t="s">
        <v>8</v>
      </c>
      <c r="AC232" s="3">
        <f>T232*'Settings &amp; Rates'!$B$5+U232*'Settings &amp; Rates'!$B$6+V232*'Settings &amp; Rates'!$B$7+W232*'Settings &amp; Rates'!$B$8+X232*'Settings &amp; Rates'!$B$9</f>
        <v>55</v>
      </c>
      <c r="AD232" s="3">
        <f>SUMIF('Attempt Log'!$B$2:$B$101,A232,'Attempt Log'!$K$2:$K$101)</f>
        <v>0</v>
      </c>
      <c r="AE232" s="3">
        <f t="shared" si="3"/>
        <v>-55</v>
      </c>
      <c r="AF232">
        <f>COUNTIF('Attempt Log'!$B$2:$B$101,A232)</f>
        <v>0</v>
      </c>
      <c r="AG232">
        <f>IFERROR(SUMIFS('Attempt Log'!$U$2:$U$101,'Attempt Log'!$B$2:$B$101,A232,'Attempt Log'!$N$2:$N$101,"Yes")/COUNTIFS('Attempt Log'!$B$2:$B$101,A232,'Attempt Log'!$N$2:$N$101,"Yes"),0)</f>
        <v>0</v>
      </c>
    </row>
    <row r="233" spans="1:33">
      <c r="A233" t="s">
        <v>1138</v>
      </c>
      <c r="B233" t="s">
        <v>1139</v>
      </c>
      <c r="C233" t="s">
        <v>1140</v>
      </c>
      <c r="D233" t="s">
        <v>137</v>
      </c>
      <c r="E233" t="s">
        <v>138</v>
      </c>
      <c r="F233" t="s">
        <v>138</v>
      </c>
      <c r="G233" t="s">
        <v>1073</v>
      </c>
      <c r="H233" t="s">
        <v>1101</v>
      </c>
      <c r="I233" t="s">
        <v>391</v>
      </c>
      <c r="J233" t="s">
        <v>1122</v>
      </c>
      <c r="K233" t="s">
        <v>129</v>
      </c>
      <c r="L233" t="s">
        <v>17</v>
      </c>
      <c r="M233">
        <v>5250</v>
      </c>
      <c r="N233" t="s">
        <v>142</v>
      </c>
      <c r="O233" t="s">
        <v>11</v>
      </c>
      <c r="P233" t="s">
        <v>143</v>
      </c>
      <c r="Q233" t="s">
        <v>3502</v>
      </c>
      <c r="R233" t="s">
        <v>3587</v>
      </c>
      <c r="S233" t="s">
        <v>3677</v>
      </c>
      <c r="T233">
        <v>2</v>
      </c>
      <c r="U233">
        <v>2</v>
      </c>
      <c r="V233">
        <v>1</v>
      </c>
      <c r="W233">
        <v>1</v>
      </c>
      <c r="X233">
        <v>0</v>
      </c>
      <c r="Y233" t="s">
        <v>144</v>
      </c>
      <c r="Z233" t="s">
        <v>1103</v>
      </c>
      <c r="AA233" t="s">
        <v>7</v>
      </c>
      <c r="AB233" t="s">
        <v>8</v>
      </c>
      <c r="AC233" s="3">
        <f>T233*'Settings &amp; Rates'!$B$5+U233*'Settings &amp; Rates'!$B$6+V233*'Settings &amp; Rates'!$B$7+W233*'Settings &amp; Rates'!$B$8+X233*'Settings &amp; Rates'!$B$9</f>
        <v>55</v>
      </c>
      <c r="AD233" s="3">
        <f>SUMIF('Attempt Log'!$B$2:$B$101,A233,'Attempt Log'!$K$2:$K$101)</f>
        <v>0</v>
      </c>
      <c r="AE233" s="3">
        <f t="shared" si="3"/>
        <v>-55</v>
      </c>
      <c r="AF233">
        <f>COUNTIF('Attempt Log'!$B$2:$B$101,A233)</f>
        <v>0</v>
      </c>
      <c r="AG233">
        <f>IFERROR(SUMIFS('Attempt Log'!$U$2:$U$101,'Attempt Log'!$B$2:$B$101,A233,'Attempt Log'!$N$2:$N$101,"Yes")/COUNTIFS('Attempt Log'!$B$2:$B$101,A233,'Attempt Log'!$N$2:$N$101,"Yes"),0)</f>
        <v>0</v>
      </c>
    </row>
    <row r="234" spans="1:33">
      <c r="A234" t="s">
        <v>1141</v>
      </c>
      <c r="B234" t="s">
        <v>1142</v>
      </c>
      <c r="C234" t="s">
        <v>1143</v>
      </c>
      <c r="D234" t="s">
        <v>137</v>
      </c>
      <c r="E234" t="s">
        <v>138</v>
      </c>
      <c r="F234" t="s">
        <v>138</v>
      </c>
      <c r="G234" t="s">
        <v>139</v>
      </c>
      <c r="H234" t="s">
        <v>1101</v>
      </c>
      <c r="I234" t="s">
        <v>391</v>
      </c>
      <c r="J234" t="s">
        <v>1122</v>
      </c>
      <c r="K234" t="s">
        <v>140</v>
      </c>
      <c r="L234" t="s">
        <v>141</v>
      </c>
      <c r="M234">
        <v>950</v>
      </c>
      <c r="N234" t="s">
        <v>142</v>
      </c>
      <c r="O234" t="s">
        <v>11</v>
      </c>
      <c r="P234" t="s">
        <v>143</v>
      </c>
      <c r="Q234" t="s">
        <v>3503</v>
      </c>
      <c r="R234" t="s">
        <v>3588</v>
      </c>
      <c r="S234" t="s">
        <v>3678</v>
      </c>
      <c r="T234">
        <v>1</v>
      </c>
      <c r="U234">
        <v>2</v>
      </c>
      <c r="V234">
        <v>1</v>
      </c>
      <c r="W234">
        <v>1</v>
      </c>
      <c r="X234">
        <v>0</v>
      </c>
      <c r="Y234" t="s">
        <v>144</v>
      </c>
      <c r="Z234" t="s">
        <v>1103</v>
      </c>
      <c r="AA234" t="s">
        <v>7</v>
      </c>
      <c r="AB234" t="s">
        <v>8</v>
      </c>
      <c r="AC234" s="3">
        <f>T234*'Settings &amp; Rates'!$B$5+U234*'Settings &amp; Rates'!$B$6+V234*'Settings &amp; Rates'!$B$7+W234*'Settings &amp; Rates'!$B$8+X234*'Settings &amp; Rates'!$B$9</f>
        <v>55</v>
      </c>
      <c r="AD234" s="3">
        <f>SUMIF('Attempt Log'!$B$2:$B$101,A234,'Attempt Log'!$K$2:$K$101)</f>
        <v>0</v>
      </c>
      <c r="AE234" s="3">
        <f t="shared" si="3"/>
        <v>-55</v>
      </c>
      <c r="AF234">
        <f>COUNTIF('Attempt Log'!$B$2:$B$101,A234)</f>
        <v>0</v>
      </c>
      <c r="AG234">
        <f>IFERROR(SUMIFS('Attempt Log'!$U$2:$U$101,'Attempt Log'!$B$2:$B$101,A234,'Attempt Log'!$N$2:$N$101,"Yes")/COUNTIFS('Attempt Log'!$B$2:$B$101,A234,'Attempt Log'!$N$2:$N$101,"Yes"),0)</f>
        <v>0</v>
      </c>
    </row>
    <row r="235" spans="1:33">
      <c r="A235" t="s">
        <v>1144</v>
      </c>
      <c r="B235" t="s">
        <v>1145</v>
      </c>
      <c r="C235" t="s">
        <v>1146</v>
      </c>
      <c r="D235" t="s">
        <v>137</v>
      </c>
      <c r="E235" t="s">
        <v>138</v>
      </c>
      <c r="F235" t="s">
        <v>138</v>
      </c>
      <c r="G235" t="s">
        <v>1073</v>
      </c>
      <c r="H235" t="s">
        <v>1101</v>
      </c>
      <c r="I235" t="s">
        <v>391</v>
      </c>
      <c r="J235" t="s">
        <v>1122</v>
      </c>
      <c r="K235" t="s">
        <v>129</v>
      </c>
      <c r="L235" t="s">
        <v>17</v>
      </c>
      <c r="M235">
        <v>4500</v>
      </c>
      <c r="N235" t="s">
        <v>142</v>
      </c>
      <c r="O235" t="s">
        <v>11</v>
      </c>
      <c r="P235" t="s">
        <v>143</v>
      </c>
      <c r="Q235" t="s">
        <v>3504</v>
      </c>
      <c r="R235" t="s">
        <v>3589</v>
      </c>
      <c r="S235" t="s">
        <v>3679</v>
      </c>
      <c r="T235">
        <v>2</v>
      </c>
      <c r="U235">
        <v>2</v>
      </c>
      <c r="V235">
        <v>1</v>
      </c>
      <c r="W235">
        <v>1</v>
      </c>
      <c r="X235">
        <v>0</v>
      </c>
      <c r="Y235" t="s">
        <v>144</v>
      </c>
      <c r="Z235" t="s">
        <v>1103</v>
      </c>
      <c r="AA235" t="s">
        <v>7</v>
      </c>
      <c r="AB235" t="s">
        <v>8</v>
      </c>
      <c r="AC235" s="3">
        <f>T235*'Settings &amp; Rates'!$B$5+U235*'Settings &amp; Rates'!$B$6+V235*'Settings &amp; Rates'!$B$7+W235*'Settings &amp; Rates'!$B$8+X235*'Settings &amp; Rates'!$B$9</f>
        <v>55</v>
      </c>
      <c r="AD235" s="3">
        <f>SUMIF('Attempt Log'!$B$2:$B$101,A235,'Attempt Log'!$K$2:$K$101)</f>
        <v>0</v>
      </c>
      <c r="AE235" s="3">
        <f t="shared" si="3"/>
        <v>-55</v>
      </c>
      <c r="AF235">
        <f>COUNTIF('Attempt Log'!$B$2:$B$101,A235)</f>
        <v>0</v>
      </c>
      <c r="AG235">
        <f>IFERROR(SUMIFS('Attempt Log'!$U$2:$U$101,'Attempt Log'!$B$2:$B$101,A235,'Attempt Log'!$N$2:$N$101,"Yes")/COUNTIFS('Attempt Log'!$B$2:$B$101,A235,'Attempt Log'!$N$2:$N$101,"Yes"),0)</f>
        <v>0</v>
      </c>
    </row>
    <row r="236" spans="1:33">
      <c r="A236" t="s">
        <v>1147</v>
      </c>
      <c r="B236" t="s">
        <v>1148</v>
      </c>
      <c r="C236" t="s">
        <v>1149</v>
      </c>
      <c r="D236" t="s">
        <v>137</v>
      </c>
      <c r="E236" t="s">
        <v>138</v>
      </c>
      <c r="F236" t="s">
        <v>138</v>
      </c>
      <c r="G236" t="s">
        <v>139</v>
      </c>
      <c r="H236" t="s">
        <v>1101</v>
      </c>
      <c r="I236" t="s">
        <v>391</v>
      </c>
      <c r="J236" t="s">
        <v>1122</v>
      </c>
      <c r="K236" t="s">
        <v>140</v>
      </c>
      <c r="L236" t="s">
        <v>141</v>
      </c>
      <c r="M236">
        <v>1800</v>
      </c>
      <c r="N236" t="s">
        <v>142</v>
      </c>
      <c r="O236" t="s">
        <v>11</v>
      </c>
      <c r="P236" t="s">
        <v>143</v>
      </c>
      <c r="Q236" t="s">
        <v>3505</v>
      </c>
      <c r="R236" t="s">
        <v>3590</v>
      </c>
      <c r="S236" t="s">
        <v>3680</v>
      </c>
      <c r="T236">
        <v>1</v>
      </c>
      <c r="U236">
        <v>2</v>
      </c>
      <c r="V236">
        <v>1</v>
      </c>
      <c r="W236">
        <v>1</v>
      </c>
      <c r="X236">
        <v>0</v>
      </c>
      <c r="Y236" t="s">
        <v>144</v>
      </c>
      <c r="Z236" t="s">
        <v>1103</v>
      </c>
      <c r="AA236" t="s">
        <v>7</v>
      </c>
      <c r="AB236" t="s">
        <v>8</v>
      </c>
      <c r="AC236" s="3">
        <f>T236*'Settings &amp; Rates'!$B$5+U236*'Settings &amp; Rates'!$B$6+V236*'Settings &amp; Rates'!$B$7+W236*'Settings &amp; Rates'!$B$8+X236*'Settings &amp; Rates'!$B$9</f>
        <v>55</v>
      </c>
      <c r="AD236" s="3">
        <f>SUMIF('Attempt Log'!$B$2:$B$101,A236,'Attempt Log'!$K$2:$K$101)</f>
        <v>0</v>
      </c>
      <c r="AE236" s="3">
        <f t="shared" si="3"/>
        <v>-55</v>
      </c>
      <c r="AF236">
        <f>COUNTIF('Attempt Log'!$B$2:$B$101,A236)</f>
        <v>0</v>
      </c>
      <c r="AG236">
        <f>IFERROR(SUMIFS('Attempt Log'!$U$2:$U$101,'Attempt Log'!$B$2:$B$101,A236,'Attempt Log'!$N$2:$N$101,"Yes")/COUNTIFS('Attempt Log'!$B$2:$B$101,A236,'Attempt Log'!$N$2:$N$101,"Yes"),0)</f>
        <v>0</v>
      </c>
    </row>
    <row r="237" spans="1:33">
      <c r="A237" t="s">
        <v>1150</v>
      </c>
      <c r="B237" t="s">
        <v>1151</v>
      </c>
      <c r="C237" t="s">
        <v>1152</v>
      </c>
      <c r="D237" t="s">
        <v>137</v>
      </c>
      <c r="E237" t="s">
        <v>138</v>
      </c>
      <c r="F237" t="s">
        <v>138</v>
      </c>
      <c r="G237" t="s">
        <v>1073</v>
      </c>
      <c r="H237" t="s">
        <v>1101</v>
      </c>
      <c r="I237" t="s">
        <v>391</v>
      </c>
      <c r="J237" t="s">
        <v>1122</v>
      </c>
      <c r="K237" t="s">
        <v>129</v>
      </c>
      <c r="L237" t="s">
        <v>17</v>
      </c>
      <c r="M237">
        <v>3150</v>
      </c>
      <c r="N237" t="s">
        <v>142</v>
      </c>
      <c r="O237" t="s">
        <v>11</v>
      </c>
      <c r="P237" t="s">
        <v>143</v>
      </c>
      <c r="Q237" t="s">
        <v>3506</v>
      </c>
      <c r="R237" t="s">
        <v>3591</v>
      </c>
      <c r="S237" t="s">
        <v>3681</v>
      </c>
      <c r="T237">
        <v>2</v>
      </c>
      <c r="U237">
        <v>2</v>
      </c>
      <c r="V237">
        <v>1</v>
      </c>
      <c r="W237">
        <v>1</v>
      </c>
      <c r="X237">
        <v>0</v>
      </c>
      <c r="Y237" t="s">
        <v>144</v>
      </c>
      <c r="Z237" t="s">
        <v>1103</v>
      </c>
      <c r="AA237" t="s">
        <v>7</v>
      </c>
      <c r="AB237" t="s">
        <v>8</v>
      </c>
      <c r="AC237" s="3">
        <f>T237*'Settings &amp; Rates'!$B$5+U237*'Settings &amp; Rates'!$B$6+V237*'Settings &amp; Rates'!$B$7+W237*'Settings &amp; Rates'!$B$8+X237*'Settings &amp; Rates'!$B$9</f>
        <v>55</v>
      </c>
      <c r="AD237" s="3">
        <f>SUMIF('Attempt Log'!$B$2:$B$101,A237,'Attempt Log'!$K$2:$K$101)</f>
        <v>0</v>
      </c>
      <c r="AE237" s="3">
        <f t="shared" si="3"/>
        <v>-55</v>
      </c>
      <c r="AF237">
        <f>COUNTIF('Attempt Log'!$B$2:$B$101,A237)</f>
        <v>0</v>
      </c>
      <c r="AG237">
        <f>IFERROR(SUMIFS('Attempt Log'!$U$2:$U$101,'Attempt Log'!$B$2:$B$101,A237,'Attempt Log'!$N$2:$N$101,"Yes")/COUNTIFS('Attempt Log'!$B$2:$B$101,A237,'Attempt Log'!$N$2:$N$101,"Yes"),0)</f>
        <v>0</v>
      </c>
    </row>
    <row r="238" spans="1:33">
      <c r="A238" t="s">
        <v>1153</v>
      </c>
      <c r="B238" t="s">
        <v>1154</v>
      </c>
      <c r="C238" t="s">
        <v>1155</v>
      </c>
      <c r="D238" t="s">
        <v>137</v>
      </c>
      <c r="E238" t="s">
        <v>138</v>
      </c>
      <c r="F238" t="s">
        <v>138</v>
      </c>
      <c r="G238" t="s">
        <v>139</v>
      </c>
      <c r="H238" t="s">
        <v>1101</v>
      </c>
      <c r="I238" t="s">
        <v>391</v>
      </c>
      <c r="J238" t="s">
        <v>1122</v>
      </c>
      <c r="K238" t="s">
        <v>140</v>
      </c>
      <c r="L238" t="s">
        <v>141</v>
      </c>
      <c r="M238">
        <v>2100</v>
      </c>
      <c r="N238" t="s">
        <v>142</v>
      </c>
      <c r="O238" t="s">
        <v>11</v>
      </c>
      <c r="P238" t="s">
        <v>143</v>
      </c>
      <c r="Q238" t="s">
        <v>3507</v>
      </c>
      <c r="R238" t="s">
        <v>3592</v>
      </c>
      <c r="S238" t="s">
        <v>3682</v>
      </c>
      <c r="T238">
        <v>1</v>
      </c>
      <c r="U238">
        <v>2</v>
      </c>
      <c r="V238">
        <v>1</v>
      </c>
      <c r="W238">
        <v>1</v>
      </c>
      <c r="X238">
        <v>0</v>
      </c>
      <c r="Y238" t="s">
        <v>144</v>
      </c>
      <c r="Z238" t="s">
        <v>1103</v>
      </c>
      <c r="AA238" t="s">
        <v>7</v>
      </c>
      <c r="AB238" t="s">
        <v>8</v>
      </c>
      <c r="AC238" s="3">
        <f>T238*'Settings &amp; Rates'!$B$5+U238*'Settings &amp; Rates'!$B$6+V238*'Settings &amp; Rates'!$B$7+W238*'Settings &amp; Rates'!$B$8+X238*'Settings &amp; Rates'!$B$9</f>
        <v>55</v>
      </c>
      <c r="AD238" s="3">
        <f>SUMIF('Attempt Log'!$B$2:$B$101,A238,'Attempt Log'!$K$2:$K$101)</f>
        <v>0</v>
      </c>
      <c r="AE238" s="3">
        <f t="shared" si="3"/>
        <v>-55</v>
      </c>
      <c r="AF238">
        <f>COUNTIF('Attempt Log'!$B$2:$B$101,A238)</f>
        <v>0</v>
      </c>
      <c r="AG238">
        <f>IFERROR(SUMIFS('Attempt Log'!$U$2:$U$101,'Attempt Log'!$B$2:$B$101,A238,'Attempt Log'!$N$2:$N$101,"Yes")/COUNTIFS('Attempt Log'!$B$2:$B$101,A238,'Attempt Log'!$N$2:$N$101,"Yes"),0)</f>
        <v>0</v>
      </c>
    </row>
    <row r="239" spans="1:33">
      <c r="A239" t="s">
        <v>1156</v>
      </c>
      <c r="B239" t="s">
        <v>1157</v>
      </c>
      <c r="C239" t="s">
        <v>1158</v>
      </c>
      <c r="D239" t="s">
        <v>137</v>
      </c>
      <c r="E239" t="s">
        <v>138</v>
      </c>
      <c r="F239" t="s">
        <v>138</v>
      </c>
      <c r="G239" t="s">
        <v>139</v>
      </c>
      <c r="H239" t="s">
        <v>1101</v>
      </c>
      <c r="I239" t="s">
        <v>391</v>
      </c>
      <c r="J239" t="s">
        <v>1122</v>
      </c>
      <c r="K239" t="s">
        <v>140</v>
      </c>
      <c r="L239" t="s">
        <v>141</v>
      </c>
      <c r="M239">
        <v>1250</v>
      </c>
      <c r="N239" t="s">
        <v>142</v>
      </c>
      <c r="O239" t="s">
        <v>11</v>
      </c>
      <c r="P239" t="s">
        <v>143</v>
      </c>
      <c r="Q239" t="s">
        <v>3508</v>
      </c>
      <c r="R239" t="s">
        <v>3593</v>
      </c>
      <c r="S239" t="s">
        <v>3683</v>
      </c>
      <c r="T239">
        <v>1</v>
      </c>
      <c r="U239">
        <v>2</v>
      </c>
      <c r="V239">
        <v>1</v>
      </c>
      <c r="W239">
        <v>1</v>
      </c>
      <c r="X239">
        <v>0</v>
      </c>
      <c r="Y239" t="s">
        <v>144</v>
      </c>
      <c r="Z239" t="s">
        <v>1103</v>
      </c>
      <c r="AA239" t="s">
        <v>7</v>
      </c>
      <c r="AB239" t="s">
        <v>8</v>
      </c>
      <c r="AC239" s="3">
        <f>T239*'Settings &amp; Rates'!$B$5+U239*'Settings &amp; Rates'!$B$6+V239*'Settings &amp; Rates'!$B$7+W239*'Settings &amp; Rates'!$B$8+X239*'Settings &amp; Rates'!$B$9</f>
        <v>55</v>
      </c>
      <c r="AD239" s="3">
        <f>SUMIF('Attempt Log'!$B$2:$B$101,A239,'Attempt Log'!$K$2:$K$101)</f>
        <v>0</v>
      </c>
      <c r="AE239" s="3">
        <f t="shared" si="3"/>
        <v>-55</v>
      </c>
      <c r="AF239">
        <f>COUNTIF('Attempt Log'!$B$2:$B$101,A239)</f>
        <v>0</v>
      </c>
      <c r="AG239">
        <f>IFERROR(SUMIFS('Attempt Log'!$U$2:$U$101,'Attempt Log'!$B$2:$B$101,A239,'Attempt Log'!$N$2:$N$101,"Yes")/COUNTIFS('Attempt Log'!$B$2:$B$101,A239,'Attempt Log'!$N$2:$N$101,"Yes"),0)</f>
        <v>0</v>
      </c>
    </row>
    <row r="240" spans="1:33">
      <c r="A240" t="s">
        <v>1159</v>
      </c>
      <c r="B240" t="s">
        <v>1160</v>
      </c>
      <c r="C240" t="s">
        <v>1161</v>
      </c>
      <c r="D240" t="s">
        <v>137</v>
      </c>
      <c r="E240" t="s">
        <v>138</v>
      </c>
      <c r="F240" t="s">
        <v>138</v>
      </c>
      <c r="G240" t="s">
        <v>139</v>
      </c>
      <c r="H240" t="s">
        <v>1101</v>
      </c>
      <c r="I240" t="s">
        <v>391</v>
      </c>
      <c r="J240" t="s">
        <v>1122</v>
      </c>
      <c r="K240" t="s">
        <v>140</v>
      </c>
      <c r="L240" t="s">
        <v>141</v>
      </c>
      <c r="M240">
        <v>425</v>
      </c>
      <c r="N240" t="s">
        <v>142</v>
      </c>
      <c r="O240" t="s">
        <v>11</v>
      </c>
      <c r="P240" t="s">
        <v>143</v>
      </c>
      <c r="Q240" t="s">
        <v>3509</v>
      </c>
      <c r="R240" t="s">
        <v>3594</v>
      </c>
      <c r="S240" t="s">
        <v>3684</v>
      </c>
      <c r="T240">
        <v>1</v>
      </c>
      <c r="U240">
        <v>2</v>
      </c>
      <c r="V240">
        <v>1</v>
      </c>
      <c r="W240">
        <v>1</v>
      </c>
      <c r="X240">
        <v>0</v>
      </c>
      <c r="Y240" t="s">
        <v>144</v>
      </c>
      <c r="Z240" t="s">
        <v>1103</v>
      </c>
      <c r="AA240" t="s">
        <v>7</v>
      </c>
      <c r="AB240" t="s">
        <v>8</v>
      </c>
      <c r="AC240" s="3">
        <f>T240*'Settings &amp; Rates'!$B$5+U240*'Settings &amp; Rates'!$B$6+V240*'Settings &amp; Rates'!$B$7+W240*'Settings &amp; Rates'!$B$8+X240*'Settings &amp; Rates'!$B$9</f>
        <v>55</v>
      </c>
      <c r="AD240" s="3">
        <f>SUMIF('Attempt Log'!$B$2:$B$101,A240,'Attempt Log'!$K$2:$K$101)</f>
        <v>0</v>
      </c>
      <c r="AE240" s="3">
        <f t="shared" si="3"/>
        <v>-55</v>
      </c>
      <c r="AF240">
        <f>COUNTIF('Attempt Log'!$B$2:$B$101,A240)</f>
        <v>0</v>
      </c>
      <c r="AG240">
        <f>IFERROR(SUMIFS('Attempt Log'!$U$2:$U$101,'Attempt Log'!$B$2:$B$101,A240,'Attempt Log'!$N$2:$N$101,"Yes")/COUNTIFS('Attempt Log'!$B$2:$B$101,A240,'Attempt Log'!$N$2:$N$101,"Yes"),0)</f>
        <v>0</v>
      </c>
    </row>
    <row r="241" spans="1:33">
      <c r="A241" t="s">
        <v>1162</v>
      </c>
      <c r="B241" t="s">
        <v>1163</v>
      </c>
      <c r="C241" t="s">
        <v>1164</v>
      </c>
      <c r="D241" t="s">
        <v>137</v>
      </c>
      <c r="E241" t="s">
        <v>138</v>
      </c>
      <c r="F241" t="s">
        <v>138</v>
      </c>
      <c r="G241" t="s">
        <v>361</v>
      </c>
      <c r="H241" t="s">
        <v>1165</v>
      </c>
      <c r="I241" t="s">
        <v>391</v>
      </c>
      <c r="J241" t="s">
        <v>1166</v>
      </c>
      <c r="K241" t="s">
        <v>140</v>
      </c>
      <c r="L241" t="s">
        <v>141</v>
      </c>
      <c r="M241">
        <v>1250</v>
      </c>
      <c r="N241" t="s">
        <v>142</v>
      </c>
      <c r="O241" t="s">
        <v>11</v>
      </c>
      <c r="P241" t="s">
        <v>143</v>
      </c>
      <c r="Q241" t="s">
        <v>3470</v>
      </c>
      <c r="R241" t="s">
        <v>3555</v>
      </c>
      <c r="S241" t="s">
        <v>3645</v>
      </c>
      <c r="T241">
        <v>1</v>
      </c>
      <c r="U241">
        <v>2</v>
      </c>
      <c r="V241">
        <v>1</v>
      </c>
      <c r="W241">
        <v>1</v>
      </c>
      <c r="X241">
        <v>0</v>
      </c>
      <c r="Y241" t="s">
        <v>144</v>
      </c>
      <c r="Z241" t="s">
        <v>1167</v>
      </c>
      <c r="AA241" t="s">
        <v>7</v>
      </c>
      <c r="AB241" t="s">
        <v>8</v>
      </c>
      <c r="AC241" s="3">
        <f>T241*'Settings &amp; Rates'!$B$5+U241*'Settings &amp; Rates'!$B$6+V241*'Settings &amp; Rates'!$B$7+W241*'Settings &amp; Rates'!$B$8+X241*'Settings &amp; Rates'!$B$9</f>
        <v>55</v>
      </c>
      <c r="AD241" s="3">
        <f>SUMIF('Attempt Log'!$B$2:$B$101,A241,'Attempt Log'!$K$2:$K$101)</f>
        <v>0</v>
      </c>
      <c r="AE241" s="3">
        <f t="shared" si="3"/>
        <v>-55</v>
      </c>
      <c r="AF241">
        <f>COUNTIF('Attempt Log'!$B$2:$B$101,A241)</f>
        <v>0</v>
      </c>
      <c r="AG241">
        <f>IFERROR(SUMIFS('Attempt Log'!$U$2:$U$101,'Attempt Log'!$B$2:$B$101,A241,'Attempt Log'!$N$2:$N$101,"Yes")/COUNTIFS('Attempt Log'!$B$2:$B$101,A241,'Attempt Log'!$N$2:$N$101,"Yes"),0)</f>
        <v>0</v>
      </c>
    </row>
    <row r="242" spans="1:33">
      <c r="A242" t="s">
        <v>1168</v>
      </c>
      <c r="B242" t="s">
        <v>1169</v>
      </c>
      <c r="C242" t="s">
        <v>1170</v>
      </c>
      <c r="D242" t="s">
        <v>137</v>
      </c>
      <c r="E242" t="s">
        <v>138</v>
      </c>
      <c r="F242" t="s">
        <v>138</v>
      </c>
      <c r="G242" t="s">
        <v>369</v>
      </c>
      <c r="H242" t="s">
        <v>1165</v>
      </c>
      <c r="I242" t="s">
        <v>391</v>
      </c>
      <c r="J242" t="s">
        <v>1166</v>
      </c>
      <c r="K242" t="s">
        <v>129</v>
      </c>
      <c r="L242" t="s">
        <v>17</v>
      </c>
      <c r="M242">
        <v>2400</v>
      </c>
      <c r="N242" t="s">
        <v>142</v>
      </c>
      <c r="O242" t="s">
        <v>11</v>
      </c>
      <c r="P242" t="s">
        <v>143</v>
      </c>
      <c r="Q242" t="s">
        <v>3473</v>
      </c>
      <c r="R242" t="s">
        <v>3558</v>
      </c>
      <c r="S242" t="s">
        <v>3648</v>
      </c>
      <c r="T242">
        <v>2</v>
      </c>
      <c r="U242">
        <v>2</v>
      </c>
      <c r="V242">
        <v>1</v>
      </c>
      <c r="W242">
        <v>1</v>
      </c>
      <c r="X242">
        <v>0</v>
      </c>
      <c r="Y242" t="s">
        <v>144</v>
      </c>
      <c r="Z242" t="s">
        <v>1167</v>
      </c>
      <c r="AA242" t="s">
        <v>7</v>
      </c>
      <c r="AB242" t="s">
        <v>8</v>
      </c>
      <c r="AC242" s="3">
        <f>T242*'Settings &amp; Rates'!$B$5+U242*'Settings &amp; Rates'!$B$6+V242*'Settings &amp; Rates'!$B$7+W242*'Settings &amp; Rates'!$B$8+X242*'Settings &amp; Rates'!$B$9</f>
        <v>55</v>
      </c>
      <c r="AD242" s="3">
        <f>SUMIF('Attempt Log'!$B$2:$B$101,A242,'Attempt Log'!$K$2:$K$101)</f>
        <v>0</v>
      </c>
      <c r="AE242" s="3">
        <f t="shared" si="3"/>
        <v>-55</v>
      </c>
      <c r="AF242">
        <f>COUNTIF('Attempt Log'!$B$2:$B$101,A242)</f>
        <v>0</v>
      </c>
      <c r="AG242">
        <f>IFERROR(SUMIFS('Attempt Log'!$U$2:$U$101,'Attempt Log'!$B$2:$B$101,A242,'Attempt Log'!$N$2:$N$101,"Yes")/COUNTIFS('Attempt Log'!$B$2:$B$101,A242,'Attempt Log'!$N$2:$N$101,"Yes"),0)</f>
        <v>0</v>
      </c>
    </row>
    <row r="243" spans="1:33">
      <c r="A243" t="s">
        <v>1171</v>
      </c>
      <c r="B243" t="s">
        <v>1172</v>
      </c>
      <c r="C243" t="s">
        <v>1173</v>
      </c>
      <c r="D243" t="s">
        <v>137</v>
      </c>
      <c r="E243" t="s">
        <v>138</v>
      </c>
      <c r="F243" t="s">
        <v>138</v>
      </c>
      <c r="G243" t="s">
        <v>369</v>
      </c>
      <c r="H243" t="s">
        <v>1165</v>
      </c>
      <c r="I243" t="s">
        <v>391</v>
      </c>
      <c r="J243" t="s">
        <v>1166</v>
      </c>
      <c r="K243" t="s">
        <v>129</v>
      </c>
      <c r="L243" t="s">
        <v>17</v>
      </c>
      <c r="M243">
        <v>2750</v>
      </c>
      <c r="N243" t="s">
        <v>142</v>
      </c>
      <c r="O243" t="s">
        <v>11</v>
      </c>
      <c r="P243" t="s">
        <v>143</v>
      </c>
      <c r="Q243" t="s">
        <v>3474</v>
      </c>
      <c r="R243" t="s">
        <v>3559</v>
      </c>
      <c r="S243" t="s">
        <v>3649</v>
      </c>
      <c r="T243">
        <v>2</v>
      </c>
      <c r="U243">
        <v>2</v>
      </c>
      <c r="V243">
        <v>1</v>
      </c>
      <c r="W243">
        <v>1</v>
      </c>
      <c r="X243">
        <v>0</v>
      </c>
      <c r="Y243" t="s">
        <v>144</v>
      </c>
      <c r="Z243" t="s">
        <v>1167</v>
      </c>
      <c r="AA243" t="s">
        <v>7</v>
      </c>
      <c r="AB243" t="s">
        <v>8</v>
      </c>
      <c r="AC243" s="3">
        <f>T243*'Settings &amp; Rates'!$B$5+U243*'Settings &amp; Rates'!$B$6+V243*'Settings &amp; Rates'!$B$7+W243*'Settings &amp; Rates'!$B$8+X243*'Settings &amp; Rates'!$B$9</f>
        <v>55</v>
      </c>
      <c r="AD243" s="3">
        <f>SUMIF('Attempt Log'!$B$2:$B$101,A243,'Attempt Log'!$K$2:$K$101)</f>
        <v>0</v>
      </c>
      <c r="AE243" s="3">
        <f t="shared" si="3"/>
        <v>-55</v>
      </c>
      <c r="AF243">
        <f>COUNTIF('Attempt Log'!$B$2:$B$101,A243)</f>
        <v>0</v>
      </c>
      <c r="AG243">
        <f>IFERROR(SUMIFS('Attempt Log'!$U$2:$U$101,'Attempt Log'!$B$2:$B$101,A243,'Attempt Log'!$N$2:$N$101,"Yes")/COUNTIFS('Attempt Log'!$B$2:$B$101,A243,'Attempt Log'!$N$2:$N$101,"Yes"),0)</f>
        <v>0</v>
      </c>
    </row>
    <row r="244" spans="1:33">
      <c r="A244" t="s">
        <v>1174</v>
      </c>
      <c r="B244" t="s">
        <v>1175</v>
      </c>
      <c r="C244" t="s">
        <v>1176</v>
      </c>
      <c r="D244" t="s">
        <v>137</v>
      </c>
      <c r="E244" t="s">
        <v>138</v>
      </c>
      <c r="F244" t="s">
        <v>138</v>
      </c>
      <c r="G244" t="s">
        <v>380</v>
      </c>
      <c r="H244" t="s">
        <v>1165</v>
      </c>
      <c r="I244" t="s">
        <v>391</v>
      </c>
      <c r="J244" t="s">
        <v>1166</v>
      </c>
      <c r="K244" t="s">
        <v>129</v>
      </c>
      <c r="L244" t="s">
        <v>17</v>
      </c>
      <c r="M244">
        <v>3250</v>
      </c>
      <c r="N244" t="s">
        <v>142</v>
      </c>
      <c r="O244" t="s">
        <v>11</v>
      </c>
      <c r="P244" t="s">
        <v>143</v>
      </c>
      <c r="Q244" t="s">
        <v>3484</v>
      </c>
      <c r="R244" t="s">
        <v>3569</v>
      </c>
      <c r="S244" t="s">
        <v>3659</v>
      </c>
      <c r="T244">
        <v>2</v>
      </c>
      <c r="U244">
        <v>2</v>
      </c>
      <c r="V244">
        <v>1</v>
      </c>
      <c r="W244">
        <v>1</v>
      </c>
      <c r="X244">
        <v>0</v>
      </c>
      <c r="Y244" t="s">
        <v>144</v>
      </c>
      <c r="Z244" t="s">
        <v>1167</v>
      </c>
      <c r="AA244" t="s">
        <v>7</v>
      </c>
      <c r="AB244" t="s">
        <v>8</v>
      </c>
      <c r="AC244" s="3">
        <f>T244*'Settings &amp; Rates'!$B$5+U244*'Settings &amp; Rates'!$B$6+V244*'Settings &amp; Rates'!$B$7+W244*'Settings &amp; Rates'!$B$8+X244*'Settings &amp; Rates'!$B$9</f>
        <v>55</v>
      </c>
      <c r="AD244" s="3">
        <f>SUMIF('Attempt Log'!$B$2:$B$101,A244,'Attempt Log'!$K$2:$K$101)</f>
        <v>0</v>
      </c>
      <c r="AE244" s="3">
        <f t="shared" si="3"/>
        <v>-55</v>
      </c>
      <c r="AF244">
        <f>COUNTIF('Attempt Log'!$B$2:$B$101,A244)</f>
        <v>0</v>
      </c>
      <c r="AG244">
        <f>IFERROR(SUMIFS('Attempt Log'!$U$2:$U$101,'Attempt Log'!$B$2:$B$101,A244,'Attempt Log'!$N$2:$N$101,"Yes")/COUNTIFS('Attempt Log'!$B$2:$B$101,A244,'Attempt Log'!$N$2:$N$101,"Yes"),0)</f>
        <v>0</v>
      </c>
    </row>
    <row r="245" spans="1:33">
      <c r="A245" t="s">
        <v>1177</v>
      </c>
      <c r="B245" t="s">
        <v>1178</v>
      </c>
      <c r="C245" t="s">
        <v>1179</v>
      </c>
      <c r="D245" t="s">
        <v>137</v>
      </c>
      <c r="E245" t="s">
        <v>138</v>
      </c>
      <c r="F245" t="s">
        <v>138</v>
      </c>
      <c r="G245" t="s">
        <v>380</v>
      </c>
      <c r="H245" t="s">
        <v>1165</v>
      </c>
      <c r="I245" t="s">
        <v>391</v>
      </c>
      <c r="J245" t="s">
        <v>1166</v>
      </c>
      <c r="K245" t="s">
        <v>129</v>
      </c>
      <c r="L245" t="s">
        <v>17</v>
      </c>
      <c r="M245">
        <v>2850</v>
      </c>
      <c r="N245" t="s">
        <v>142</v>
      </c>
      <c r="O245" t="s">
        <v>11</v>
      </c>
      <c r="P245" t="s">
        <v>143</v>
      </c>
      <c r="Q245" t="s">
        <v>3485</v>
      </c>
      <c r="R245" t="s">
        <v>3570</v>
      </c>
      <c r="S245" t="s">
        <v>3660</v>
      </c>
      <c r="T245">
        <v>2</v>
      </c>
      <c r="U245">
        <v>2</v>
      </c>
      <c r="V245">
        <v>1</v>
      </c>
      <c r="W245">
        <v>1</v>
      </c>
      <c r="X245">
        <v>0</v>
      </c>
      <c r="Y245" t="s">
        <v>144</v>
      </c>
      <c r="Z245" t="s">
        <v>1167</v>
      </c>
      <c r="AA245" t="s">
        <v>7</v>
      </c>
      <c r="AB245" t="s">
        <v>8</v>
      </c>
      <c r="AC245" s="3">
        <f>T245*'Settings &amp; Rates'!$B$5+U245*'Settings &amp; Rates'!$B$6+V245*'Settings &amp; Rates'!$B$7+W245*'Settings &amp; Rates'!$B$8+X245*'Settings &amp; Rates'!$B$9</f>
        <v>55</v>
      </c>
      <c r="AD245" s="3">
        <f>SUMIF('Attempt Log'!$B$2:$B$101,A245,'Attempt Log'!$K$2:$K$101)</f>
        <v>0</v>
      </c>
      <c r="AE245" s="3">
        <f t="shared" si="3"/>
        <v>-55</v>
      </c>
      <c r="AF245">
        <f>COUNTIF('Attempt Log'!$B$2:$B$101,A245)</f>
        <v>0</v>
      </c>
      <c r="AG245">
        <f>IFERROR(SUMIFS('Attempt Log'!$U$2:$U$101,'Attempt Log'!$B$2:$B$101,A245,'Attempt Log'!$N$2:$N$101,"Yes")/COUNTIFS('Attempt Log'!$B$2:$B$101,A245,'Attempt Log'!$N$2:$N$101,"Yes"),0)</f>
        <v>0</v>
      </c>
    </row>
    <row r="246" spans="1:33">
      <c r="A246" t="s">
        <v>1180</v>
      </c>
      <c r="B246" t="s">
        <v>1181</v>
      </c>
      <c r="C246" t="s">
        <v>1182</v>
      </c>
      <c r="D246" t="s">
        <v>137</v>
      </c>
      <c r="E246" t="s">
        <v>138</v>
      </c>
      <c r="F246" t="s">
        <v>138</v>
      </c>
      <c r="G246" t="s">
        <v>361</v>
      </c>
      <c r="H246" t="s">
        <v>1165</v>
      </c>
      <c r="I246" t="s">
        <v>391</v>
      </c>
      <c r="J246" t="s">
        <v>1166</v>
      </c>
      <c r="K246" t="s">
        <v>140</v>
      </c>
      <c r="L246" t="s">
        <v>141</v>
      </c>
      <c r="M246">
        <v>1400</v>
      </c>
      <c r="N246" t="s">
        <v>142</v>
      </c>
      <c r="O246" t="s">
        <v>11</v>
      </c>
      <c r="P246" t="s">
        <v>143</v>
      </c>
      <c r="Q246" t="s">
        <v>3486</v>
      </c>
      <c r="R246" t="s">
        <v>3571</v>
      </c>
      <c r="S246" t="s">
        <v>3661</v>
      </c>
      <c r="T246">
        <v>1</v>
      </c>
      <c r="U246">
        <v>2</v>
      </c>
      <c r="V246">
        <v>1</v>
      </c>
      <c r="W246">
        <v>1</v>
      </c>
      <c r="X246">
        <v>0</v>
      </c>
      <c r="Y246" t="s">
        <v>144</v>
      </c>
      <c r="Z246" t="s">
        <v>1167</v>
      </c>
      <c r="AA246" t="s">
        <v>7</v>
      </c>
      <c r="AB246" t="s">
        <v>8</v>
      </c>
      <c r="AC246" s="3">
        <f>T246*'Settings &amp; Rates'!$B$5+U246*'Settings &amp; Rates'!$B$6+V246*'Settings &amp; Rates'!$B$7+W246*'Settings &amp; Rates'!$B$8+X246*'Settings &amp; Rates'!$B$9</f>
        <v>55</v>
      </c>
      <c r="AD246" s="3">
        <f>SUMIF('Attempt Log'!$B$2:$B$101,A246,'Attempt Log'!$K$2:$K$101)</f>
        <v>0</v>
      </c>
      <c r="AE246" s="3">
        <f t="shared" si="3"/>
        <v>-55</v>
      </c>
      <c r="AF246">
        <f>COUNTIF('Attempt Log'!$B$2:$B$101,A246)</f>
        <v>0</v>
      </c>
      <c r="AG246">
        <f>IFERROR(SUMIFS('Attempt Log'!$U$2:$U$101,'Attempt Log'!$B$2:$B$101,A246,'Attempt Log'!$N$2:$N$101,"Yes")/COUNTIFS('Attempt Log'!$B$2:$B$101,A246,'Attempt Log'!$N$2:$N$101,"Yes"),0)</f>
        <v>0</v>
      </c>
    </row>
    <row r="247" spans="1:33">
      <c r="A247" t="s">
        <v>1183</v>
      </c>
      <c r="B247" t="s">
        <v>1184</v>
      </c>
      <c r="C247" t="s">
        <v>1185</v>
      </c>
      <c r="D247" t="s">
        <v>137</v>
      </c>
      <c r="E247" t="s">
        <v>138</v>
      </c>
      <c r="F247" t="s">
        <v>138</v>
      </c>
      <c r="G247" t="s">
        <v>361</v>
      </c>
      <c r="H247" t="s">
        <v>1165</v>
      </c>
      <c r="I247" t="s">
        <v>391</v>
      </c>
      <c r="J247" t="s">
        <v>1166</v>
      </c>
      <c r="K247" t="s">
        <v>140</v>
      </c>
      <c r="L247" t="s">
        <v>141</v>
      </c>
      <c r="M247">
        <v>1250</v>
      </c>
      <c r="N247" t="s">
        <v>142</v>
      </c>
      <c r="O247" t="s">
        <v>11</v>
      </c>
      <c r="P247" t="s">
        <v>143</v>
      </c>
      <c r="Q247" t="s">
        <v>3487</v>
      </c>
      <c r="R247" t="s">
        <v>3572</v>
      </c>
      <c r="S247" t="s">
        <v>3662</v>
      </c>
      <c r="T247">
        <v>1</v>
      </c>
      <c r="U247">
        <v>2</v>
      </c>
      <c r="V247">
        <v>1</v>
      </c>
      <c r="W247">
        <v>1</v>
      </c>
      <c r="X247">
        <v>0</v>
      </c>
      <c r="Y247" t="s">
        <v>144</v>
      </c>
      <c r="Z247" t="s">
        <v>1167</v>
      </c>
      <c r="AA247" t="s">
        <v>7</v>
      </c>
      <c r="AB247" t="s">
        <v>8</v>
      </c>
      <c r="AC247" s="3">
        <f>T247*'Settings &amp; Rates'!$B$5+U247*'Settings &amp; Rates'!$B$6+V247*'Settings &amp; Rates'!$B$7+W247*'Settings &amp; Rates'!$B$8+X247*'Settings &amp; Rates'!$B$9</f>
        <v>55</v>
      </c>
      <c r="AD247" s="3">
        <f>SUMIF('Attempt Log'!$B$2:$B$101,A247,'Attempt Log'!$K$2:$K$101)</f>
        <v>0</v>
      </c>
      <c r="AE247" s="3">
        <f t="shared" si="3"/>
        <v>-55</v>
      </c>
      <c r="AF247">
        <f>COUNTIF('Attempt Log'!$B$2:$B$101,A247)</f>
        <v>0</v>
      </c>
      <c r="AG247">
        <f>IFERROR(SUMIFS('Attempt Log'!$U$2:$U$101,'Attempt Log'!$B$2:$B$101,A247,'Attempt Log'!$N$2:$N$101,"Yes")/COUNTIFS('Attempt Log'!$B$2:$B$101,A247,'Attempt Log'!$N$2:$N$101,"Yes"),0)</f>
        <v>0</v>
      </c>
    </row>
    <row r="248" spans="1:33">
      <c r="A248" t="s">
        <v>1186</v>
      </c>
      <c r="B248" t="s">
        <v>1187</v>
      </c>
      <c r="C248" t="s">
        <v>1188</v>
      </c>
      <c r="D248" t="s">
        <v>137</v>
      </c>
      <c r="E248" t="s">
        <v>138</v>
      </c>
      <c r="F248" t="s">
        <v>138</v>
      </c>
      <c r="G248" t="s">
        <v>1189</v>
      </c>
      <c r="H248" t="s">
        <v>1165</v>
      </c>
      <c r="I248" t="s">
        <v>391</v>
      </c>
      <c r="J248" t="s">
        <v>1166</v>
      </c>
      <c r="K248" t="s">
        <v>129</v>
      </c>
      <c r="L248" t="s">
        <v>17</v>
      </c>
      <c r="M248">
        <v>2000</v>
      </c>
      <c r="N248" t="s">
        <v>142</v>
      </c>
      <c r="O248" t="s">
        <v>11</v>
      </c>
      <c r="P248" t="s">
        <v>143</v>
      </c>
      <c r="Q248" t="s">
        <v>3488</v>
      </c>
      <c r="R248" t="s">
        <v>3573</v>
      </c>
      <c r="S248" t="s">
        <v>3663</v>
      </c>
      <c r="T248">
        <v>2</v>
      </c>
      <c r="U248">
        <v>2</v>
      </c>
      <c r="V248">
        <v>1</v>
      </c>
      <c r="W248">
        <v>1</v>
      </c>
      <c r="X248">
        <v>0</v>
      </c>
      <c r="Y248" t="s">
        <v>144</v>
      </c>
      <c r="Z248" t="s">
        <v>1167</v>
      </c>
      <c r="AA248" t="s">
        <v>7</v>
      </c>
      <c r="AB248" t="s">
        <v>8</v>
      </c>
      <c r="AC248" s="3">
        <f>T248*'Settings &amp; Rates'!$B$5+U248*'Settings &amp; Rates'!$B$6+V248*'Settings &amp; Rates'!$B$7+W248*'Settings &amp; Rates'!$B$8+X248*'Settings &amp; Rates'!$B$9</f>
        <v>55</v>
      </c>
      <c r="AD248" s="3">
        <f>SUMIF('Attempt Log'!$B$2:$B$101,A248,'Attempt Log'!$K$2:$K$101)</f>
        <v>0</v>
      </c>
      <c r="AE248" s="3">
        <f t="shared" si="3"/>
        <v>-55</v>
      </c>
      <c r="AF248">
        <f>COUNTIF('Attempt Log'!$B$2:$B$101,A248)</f>
        <v>0</v>
      </c>
      <c r="AG248">
        <f>IFERROR(SUMIFS('Attempt Log'!$U$2:$U$101,'Attempt Log'!$B$2:$B$101,A248,'Attempt Log'!$N$2:$N$101,"Yes")/COUNTIFS('Attempt Log'!$B$2:$B$101,A248,'Attempt Log'!$N$2:$N$101,"Yes"),0)</f>
        <v>0</v>
      </c>
    </row>
    <row r="249" spans="1:33">
      <c r="A249" t="s">
        <v>1190</v>
      </c>
      <c r="B249" t="s">
        <v>1191</v>
      </c>
      <c r="C249" t="s">
        <v>1192</v>
      </c>
      <c r="D249" t="s">
        <v>137</v>
      </c>
      <c r="E249" t="s">
        <v>138</v>
      </c>
      <c r="F249" t="s">
        <v>138</v>
      </c>
      <c r="G249" t="s">
        <v>1073</v>
      </c>
      <c r="H249" t="s">
        <v>1165</v>
      </c>
      <c r="I249" t="s">
        <v>391</v>
      </c>
      <c r="J249" t="s">
        <v>1193</v>
      </c>
      <c r="K249" t="s">
        <v>129</v>
      </c>
      <c r="L249" t="s">
        <v>17</v>
      </c>
      <c r="M249">
        <v>6250</v>
      </c>
      <c r="N249" t="s">
        <v>142</v>
      </c>
      <c r="O249" t="s">
        <v>11</v>
      </c>
      <c r="P249" t="s">
        <v>143</v>
      </c>
      <c r="Q249" t="s">
        <v>3471</v>
      </c>
      <c r="R249" t="s">
        <v>3556</v>
      </c>
      <c r="S249" t="s">
        <v>3646</v>
      </c>
      <c r="T249">
        <v>2</v>
      </c>
      <c r="U249">
        <v>2</v>
      </c>
      <c r="V249">
        <v>1</v>
      </c>
      <c r="W249">
        <v>1</v>
      </c>
      <c r="X249">
        <v>0</v>
      </c>
      <c r="Y249" t="s">
        <v>144</v>
      </c>
      <c r="Z249" t="s">
        <v>1167</v>
      </c>
      <c r="AA249" t="s">
        <v>7</v>
      </c>
      <c r="AB249" t="s">
        <v>8</v>
      </c>
      <c r="AC249" s="3">
        <f>T249*'Settings &amp; Rates'!$B$5+U249*'Settings &amp; Rates'!$B$6+V249*'Settings &amp; Rates'!$B$7+W249*'Settings &amp; Rates'!$B$8+X249*'Settings &amp; Rates'!$B$9</f>
        <v>55</v>
      </c>
      <c r="AD249" s="3">
        <f>SUMIF('Attempt Log'!$B$2:$B$101,A249,'Attempt Log'!$K$2:$K$101)</f>
        <v>0</v>
      </c>
      <c r="AE249" s="3">
        <f t="shared" si="3"/>
        <v>-55</v>
      </c>
      <c r="AF249">
        <f>COUNTIF('Attempt Log'!$B$2:$B$101,A249)</f>
        <v>0</v>
      </c>
      <c r="AG249">
        <f>IFERROR(SUMIFS('Attempt Log'!$U$2:$U$101,'Attempt Log'!$B$2:$B$101,A249,'Attempt Log'!$N$2:$N$101,"Yes")/COUNTIFS('Attempt Log'!$B$2:$B$101,A249,'Attempt Log'!$N$2:$N$101,"Yes"),0)</f>
        <v>0</v>
      </c>
    </row>
    <row r="250" spans="1:33">
      <c r="A250" t="s">
        <v>1194</v>
      </c>
      <c r="B250" t="s">
        <v>1195</v>
      </c>
      <c r="C250" t="s">
        <v>1196</v>
      </c>
      <c r="D250" t="s">
        <v>137</v>
      </c>
      <c r="E250" t="s">
        <v>138</v>
      </c>
      <c r="F250" t="s">
        <v>138</v>
      </c>
      <c r="G250" t="s">
        <v>139</v>
      </c>
      <c r="H250" t="s">
        <v>1165</v>
      </c>
      <c r="I250" t="s">
        <v>391</v>
      </c>
      <c r="J250" t="s">
        <v>1193</v>
      </c>
      <c r="K250" t="s">
        <v>140</v>
      </c>
      <c r="L250" t="s">
        <v>141</v>
      </c>
      <c r="M250">
        <v>2100</v>
      </c>
      <c r="N250" t="s">
        <v>142</v>
      </c>
      <c r="O250" t="s">
        <v>11</v>
      </c>
      <c r="P250" t="s">
        <v>143</v>
      </c>
      <c r="Q250" t="s">
        <v>3472</v>
      </c>
      <c r="R250" t="s">
        <v>3557</v>
      </c>
      <c r="S250" t="s">
        <v>3647</v>
      </c>
      <c r="T250">
        <v>1</v>
      </c>
      <c r="U250">
        <v>2</v>
      </c>
      <c r="V250">
        <v>1</v>
      </c>
      <c r="W250">
        <v>1</v>
      </c>
      <c r="X250">
        <v>0</v>
      </c>
      <c r="Y250" t="s">
        <v>144</v>
      </c>
      <c r="Z250" t="s">
        <v>1167</v>
      </c>
      <c r="AA250" t="s">
        <v>7</v>
      </c>
      <c r="AB250" t="s">
        <v>8</v>
      </c>
      <c r="AC250" s="3">
        <f>T250*'Settings &amp; Rates'!$B$5+U250*'Settings &amp; Rates'!$B$6+V250*'Settings &amp; Rates'!$B$7+W250*'Settings &amp; Rates'!$B$8+X250*'Settings &amp; Rates'!$B$9</f>
        <v>55</v>
      </c>
      <c r="AD250" s="3">
        <f>SUMIF('Attempt Log'!$B$2:$B$101,A250,'Attempt Log'!$K$2:$K$101)</f>
        <v>0</v>
      </c>
      <c r="AE250" s="3">
        <f t="shared" si="3"/>
        <v>-55</v>
      </c>
      <c r="AF250">
        <f>COUNTIF('Attempt Log'!$B$2:$B$101,A250)</f>
        <v>0</v>
      </c>
      <c r="AG250">
        <f>IFERROR(SUMIFS('Attempt Log'!$U$2:$U$101,'Attempt Log'!$B$2:$B$101,A250,'Attempt Log'!$N$2:$N$101,"Yes")/COUNTIFS('Attempt Log'!$B$2:$B$101,A250,'Attempt Log'!$N$2:$N$101,"Yes"),0)</f>
        <v>0</v>
      </c>
    </row>
    <row r="251" spans="1:33">
      <c r="A251" t="s">
        <v>1197</v>
      </c>
      <c r="B251" t="s">
        <v>1198</v>
      </c>
      <c r="C251" t="s">
        <v>1199</v>
      </c>
      <c r="D251" t="s">
        <v>137</v>
      </c>
      <c r="E251" t="s">
        <v>138</v>
      </c>
      <c r="F251" t="s">
        <v>138</v>
      </c>
      <c r="G251" t="s">
        <v>1065</v>
      </c>
      <c r="H251" t="s">
        <v>1165</v>
      </c>
      <c r="I251" t="s">
        <v>391</v>
      </c>
      <c r="J251" t="s">
        <v>1193</v>
      </c>
      <c r="K251" t="s">
        <v>129</v>
      </c>
      <c r="L251" t="s">
        <v>17</v>
      </c>
      <c r="M251">
        <v>4750</v>
      </c>
      <c r="N251" t="s">
        <v>142</v>
      </c>
      <c r="O251" t="s">
        <v>11</v>
      </c>
      <c r="P251" t="s">
        <v>143</v>
      </c>
      <c r="Q251" t="s">
        <v>3475</v>
      </c>
      <c r="R251" t="s">
        <v>3560</v>
      </c>
      <c r="S251" t="s">
        <v>3650</v>
      </c>
      <c r="T251">
        <v>2</v>
      </c>
      <c r="U251">
        <v>2</v>
      </c>
      <c r="V251">
        <v>1</v>
      </c>
      <c r="W251">
        <v>1</v>
      </c>
      <c r="X251">
        <v>0</v>
      </c>
      <c r="Y251" t="s">
        <v>144</v>
      </c>
      <c r="Z251" t="s">
        <v>1167</v>
      </c>
      <c r="AA251" t="s">
        <v>7</v>
      </c>
      <c r="AB251" t="s">
        <v>8</v>
      </c>
      <c r="AC251" s="3">
        <f>T251*'Settings &amp; Rates'!$B$5+U251*'Settings &amp; Rates'!$B$6+V251*'Settings &amp; Rates'!$B$7+W251*'Settings &amp; Rates'!$B$8+X251*'Settings &amp; Rates'!$B$9</f>
        <v>55</v>
      </c>
      <c r="AD251" s="3">
        <f>SUMIF('Attempt Log'!$B$2:$B$101,A251,'Attempt Log'!$K$2:$K$101)</f>
        <v>0</v>
      </c>
      <c r="AE251" s="3">
        <f t="shared" si="3"/>
        <v>-55</v>
      </c>
      <c r="AF251">
        <f>COUNTIF('Attempt Log'!$B$2:$B$101,A251)</f>
        <v>0</v>
      </c>
      <c r="AG251">
        <f>IFERROR(SUMIFS('Attempt Log'!$U$2:$U$101,'Attempt Log'!$B$2:$B$101,A251,'Attempt Log'!$N$2:$N$101,"Yes")/COUNTIFS('Attempt Log'!$B$2:$B$101,A251,'Attempt Log'!$N$2:$N$101,"Yes"),0)</f>
        <v>0</v>
      </c>
    </row>
    <row r="252" spans="1:33">
      <c r="A252" t="s">
        <v>1200</v>
      </c>
      <c r="B252" t="s">
        <v>1201</v>
      </c>
      <c r="C252" t="s">
        <v>1202</v>
      </c>
      <c r="D252" t="s">
        <v>137</v>
      </c>
      <c r="E252" t="s">
        <v>138</v>
      </c>
      <c r="F252" t="s">
        <v>138</v>
      </c>
      <c r="G252" t="s">
        <v>139</v>
      </c>
      <c r="H252" t="s">
        <v>1165</v>
      </c>
      <c r="I252" t="s">
        <v>391</v>
      </c>
      <c r="J252" t="s">
        <v>1193</v>
      </c>
      <c r="K252" t="s">
        <v>140</v>
      </c>
      <c r="L252" t="s">
        <v>141</v>
      </c>
      <c r="M252">
        <v>1400</v>
      </c>
      <c r="N252" t="s">
        <v>142</v>
      </c>
      <c r="O252" t="s">
        <v>11</v>
      </c>
      <c r="P252" t="s">
        <v>143</v>
      </c>
      <c r="Q252" t="s">
        <v>3476</v>
      </c>
      <c r="R252" t="s">
        <v>3561</v>
      </c>
      <c r="S252" t="s">
        <v>3651</v>
      </c>
      <c r="T252">
        <v>1</v>
      </c>
      <c r="U252">
        <v>2</v>
      </c>
      <c r="V252">
        <v>1</v>
      </c>
      <c r="W252">
        <v>1</v>
      </c>
      <c r="X252">
        <v>0</v>
      </c>
      <c r="Y252" t="s">
        <v>144</v>
      </c>
      <c r="Z252" t="s">
        <v>1167</v>
      </c>
      <c r="AA252" t="s">
        <v>7</v>
      </c>
      <c r="AB252" t="s">
        <v>8</v>
      </c>
      <c r="AC252" s="3">
        <f>T252*'Settings &amp; Rates'!$B$5+U252*'Settings &amp; Rates'!$B$6+V252*'Settings &amp; Rates'!$B$7+W252*'Settings &amp; Rates'!$B$8+X252*'Settings &amp; Rates'!$B$9</f>
        <v>55</v>
      </c>
      <c r="AD252" s="3">
        <f>SUMIF('Attempt Log'!$B$2:$B$101,A252,'Attempt Log'!$K$2:$K$101)</f>
        <v>0</v>
      </c>
      <c r="AE252" s="3">
        <f t="shared" si="3"/>
        <v>-55</v>
      </c>
      <c r="AF252">
        <f>COUNTIF('Attempt Log'!$B$2:$B$101,A252)</f>
        <v>0</v>
      </c>
      <c r="AG252">
        <f>IFERROR(SUMIFS('Attempt Log'!$U$2:$U$101,'Attempt Log'!$B$2:$B$101,A252,'Attempt Log'!$N$2:$N$101,"Yes")/COUNTIFS('Attempt Log'!$B$2:$B$101,A252,'Attempt Log'!$N$2:$N$101,"Yes"),0)</f>
        <v>0</v>
      </c>
    </row>
    <row r="253" spans="1:33">
      <c r="A253" t="s">
        <v>1203</v>
      </c>
      <c r="B253" t="s">
        <v>1204</v>
      </c>
      <c r="C253" t="s">
        <v>1205</v>
      </c>
      <c r="D253" t="s">
        <v>137</v>
      </c>
      <c r="E253" t="s">
        <v>138</v>
      </c>
      <c r="F253" t="s">
        <v>138</v>
      </c>
      <c r="G253" t="s">
        <v>1065</v>
      </c>
      <c r="H253" t="s">
        <v>1165</v>
      </c>
      <c r="I253" t="s">
        <v>391</v>
      </c>
      <c r="J253" t="s">
        <v>1193</v>
      </c>
      <c r="K253" t="s">
        <v>129</v>
      </c>
      <c r="L253" t="s">
        <v>17</v>
      </c>
      <c r="M253">
        <v>4500</v>
      </c>
      <c r="N253" t="s">
        <v>142</v>
      </c>
      <c r="O253" t="s">
        <v>11</v>
      </c>
      <c r="P253" t="s">
        <v>143</v>
      </c>
      <c r="Q253" t="s">
        <v>3477</v>
      </c>
      <c r="R253" t="s">
        <v>3562</v>
      </c>
      <c r="S253" t="s">
        <v>3652</v>
      </c>
      <c r="T253">
        <v>2</v>
      </c>
      <c r="U253">
        <v>2</v>
      </c>
      <c r="V253">
        <v>1</v>
      </c>
      <c r="W253">
        <v>1</v>
      </c>
      <c r="X253">
        <v>0</v>
      </c>
      <c r="Y253" t="s">
        <v>144</v>
      </c>
      <c r="Z253" t="s">
        <v>1167</v>
      </c>
      <c r="AA253" t="s">
        <v>7</v>
      </c>
      <c r="AB253" t="s">
        <v>8</v>
      </c>
      <c r="AC253" s="3">
        <f>T253*'Settings &amp; Rates'!$B$5+U253*'Settings &amp; Rates'!$B$6+V253*'Settings &amp; Rates'!$B$7+W253*'Settings &amp; Rates'!$B$8+X253*'Settings &amp; Rates'!$B$9</f>
        <v>55</v>
      </c>
      <c r="AD253" s="3">
        <f>SUMIF('Attempt Log'!$B$2:$B$101,A253,'Attempt Log'!$K$2:$K$101)</f>
        <v>0</v>
      </c>
      <c r="AE253" s="3">
        <f t="shared" si="3"/>
        <v>-55</v>
      </c>
      <c r="AF253">
        <f>COUNTIF('Attempt Log'!$B$2:$B$101,A253)</f>
        <v>0</v>
      </c>
      <c r="AG253">
        <f>IFERROR(SUMIFS('Attempt Log'!$U$2:$U$101,'Attempt Log'!$B$2:$B$101,A253,'Attempt Log'!$N$2:$N$101,"Yes")/COUNTIFS('Attempt Log'!$B$2:$B$101,A253,'Attempt Log'!$N$2:$N$101,"Yes"),0)</f>
        <v>0</v>
      </c>
    </row>
    <row r="254" spans="1:33">
      <c r="A254" t="s">
        <v>1206</v>
      </c>
      <c r="B254" t="s">
        <v>1207</v>
      </c>
      <c r="C254" t="s">
        <v>1208</v>
      </c>
      <c r="D254" t="s">
        <v>137</v>
      </c>
      <c r="E254" t="s">
        <v>138</v>
      </c>
      <c r="F254" t="s">
        <v>138</v>
      </c>
      <c r="G254" t="s">
        <v>139</v>
      </c>
      <c r="H254" t="s">
        <v>1165</v>
      </c>
      <c r="I254" t="s">
        <v>391</v>
      </c>
      <c r="J254" t="s">
        <v>1193</v>
      </c>
      <c r="K254" t="s">
        <v>140</v>
      </c>
      <c r="L254" t="s">
        <v>141</v>
      </c>
      <c r="M254">
        <v>1900</v>
      </c>
      <c r="N254" t="s">
        <v>142</v>
      </c>
      <c r="O254" t="s">
        <v>11</v>
      </c>
      <c r="P254" t="s">
        <v>143</v>
      </c>
      <c r="Q254" t="s">
        <v>3478</v>
      </c>
      <c r="R254" t="s">
        <v>3563</v>
      </c>
      <c r="S254" t="s">
        <v>3653</v>
      </c>
      <c r="T254">
        <v>1</v>
      </c>
      <c r="U254">
        <v>2</v>
      </c>
      <c r="V254">
        <v>1</v>
      </c>
      <c r="W254">
        <v>1</v>
      </c>
      <c r="X254">
        <v>0</v>
      </c>
      <c r="Y254" t="s">
        <v>144</v>
      </c>
      <c r="Z254" t="s">
        <v>1167</v>
      </c>
      <c r="AA254" t="s">
        <v>7</v>
      </c>
      <c r="AB254" t="s">
        <v>8</v>
      </c>
      <c r="AC254" s="3">
        <f>T254*'Settings &amp; Rates'!$B$5+U254*'Settings &amp; Rates'!$B$6+V254*'Settings &amp; Rates'!$B$7+W254*'Settings &amp; Rates'!$B$8+X254*'Settings &amp; Rates'!$B$9</f>
        <v>55</v>
      </c>
      <c r="AD254" s="3">
        <f>SUMIF('Attempt Log'!$B$2:$B$101,A254,'Attempt Log'!$K$2:$K$101)</f>
        <v>0</v>
      </c>
      <c r="AE254" s="3">
        <f t="shared" si="3"/>
        <v>-55</v>
      </c>
      <c r="AF254">
        <f>COUNTIF('Attempt Log'!$B$2:$B$101,A254)</f>
        <v>0</v>
      </c>
      <c r="AG254">
        <f>IFERROR(SUMIFS('Attempt Log'!$U$2:$U$101,'Attempt Log'!$B$2:$B$101,A254,'Attempt Log'!$N$2:$N$101,"Yes")/COUNTIFS('Attempt Log'!$B$2:$B$101,A254,'Attempt Log'!$N$2:$N$101,"Yes"),0)</f>
        <v>0</v>
      </c>
    </row>
    <row r="255" spans="1:33">
      <c r="A255" t="s">
        <v>1209</v>
      </c>
      <c r="B255" t="s">
        <v>1210</v>
      </c>
      <c r="C255" t="s">
        <v>1211</v>
      </c>
      <c r="D255" t="s">
        <v>137</v>
      </c>
      <c r="E255" t="s">
        <v>138</v>
      </c>
      <c r="F255" t="s">
        <v>138</v>
      </c>
      <c r="G255" t="s">
        <v>139</v>
      </c>
      <c r="H255" t="s">
        <v>1165</v>
      </c>
      <c r="I255" t="s">
        <v>391</v>
      </c>
      <c r="J255" t="s">
        <v>1193</v>
      </c>
      <c r="K255" t="s">
        <v>140</v>
      </c>
      <c r="L255" t="s">
        <v>141</v>
      </c>
      <c r="M255">
        <v>700</v>
      </c>
      <c r="N255" t="s">
        <v>142</v>
      </c>
      <c r="O255" t="s">
        <v>11</v>
      </c>
      <c r="P255" t="s">
        <v>143</v>
      </c>
      <c r="Q255" t="s">
        <v>3479</v>
      </c>
      <c r="R255" t="s">
        <v>3564</v>
      </c>
      <c r="S255" t="s">
        <v>3654</v>
      </c>
      <c r="T255">
        <v>1</v>
      </c>
      <c r="U255">
        <v>2</v>
      </c>
      <c r="V255">
        <v>1</v>
      </c>
      <c r="W255">
        <v>1</v>
      </c>
      <c r="X255">
        <v>0</v>
      </c>
      <c r="Y255" t="s">
        <v>144</v>
      </c>
      <c r="Z255" t="s">
        <v>1167</v>
      </c>
      <c r="AA255" t="s">
        <v>7</v>
      </c>
      <c r="AB255" t="s">
        <v>8</v>
      </c>
      <c r="AC255" s="3">
        <f>T255*'Settings &amp; Rates'!$B$5+U255*'Settings &amp; Rates'!$B$6+V255*'Settings &amp; Rates'!$B$7+W255*'Settings &amp; Rates'!$B$8+X255*'Settings &amp; Rates'!$B$9</f>
        <v>55</v>
      </c>
      <c r="AD255" s="3">
        <f>SUMIF('Attempt Log'!$B$2:$B$101,A255,'Attempt Log'!$K$2:$K$101)</f>
        <v>0</v>
      </c>
      <c r="AE255" s="3">
        <f t="shared" si="3"/>
        <v>-55</v>
      </c>
      <c r="AF255">
        <f>COUNTIF('Attempt Log'!$B$2:$B$101,A255)</f>
        <v>0</v>
      </c>
      <c r="AG255">
        <f>IFERROR(SUMIFS('Attempt Log'!$U$2:$U$101,'Attempt Log'!$B$2:$B$101,A255,'Attempt Log'!$N$2:$N$101,"Yes")/COUNTIFS('Attempt Log'!$B$2:$B$101,A255,'Attempt Log'!$N$2:$N$101,"Yes"),0)</f>
        <v>0</v>
      </c>
    </row>
    <row r="256" spans="1:33">
      <c r="A256" t="s">
        <v>1212</v>
      </c>
      <c r="B256" t="s">
        <v>1213</v>
      </c>
      <c r="C256" t="s">
        <v>1214</v>
      </c>
      <c r="D256" t="s">
        <v>137</v>
      </c>
      <c r="E256" t="s">
        <v>138</v>
      </c>
      <c r="F256" t="s">
        <v>138</v>
      </c>
      <c r="G256" t="s">
        <v>139</v>
      </c>
      <c r="H256" t="s">
        <v>1165</v>
      </c>
      <c r="I256" t="s">
        <v>391</v>
      </c>
      <c r="J256" t="s">
        <v>1193</v>
      </c>
      <c r="K256" t="s">
        <v>140</v>
      </c>
      <c r="L256" t="s">
        <v>141</v>
      </c>
      <c r="M256">
        <v>1100</v>
      </c>
      <c r="N256" t="s">
        <v>142</v>
      </c>
      <c r="O256" t="s">
        <v>11</v>
      </c>
      <c r="P256" t="s">
        <v>143</v>
      </c>
      <c r="Q256" t="s">
        <v>3480</v>
      </c>
      <c r="R256" t="s">
        <v>3565</v>
      </c>
      <c r="S256" t="s">
        <v>3655</v>
      </c>
      <c r="T256">
        <v>1</v>
      </c>
      <c r="U256">
        <v>2</v>
      </c>
      <c r="V256">
        <v>1</v>
      </c>
      <c r="W256">
        <v>1</v>
      </c>
      <c r="X256">
        <v>0</v>
      </c>
      <c r="Y256" t="s">
        <v>144</v>
      </c>
      <c r="Z256" t="s">
        <v>1167</v>
      </c>
      <c r="AA256" t="s">
        <v>7</v>
      </c>
      <c r="AB256" t="s">
        <v>8</v>
      </c>
      <c r="AC256" s="3">
        <f>T256*'Settings &amp; Rates'!$B$5+U256*'Settings &amp; Rates'!$B$6+V256*'Settings &amp; Rates'!$B$7+W256*'Settings &amp; Rates'!$B$8+X256*'Settings &amp; Rates'!$B$9</f>
        <v>55</v>
      </c>
      <c r="AD256" s="3">
        <f>SUMIF('Attempt Log'!$B$2:$B$101,A256,'Attempt Log'!$K$2:$K$101)</f>
        <v>0</v>
      </c>
      <c r="AE256" s="3">
        <f t="shared" si="3"/>
        <v>-55</v>
      </c>
      <c r="AF256">
        <f>COUNTIF('Attempt Log'!$B$2:$B$101,A256)</f>
        <v>0</v>
      </c>
      <c r="AG256">
        <f>IFERROR(SUMIFS('Attempt Log'!$U$2:$U$101,'Attempt Log'!$B$2:$B$101,A256,'Attempt Log'!$N$2:$N$101,"Yes")/COUNTIFS('Attempt Log'!$B$2:$B$101,A256,'Attempt Log'!$N$2:$N$101,"Yes"),0)</f>
        <v>0</v>
      </c>
    </row>
    <row r="257" spans="1:33">
      <c r="A257" t="s">
        <v>1215</v>
      </c>
      <c r="B257" t="s">
        <v>1216</v>
      </c>
      <c r="C257" t="s">
        <v>1217</v>
      </c>
      <c r="D257" t="s">
        <v>137</v>
      </c>
      <c r="E257" t="s">
        <v>138</v>
      </c>
      <c r="F257" t="s">
        <v>138</v>
      </c>
      <c r="G257" t="s">
        <v>1065</v>
      </c>
      <c r="H257" t="s">
        <v>1165</v>
      </c>
      <c r="I257" t="s">
        <v>391</v>
      </c>
      <c r="J257" t="s">
        <v>1193</v>
      </c>
      <c r="K257" t="s">
        <v>129</v>
      </c>
      <c r="L257" t="s">
        <v>17</v>
      </c>
      <c r="M257">
        <v>5250</v>
      </c>
      <c r="N257" t="s">
        <v>142</v>
      </c>
      <c r="O257" t="s">
        <v>11</v>
      </c>
      <c r="P257" t="s">
        <v>143</v>
      </c>
      <c r="Q257" t="s">
        <v>3481</v>
      </c>
      <c r="R257" t="s">
        <v>3566</v>
      </c>
      <c r="S257" t="s">
        <v>3656</v>
      </c>
      <c r="T257">
        <v>2</v>
      </c>
      <c r="U257">
        <v>2</v>
      </c>
      <c r="V257">
        <v>1</v>
      </c>
      <c r="W257">
        <v>1</v>
      </c>
      <c r="X257">
        <v>0</v>
      </c>
      <c r="Y257" t="s">
        <v>144</v>
      </c>
      <c r="Z257" t="s">
        <v>1167</v>
      </c>
      <c r="AA257" t="s">
        <v>7</v>
      </c>
      <c r="AB257" t="s">
        <v>8</v>
      </c>
      <c r="AC257" s="3">
        <f>T257*'Settings &amp; Rates'!$B$5+U257*'Settings &amp; Rates'!$B$6+V257*'Settings &amp; Rates'!$B$7+W257*'Settings &amp; Rates'!$B$8+X257*'Settings &amp; Rates'!$B$9</f>
        <v>55</v>
      </c>
      <c r="AD257" s="3">
        <f>SUMIF('Attempt Log'!$B$2:$B$101,A257,'Attempt Log'!$K$2:$K$101)</f>
        <v>0</v>
      </c>
      <c r="AE257" s="3">
        <f t="shared" si="3"/>
        <v>-55</v>
      </c>
      <c r="AF257">
        <f>COUNTIF('Attempt Log'!$B$2:$B$101,A257)</f>
        <v>0</v>
      </c>
      <c r="AG257">
        <f>IFERROR(SUMIFS('Attempt Log'!$U$2:$U$101,'Attempt Log'!$B$2:$B$101,A257,'Attempt Log'!$N$2:$N$101,"Yes")/COUNTIFS('Attempt Log'!$B$2:$B$101,A257,'Attempt Log'!$N$2:$N$101,"Yes"),0)</f>
        <v>0</v>
      </c>
    </row>
    <row r="258" spans="1:33">
      <c r="A258" t="s">
        <v>1218</v>
      </c>
      <c r="B258" t="s">
        <v>1219</v>
      </c>
      <c r="C258" t="s">
        <v>1220</v>
      </c>
      <c r="D258" t="s">
        <v>137</v>
      </c>
      <c r="E258" t="s">
        <v>138</v>
      </c>
      <c r="F258" t="s">
        <v>138</v>
      </c>
      <c r="G258" t="s">
        <v>1065</v>
      </c>
      <c r="H258" t="s">
        <v>1165</v>
      </c>
      <c r="I258" t="s">
        <v>391</v>
      </c>
      <c r="J258" t="s">
        <v>1193</v>
      </c>
      <c r="K258" t="s">
        <v>129</v>
      </c>
      <c r="L258" t="s">
        <v>17</v>
      </c>
      <c r="M258">
        <v>3850</v>
      </c>
      <c r="N258" t="s">
        <v>142</v>
      </c>
      <c r="O258" t="s">
        <v>11</v>
      </c>
      <c r="P258" t="s">
        <v>143</v>
      </c>
      <c r="Q258" t="s">
        <v>3482</v>
      </c>
      <c r="R258" t="s">
        <v>3567</v>
      </c>
      <c r="S258" t="s">
        <v>3657</v>
      </c>
      <c r="T258">
        <v>2</v>
      </c>
      <c r="U258">
        <v>2</v>
      </c>
      <c r="V258">
        <v>1</v>
      </c>
      <c r="W258">
        <v>1</v>
      </c>
      <c r="X258">
        <v>0</v>
      </c>
      <c r="Y258" t="s">
        <v>144</v>
      </c>
      <c r="Z258" t="s">
        <v>1167</v>
      </c>
      <c r="AA258" t="s">
        <v>7</v>
      </c>
      <c r="AB258" t="s">
        <v>8</v>
      </c>
      <c r="AC258" s="3">
        <f>T258*'Settings &amp; Rates'!$B$5+U258*'Settings &amp; Rates'!$B$6+V258*'Settings &amp; Rates'!$B$7+W258*'Settings &amp; Rates'!$B$8+X258*'Settings &amp; Rates'!$B$9</f>
        <v>55</v>
      </c>
      <c r="AD258" s="3">
        <f>SUMIF('Attempt Log'!$B$2:$B$101,A258,'Attempt Log'!$K$2:$K$101)</f>
        <v>0</v>
      </c>
      <c r="AE258" s="3">
        <f t="shared" ref="AE258:AE321" si="4">AD258-AC258</f>
        <v>-55</v>
      </c>
      <c r="AF258">
        <f>COUNTIF('Attempt Log'!$B$2:$B$101,A258)</f>
        <v>0</v>
      </c>
      <c r="AG258">
        <f>IFERROR(SUMIFS('Attempt Log'!$U$2:$U$101,'Attempt Log'!$B$2:$B$101,A258,'Attempt Log'!$N$2:$N$101,"Yes")/COUNTIFS('Attempt Log'!$B$2:$B$101,A258,'Attempt Log'!$N$2:$N$101,"Yes"),0)</f>
        <v>0</v>
      </c>
    </row>
    <row r="259" spans="1:33">
      <c r="A259" t="s">
        <v>1221</v>
      </c>
      <c r="B259" t="s">
        <v>1222</v>
      </c>
      <c r="C259" t="s">
        <v>1223</v>
      </c>
      <c r="D259" t="s">
        <v>137</v>
      </c>
      <c r="E259" t="s">
        <v>138</v>
      </c>
      <c r="F259" t="s">
        <v>138</v>
      </c>
      <c r="G259" t="s">
        <v>1073</v>
      </c>
      <c r="H259" t="s">
        <v>1165</v>
      </c>
      <c r="I259" t="s">
        <v>391</v>
      </c>
      <c r="J259" t="s">
        <v>1193</v>
      </c>
      <c r="K259" t="s">
        <v>129</v>
      </c>
      <c r="L259" t="s">
        <v>17</v>
      </c>
      <c r="M259">
        <v>5500</v>
      </c>
      <c r="N259" t="s">
        <v>142</v>
      </c>
      <c r="O259" t="s">
        <v>11</v>
      </c>
      <c r="P259" t="s">
        <v>143</v>
      </c>
      <c r="Q259" t="s">
        <v>3483</v>
      </c>
      <c r="R259" t="s">
        <v>3568</v>
      </c>
      <c r="S259" t="s">
        <v>3658</v>
      </c>
      <c r="T259">
        <v>2</v>
      </c>
      <c r="U259">
        <v>2</v>
      </c>
      <c r="V259">
        <v>1</v>
      </c>
      <c r="W259">
        <v>1</v>
      </c>
      <c r="X259">
        <v>0</v>
      </c>
      <c r="Y259" t="s">
        <v>144</v>
      </c>
      <c r="Z259" t="s">
        <v>1167</v>
      </c>
      <c r="AA259" t="s">
        <v>7</v>
      </c>
      <c r="AB259" t="s">
        <v>8</v>
      </c>
      <c r="AC259" s="3">
        <f>T259*'Settings &amp; Rates'!$B$5+U259*'Settings &amp; Rates'!$B$6+V259*'Settings &amp; Rates'!$B$7+W259*'Settings &amp; Rates'!$B$8+X259*'Settings &amp; Rates'!$B$9</f>
        <v>55</v>
      </c>
      <c r="AD259" s="3">
        <f>SUMIF('Attempt Log'!$B$2:$B$101,A259,'Attempt Log'!$K$2:$K$101)</f>
        <v>0</v>
      </c>
      <c r="AE259" s="3">
        <f t="shared" si="4"/>
        <v>-55</v>
      </c>
      <c r="AF259">
        <f>COUNTIF('Attempt Log'!$B$2:$B$101,A259)</f>
        <v>0</v>
      </c>
      <c r="AG259">
        <f>IFERROR(SUMIFS('Attempt Log'!$U$2:$U$101,'Attempt Log'!$B$2:$B$101,A259,'Attempt Log'!$N$2:$N$101,"Yes")/COUNTIFS('Attempt Log'!$B$2:$B$101,A259,'Attempt Log'!$N$2:$N$101,"Yes"),0)</f>
        <v>0</v>
      </c>
    </row>
    <row r="260" spans="1:33">
      <c r="A260" t="s">
        <v>1224</v>
      </c>
      <c r="B260" t="s">
        <v>1225</v>
      </c>
      <c r="C260" t="s">
        <v>1226</v>
      </c>
      <c r="D260" t="s">
        <v>137</v>
      </c>
      <c r="E260" t="s">
        <v>138</v>
      </c>
      <c r="F260" t="s">
        <v>138</v>
      </c>
      <c r="G260" t="s">
        <v>139</v>
      </c>
      <c r="H260" t="s">
        <v>1165</v>
      </c>
      <c r="I260" t="s">
        <v>391</v>
      </c>
      <c r="J260" t="s">
        <v>1193</v>
      </c>
      <c r="K260" t="s">
        <v>140</v>
      </c>
      <c r="L260" t="s">
        <v>141</v>
      </c>
      <c r="M260">
        <v>1950</v>
      </c>
      <c r="N260" t="s">
        <v>142</v>
      </c>
      <c r="O260" t="s">
        <v>11</v>
      </c>
      <c r="P260" t="s">
        <v>143</v>
      </c>
      <c r="Q260" t="s">
        <v>3489</v>
      </c>
      <c r="R260" t="s">
        <v>3574</v>
      </c>
      <c r="S260" t="s">
        <v>3664</v>
      </c>
      <c r="T260">
        <v>1</v>
      </c>
      <c r="U260">
        <v>2</v>
      </c>
      <c r="V260">
        <v>1</v>
      </c>
      <c r="W260">
        <v>1</v>
      </c>
      <c r="X260">
        <v>0</v>
      </c>
      <c r="Y260" t="s">
        <v>144</v>
      </c>
      <c r="Z260" t="s">
        <v>1167</v>
      </c>
      <c r="AA260" t="s">
        <v>7</v>
      </c>
      <c r="AB260" t="s">
        <v>8</v>
      </c>
      <c r="AC260" s="3">
        <f>T260*'Settings &amp; Rates'!$B$5+U260*'Settings &amp; Rates'!$B$6+V260*'Settings &amp; Rates'!$B$7+W260*'Settings &amp; Rates'!$B$8+X260*'Settings &amp; Rates'!$B$9</f>
        <v>55</v>
      </c>
      <c r="AD260" s="3">
        <f>SUMIF('Attempt Log'!$B$2:$B$101,A260,'Attempt Log'!$K$2:$K$101)</f>
        <v>0</v>
      </c>
      <c r="AE260" s="3">
        <f t="shared" si="4"/>
        <v>-55</v>
      </c>
      <c r="AF260">
        <f>COUNTIF('Attempt Log'!$B$2:$B$101,A260)</f>
        <v>0</v>
      </c>
      <c r="AG260">
        <f>IFERROR(SUMIFS('Attempt Log'!$U$2:$U$101,'Attempt Log'!$B$2:$B$101,A260,'Attempt Log'!$N$2:$N$101,"Yes")/COUNTIFS('Attempt Log'!$B$2:$B$101,A260,'Attempt Log'!$N$2:$N$101,"Yes"),0)</f>
        <v>0</v>
      </c>
    </row>
  </sheetData>
  <conditionalFormatting sqref="AB2:AB260">
    <cfRule type="expression" dxfId="1" priority="1">
      <formula>AB2="Approved"</formula>
    </cfRule>
  </conditionalFormatting>
  <conditionalFormatting sqref="AE2:AE260"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Lists!$A$2:$A$8</xm:f>
          </x14:formula1>
          <xm:sqref>AA2:AA260</xm:sqref>
        </x14:dataValidation>
        <x14:dataValidation type="list" xr:uid="{00000000-0002-0000-0300-000001000000}">
          <x14:formula1>
            <xm:f>Lists!$B$2:$B$5</xm:f>
          </x14:formula1>
          <xm:sqref>AB2:AB260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workbookViewId="0"/>
  </sheetViews>
  <sheetFormatPr defaultRowHeight="14.25"/>
  <cols>
    <col min="1" max="1" width="24" customWidth="1"/>
    <col min="2" max="2" width="36" customWidth="1"/>
    <col min="3" max="3" width="28" customWidth="1"/>
    <col min="4" max="4" width="18" customWidth="1"/>
    <col min="5" max="6" width="22" customWidth="1"/>
    <col min="7" max="7" width="12" customWidth="1"/>
    <col min="8" max="8" width="30" customWidth="1"/>
    <col min="9" max="10" width="20" customWidth="1"/>
    <col min="11" max="11" width="14" customWidth="1"/>
    <col min="12" max="12" width="16" customWidth="1"/>
    <col min="13" max="13" width="48" customWidth="1"/>
    <col min="14" max="19" width="12" customWidth="1"/>
    <col min="20" max="20" width="16" customWidth="1"/>
    <col min="21" max="21" width="12" customWidth="1"/>
    <col min="22" max="22" width="28" customWidth="1"/>
    <col min="23" max="23" width="18" customWidth="1"/>
    <col min="24" max="24" width="60" customWidth="1"/>
  </cols>
  <sheetData>
    <row r="1" spans="1:24" ht="30">
      <c r="A1" s="1" t="s">
        <v>1227</v>
      </c>
      <c r="B1" s="1" t="s">
        <v>86</v>
      </c>
      <c r="C1" s="1" t="s">
        <v>95</v>
      </c>
      <c r="D1" s="1" t="s">
        <v>59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1232</v>
      </c>
      <c r="J1" s="1" t="s">
        <v>1233</v>
      </c>
      <c r="K1" s="1" t="s">
        <v>1234</v>
      </c>
      <c r="L1" s="1" t="s">
        <v>112</v>
      </c>
      <c r="M1" s="1" t="s">
        <v>1235</v>
      </c>
      <c r="N1" s="1" t="s">
        <v>1236</v>
      </c>
      <c r="O1" s="1" t="s">
        <v>1237</v>
      </c>
      <c r="P1" s="1" t="s">
        <v>1238</v>
      </c>
      <c r="Q1" s="1" t="s">
        <v>1239</v>
      </c>
      <c r="R1" s="1" t="s">
        <v>1240</v>
      </c>
      <c r="S1" s="1" t="s">
        <v>1241</v>
      </c>
      <c r="T1" s="1" t="s">
        <v>1242</v>
      </c>
      <c r="U1" s="1" t="s">
        <v>1243</v>
      </c>
      <c r="V1" s="1" t="s">
        <v>1244</v>
      </c>
      <c r="W1" s="1" t="s">
        <v>1245</v>
      </c>
      <c r="X1" s="1" t="s">
        <v>1246</v>
      </c>
    </row>
    <row r="2" spans="1:24">
      <c r="U2">
        <f t="shared" ref="U2:U33" si="0">SUM(O2:T2)</f>
        <v>0</v>
      </c>
    </row>
    <row r="3" spans="1:24">
      <c r="U3">
        <f t="shared" si="0"/>
        <v>0</v>
      </c>
    </row>
    <row r="4" spans="1:24">
      <c r="U4">
        <f t="shared" si="0"/>
        <v>0</v>
      </c>
    </row>
    <row r="5" spans="1:24">
      <c r="U5">
        <f t="shared" si="0"/>
        <v>0</v>
      </c>
    </row>
    <row r="6" spans="1:24">
      <c r="U6">
        <f t="shared" si="0"/>
        <v>0</v>
      </c>
    </row>
    <row r="7" spans="1:24">
      <c r="U7">
        <f t="shared" si="0"/>
        <v>0</v>
      </c>
    </row>
    <row r="8" spans="1:24">
      <c r="U8">
        <f t="shared" si="0"/>
        <v>0</v>
      </c>
    </row>
    <row r="9" spans="1:24">
      <c r="U9">
        <f t="shared" si="0"/>
        <v>0</v>
      </c>
    </row>
    <row r="10" spans="1:24">
      <c r="U10">
        <f t="shared" si="0"/>
        <v>0</v>
      </c>
    </row>
    <row r="11" spans="1:24">
      <c r="U11">
        <f t="shared" si="0"/>
        <v>0</v>
      </c>
    </row>
    <row r="12" spans="1:24">
      <c r="U12">
        <f t="shared" si="0"/>
        <v>0</v>
      </c>
    </row>
    <row r="13" spans="1:24">
      <c r="U13">
        <f t="shared" si="0"/>
        <v>0</v>
      </c>
    </row>
    <row r="14" spans="1:24">
      <c r="U14">
        <f t="shared" si="0"/>
        <v>0</v>
      </c>
    </row>
    <row r="15" spans="1:24">
      <c r="U15">
        <f t="shared" si="0"/>
        <v>0</v>
      </c>
    </row>
    <row r="16" spans="1:24">
      <c r="U16">
        <f t="shared" si="0"/>
        <v>0</v>
      </c>
    </row>
    <row r="17" spans="21:21">
      <c r="U17">
        <f t="shared" si="0"/>
        <v>0</v>
      </c>
    </row>
    <row r="18" spans="21:21">
      <c r="U18">
        <f t="shared" si="0"/>
        <v>0</v>
      </c>
    </row>
    <row r="19" spans="21:21">
      <c r="U19">
        <f t="shared" si="0"/>
        <v>0</v>
      </c>
    </row>
    <row r="20" spans="21:21">
      <c r="U20">
        <f t="shared" si="0"/>
        <v>0</v>
      </c>
    </row>
    <row r="21" spans="21:21">
      <c r="U21">
        <f t="shared" si="0"/>
        <v>0</v>
      </c>
    </row>
    <row r="22" spans="21:21">
      <c r="U22">
        <f t="shared" si="0"/>
        <v>0</v>
      </c>
    </row>
    <row r="23" spans="21:21">
      <c r="U23">
        <f t="shared" si="0"/>
        <v>0</v>
      </c>
    </row>
    <row r="24" spans="21:21">
      <c r="U24">
        <f t="shared" si="0"/>
        <v>0</v>
      </c>
    </row>
    <row r="25" spans="21:21">
      <c r="U25">
        <f t="shared" si="0"/>
        <v>0</v>
      </c>
    </row>
    <row r="26" spans="21:21">
      <c r="U26">
        <f t="shared" si="0"/>
        <v>0</v>
      </c>
    </row>
    <row r="27" spans="21:21">
      <c r="U27">
        <f t="shared" si="0"/>
        <v>0</v>
      </c>
    </row>
    <row r="28" spans="21:21">
      <c r="U28">
        <f t="shared" si="0"/>
        <v>0</v>
      </c>
    </row>
    <row r="29" spans="21:21">
      <c r="U29">
        <f t="shared" si="0"/>
        <v>0</v>
      </c>
    </row>
    <row r="30" spans="21:21">
      <c r="U30">
        <f t="shared" si="0"/>
        <v>0</v>
      </c>
    </row>
    <row r="31" spans="21:21">
      <c r="U31">
        <f t="shared" si="0"/>
        <v>0</v>
      </c>
    </row>
    <row r="32" spans="21:21">
      <c r="U32">
        <f t="shared" si="0"/>
        <v>0</v>
      </c>
    </row>
    <row r="33" spans="21:21">
      <c r="U33">
        <f t="shared" si="0"/>
        <v>0</v>
      </c>
    </row>
    <row r="34" spans="21:21">
      <c r="U34">
        <f t="shared" ref="U34:U65" si="1">SUM(O34:T34)</f>
        <v>0</v>
      </c>
    </row>
    <row r="35" spans="21:21">
      <c r="U35">
        <f t="shared" si="1"/>
        <v>0</v>
      </c>
    </row>
    <row r="36" spans="21:21">
      <c r="U36">
        <f t="shared" si="1"/>
        <v>0</v>
      </c>
    </row>
    <row r="37" spans="21:21">
      <c r="U37">
        <f t="shared" si="1"/>
        <v>0</v>
      </c>
    </row>
    <row r="38" spans="21:21">
      <c r="U38">
        <f t="shared" si="1"/>
        <v>0</v>
      </c>
    </row>
    <row r="39" spans="21:21">
      <c r="U39">
        <f t="shared" si="1"/>
        <v>0</v>
      </c>
    </row>
    <row r="40" spans="21:21">
      <c r="U40">
        <f t="shared" si="1"/>
        <v>0</v>
      </c>
    </row>
    <row r="41" spans="21:21">
      <c r="U41">
        <f t="shared" si="1"/>
        <v>0</v>
      </c>
    </row>
    <row r="42" spans="21:21">
      <c r="U42">
        <f t="shared" si="1"/>
        <v>0</v>
      </c>
    </row>
    <row r="43" spans="21:21">
      <c r="U43">
        <f t="shared" si="1"/>
        <v>0</v>
      </c>
    </row>
    <row r="44" spans="21:21">
      <c r="U44">
        <f t="shared" si="1"/>
        <v>0</v>
      </c>
    </row>
    <row r="45" spans="21:21">
      <c r="U45">
        <f t="shared" si="1"/>
        <v>0</v>
      </c>
    </row>
    <row r="46" spans="21:21">
      <c r="U46">
        <f t="shared" si="1"/>
        <v>0</v>
      </c>
    </row>
    <row r="47" spans="21:21">
      <c r="U47">
        <f t="shared" si="1"/>
        <v>0</v>
      </c>
    </row>
    <row r="48" spans="21:21">
      <c r="U48">
        <f t="shared" si="1"/>
        <v>0</v>
      </c>
    </row>
    <row r="49" spans="21:21">
      <c r="U49">
        <f t="shared" si="1"/>
        <v>0</v>
      </c>
    </row>
    <row r="50" spans="21:21">
      <c r="U50">
        <f t="shared" si="1"/>
        <v>0</v>
      </c>
    </row>
    <row r="51" spans="21:21">
      <c r="U51">
        <f t="shared" si="1"/>
        <v>0</v>
      </c>
    </row>
    <row r="52" spans="21:21">
      <c r="U52">
        <f t="shared" si="1"/>
        <v>0</v>
      </c>
    </row>
    <row r="53" spans="21:21">
      <c r="U53">
        <f t="shared" si="1"/>
        <v>0</v>
      </c>
    </row>
    <row r="54" spans="21:21">
      <c r="U54">
        <f t="shared" si="1"/>
        <v>0</v>
      </c>
    </row>
    <row r="55" spans="21:21">
      <c r="U55">
        <f t="shared" si="1"/>
        <v>0</v>
      </c>
    </row>
    <row r="56" spans="21:21">
      <c r="U56">
        <f t="shared" si="1"/>
        <v>0</v>
      </c>
    </row>
    <row r="57" spans="21:21">
      <c r="U57">
        <f t="shared" si="1"/>
        <v>0</v>
      </c>
    </row>
    <row r="58" spans="21:21">
      <c r="U58">
        <f t="shared" si="1"/>
        <v>0</v>
      </c>
    </row>
    <row r="59" spans="21:21">
      <c r="U59">
        <f t="shared" si="1"/>
        <v>0</v>
      </c>
    </row>
    <row r="60" spans="21:21">
      <c r="U60">
        <f t="shared" si="1"/>
        <v>0</v>
      </c>
    </row>
    <row r="61" spans="21:21">
      <c r="U61">
        <f t="shared" si="1"/>
        <v>0</v>
      </c>
    </row>
    <row r="62" spans="21:21">
      <c r="U62">
        <f t="shared" si="1"/>
        <v>0</v>
      </c>
    </row>
    <row r="63" spans="21:21">
      <c r="U63">
        <f t="shared" si="1"/>
        <v>0</v>
      </c>
    </row>
    <row r="64" spans="21:21">
      <c r="U64">
        <f t="shared" si="1"/>
        <v>0</v>
      </c>
    </row>
    <row r="65" spans="21:21">
      <c r="U65">
        <f t="shared" si="1"/>
        <v>0</v>
      </c>
    </row>
    <row r="66" spans="21:21">
      <c r="U66">
        <f t="shared" ref="U66:U97" si="2">SUM(O66:T66)</f>
        <v>0</v>
      </c>
    </row>
    <row r="67" spans="21:21">
      <c r="U67">
        <f t="shared" si="2"/>
        <v>0</v>
      </c>
    </row>
    <row r="68" spans="21:21">
      <c r="U68">
        <f t="shared" si="2"/>
        <v>0</v>
      </c>
    </row>
    <row r="69" spans="21:21">
      <c r="U69">
        <f t="shared" si="2"/>
        <v>0</v>
      </c>
    </row>
    <row r="70" spans="21:21">
      <c r="U70">
        <f t="shared" si="2"/>
        <v>0</v>
      </c>
    </row>
    <row r="71" spans="21:21">
      <c r="U71">
        <f t="shared" si="2"/>
        <v>0</v>
      </c>
    </row>
    <row r="72" spans="21:21">
      <c r="U72">
        <f t="shared" si="2"/>
        <v>0</v>
      </c>
    </row>
    <row r="73" spans="21:21">
      <c r="U73">
        <f t="shared" si="2"/>
        <v>0</v>
      </c>
    </row>
    <row r="74" spans="21:21">
      <c r="U74">
        <f t="shared" si="2"/>
        <v>0</v>
      </c>
    </row>
    <row r="75" spans="21:21">
      <c r="U75">
        <f t="shared" si="2"/>
        <v>0</v>
      </c>
    </row>
    <row r="76" spans="21:21">
      <c r="U76">
        <f t="shared" si="2"/>
        <v>0</v>
      </c>
    </row>
    <row r="77" spans="21:21">
      <c r="U77">
        <f t="shared" si="2"/>
        <v>0</v>
      </c>
    </row>
    <row r="78" spans="21:21">
      <c r="U78">
        <f t="shared" si="2"/>
        <v>0</v>
      </c>
    </row>
    <row r="79" spans="21:21">
      <c r="U79">
        <f t="shared" si="2"/>
        <v>0</v>
      </c>
    </row>
    <row r="80" spans="21:21">
      <c r="U80">
        <f t="shared" si="2"/>
        <v>0</v>
      </c>
    </row>
    <row r="81" spans="21:21">
      <c r="U81">
        <f t="shared" si="2"/>
        <v>0</v>
      </c>
    </row>
    <row r="82" spans="21:21">
      <c r="U82">
        <f t="shared" si="2"/>
        <v>0</v>
      </c>
    </row>
    <row r="83" spans="21:21">
      <c r="U83">
        <f t="shared" si="2"/>
        <v>0</v>
      </c>
    </row>
    <row r="84" spans="21:21">
      <c r="U84">
        <f t="shared" si="2"/>
        <v>0</v>
      </c>
    </row>
    <row r="85" spans="21:21">
      <c r="U85">
        <f t="shared" si="2"/>
        <v>0</v>
      </c>
    </row>
    <row r="86" spans="21:21">
      <c r="U86">
        <f t="shared" si="2"/>
        <v>0</v>
      </c>
    </row>
    <row r="87" spans="21:21">
      <c r="U87">
        <f t="shared" si="2"/>
        <v>0</v>
      </c>
    </row>
    <row r="88" spans="21:21">
      <c r="U88">
        <f t="shared" si="2"/>
        <v>0</v>
      </c>
    </row>
    <row r="89" spans="21:21">
      <c r="U89">
        <f t="shared" si="2"/>
        <v>0</v>
      </c>
    </row>
    <row r="90" spans="21:21">
      <c r="U90">
        <f t="shared" si="2"/>
        <v>0</v>
      </c>
    </row>
    <row r="91" spans="21:21">
      <c r="U91">
        <f t="shared" si="2"/>
        <v>0</v>
      </c>
    </row>
    <row r="92" spans="21:21">
      <c r="U92">
        <f t="shared" si="2"/>
        <v>0</v>
      </c>
    </row>
    <row r="93" spans="21:21">
      <c r="U93">
        <f t="shared" si="2"/>
        <v>0</v>
      </c>
    </row>
    <row r="94" spans="21:21">
      <c r="U94">
        <f t="shared" si="2"/>
        <v>0</v>
      </c>
    </row>
    <row r="95" spans="21:21">
      <c r="U95">
        <f t="shared" si="2"/>
        <v>0</v>
      </c>
    </row>
    <row r="96" spans="21:21">
      <c r="U96">
        <f t="shared" si="2"/>
        <v>0</v>
      </c>
    </row>
    <row r="97" spans="21:21">
      <c r="U97">
        <f t="shared" si="2"/>
        <v>0</v>
      </c>
    </row>
    <row r="98" spans="21:21">
      <c r="U98">
        <f t="shared" ref="U98:U129" si="3">SUM(O98:T98)</f>
        <v>0</v>
      </c>
    </row>
    <row r="99" spans="21:21">
      <c r="U99">
        <f t="shared" si="3"/>
        <v>0</v>
      </c>
    </row>
    <row r="100" spans="21:21">
      <c r="U100">
        <f t="shared" si="3"/>
        <v>0</v>
      </c>
    </row>
    <row r="101" spans="21:21">
      <c r="U101">
        <f t="shared" si="3"/>
        <v>0</v>
      </c>
    </row>
  </sheetData>
  <conditionalFormatting sqref="U2:U101">
    <cfRule type="colorScale" priority="1">
      <colorScale>
        <cfvo type="min"/>
        <cfvo type="percentile" val="50"/>
        <cfvo type="max"/>
        <color rgb="FFF8D7DA"/>
        <color rgb="FFFDECC8"/>
        <color rgb="FFD9F2E6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400-000000000000}">
          <x14:formula1>
            <xm:f>Lists!$C$2:$C$8</xm:f>
          </x14:formula1>
          <xm:sqref>D2:D101</xm:sqref>
        </x14:dataValidation>
        <x14:dataValidation type="list" xr:uid="{00000000-0002-0000-0400-000001000000}">
          <x14:formula1>
            <xm:f>Lists!$F$2:$F$5</xm:f>
          </x14:formula1>
          <xm:sqref>E2:E101</xm:sqref>
        </x14:dataValidation>
        <x14:dataValidation type="list" xr:uid="{00000000-0002-0000-0400-000002000000}">
          <x14:formula1>
            <xm:f>Lists!$D$2:$D$6</xm:f>
          </x14:formula1>
          <xm:sqref>L2:L101</xm:sqref>
        </x14:dataValidation>
        <x14:dataValidation type="list" xr:uid="{00000000-0002-0000-0400-000003000000}">
          <x14:formula1>
            <xm:f>Lists!$E$2:$E$3</xm:f>
          </x14:formula1>
          <xm:sqref>N2:N101</xm:sqref>
        </x14:dataValidation>
        <x14:dataValidation type="list" xr:uid="{00000000-0002-0000-0400-000004000000}">
          <x14:formula1>
            <xm:f>'Rejection Reasons'!$A$2:$A$14</xm:f>
          </x14:formula1>
          <xm:sqref>V2:V101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workbookViewId="0"/>
  </sheetViews>
  <sheetFormatPr defaultRowHeight="14.25"/>
  <cols>
    <col min="1" max="1" width="28" customWidth="1"/>
    <col min="2" max="2" width="10" customWidth="1"/>
    <col min="3" max="3" width="34" customWidth="1"/>
    <col min="4" max="4" width="22" customWidth="1"/>
    <col min="5" max="5" width="10" customWidth="1"/>
    <col min="6" max="6" width="12" customWidth="1"/>
    <col min="7" max="7" width="20" customWidth="1"/>
    <col min="8" max="8" width="22" customWidth="1"/>
    <col min="9" max="10" width="52" customWidth="1"/>
    <col min="11" max="11" width="18" customWidth="1"/>
    <col min="12" max="13" width="16" customWidth="1"/>
    <col min="14" max="15" width="14" customWidth="1"/>
  </cols>
  <sheetData>
    <row r="1" spans="1:15" ht="30">
      <c r="A1" s="1" t="s">
        <v>95</v>
      </c>
      <c r="B1" s="1" t="s">
        <v>1247</v>
      </c>
      <c r="C1" s="1" t="s">
        <v>1248</v>
      </c>
      <c r="D1" s="1" t="s">
        <v>93</v>
      </c>
      <c r="E1" s="1" t="s">
        <v>94</v>
      </c>
      <c r="F1" s="1" t="s">
        <v>1249</v>
      </c>
      <c r="G1" s="1" t="s">
        <v>1250</v>
      </c>
      <c r="H1" s="1" t="s">
        <v>1251</v>
      </c>
      <c r="I1" s="1" t="s">
        <v>1252</v>
      </c>
      <c r="J1" s="1" t="s">
        <v>1253</v>
      </c>
      <c r="K1" s="1" t="s">
        <v>112</v>
      </c>
      <c r="L1" s="1" t="s">
        <v>115</v>
      </c>
      <c r="M1" s="1" t="s">
        <v>1254</v>
      </c>
      <c r="N1" s="1" t="s">
        <v>1255</v>
      </c>
      <c r="O1" s="1" t="s">
        <v>116</v>
      </c>
    </row>
    <row r="2" spans="1:15">
      <c r="A2" t="s">
        <v>128</v>
      </c>
      <c r="B2">
        <v>1</v>
      </c>
      <c r="C2" t="s">
        <v>1256</v>
      </c>
      <c r="D2" t="s">
        <v>126</v>
      </c>
      <c r="E2" t="s">
        <v>127</v>
      </c>
      <c r="F2">
        <v>5</v>
      </c>
      <c r="G2">
        <v>405</v>
      </c>
      <c r="H2">
        <v>646</v>
      </c>
      <c r="I2" t="s">
        <v>1257</v>
      </c>
      <c r="J2" t="s">
        <v>1258</v>
      </c>
      <c r="K2" t="s">
        <v>7</v>
      </c>
      <c r="L2">
        <f>SUMIF('Asset Queue'!$J$2:$J$260,A2,'Asset Queue'!$AD$2:$AD$260)</f>
        <v>0</v>
      </c>
      <c r="M2">
        <f>COUNTIFS('Asset Queue'!$J$2:$J$260,A2,'Asset Queue'!$AB$2:$AB$260,"Approved")</f>
        <v>0</v>
      </c>
      <c r="N2" s="4">
        <f t="shared" ref="N2:N26" si="0">IFERROR(M2/F2,0)</f>
        <v>0</v>
      </c>
      <c r="O2">
        <f t="shared" ref="O2:O26" si="1">L2-G2</f>
        <v>-405</v>
      </c>
    </row>
    <row r="3" spans="1:15">
      <c r="A3" t="s">
        <v>178</v>
      </c>
      <c r="B3">
        <v>2</v>
      </c>
      <c r="C3" t="s">
        <v>1259</v>
      </c>
      <c r="D3" t="s">
        <v>126</v>
      </c>
      <c r="E3" t="s">
        <v>127</v>
      </c>
      <c r="F3">
        <v>2</v>
      </c>
      <c r="G3">
        <v>200</v>
      </c>
      <c r="H3">
        <v>334</v>
      </c>
      <c r="I3" t="s">
        <v>1260</v>
      </c>
      <c r="J3" t="s">
        <v>1258</v>
      </c>
      <c r="K3" t="s">
        <v>7</v>
      </c>
      <c r="L3">
        <f>SUMIF('Asset Queue'!$J$2:$J$260,A3,'Asset Queue'!$AD$2:$AD$260)</f>
        <v>0</v>
      </c>
      <c r="M3">
        <f>COUNTIFS('Asset Queue'!$J$2:$J$260,A3,'Asset Queue'!$AB$2:$AB$260,"Approved")</f>
        <v>0</v>
      </c>
      <c r="N3" s="4">
        <f t="shared" si="0"/>
        <v>0</v>
      </c>
      <c r="O3">
        <f t="shared" si="1"/>
        <v>-200</v>
      </c>
    </row>
    <row r="4" spans="1:15">
      <c r="A4" t="s">
        <v>191</v>
      </c>
      <c r="B4">
        <v>3</v>
      </c>
      <c r="C4" t="s">
        <v>1261</v>
      </c>
      <c r="D4" t="s">
        <v>126</v>
      </c>
      <c r="E4" t="s">
        <v>127</v>
      </c>
      <c r="F4">
        <v>3</v>
      </c>
      <c r="G4">
        <v>240</v>
      </c>
      <c r="H4">
        <v>384</v>
      </c>
      <c r="I4" t="s">
        <v>1260</v>
      </c>
      <c r="J4" t="s">
        <v>1258</v>
      </c>
      <c r="K4" t="s">
        <v>7</v>
      </c>
      <c r="L4">
        <f>SUMIF('Asset Queue'!$J$2:$J$260,A4,'Asset Queue'!$AD$2:$AD$260)</f>
        <v>0</v>
      </c>
      <c r="M4">
        <f>COUNTIFS('Asset Queue'!$J$2:$J$260,A4,'Asset Queue'!$AB$2:$AB$260,"Approved")</f>
        <v>0</v>
      </c>
      <c r="N4" s="4">
        <f t="shared" si="0"/>
        <v>0</v>
      </c>
      <c r="O4">
        <f t="shared" si="1"/>
        <v>-240</v>
      </c>
    </row>
    <row r="5" spans="1:15">
      <c r="A5" t="s">
        <v>212</v>
      </c>
      <c r="B5">
        <v>4</v>
      </c>
      <c r="C5" t="s">
        <v>1262</v>
      </c>
      <c r="D5" t="s">
        <v>126</v>
      </c>
      <c r="E5" t="s">
        <v>127</v>
      </c>
      <c r="F5">
        <v>5</v>
      </c>
      <c r="G5">
        <v>500</v>
      </c>
      <c r="H5">
        <v>835</v>
      </c>
      <c r="I5" t="s">
        <v>1260</v>
      </c>
      <c r="J5" t="s">
        <v>1258</v>
      </c>
      <c r="K5" t="s">
        <v>7</v>
      </c>
      <c r="L5">
        <f>SUMIF('Asset Queue'!$J$2:$J$260,A5,'Asset Queue'!$AD$2:$AD$260)</f>
        <v>0</v>
      </c>
      <c r="M5">
        <f>COUNTIFS('Asset Queue'!$J$2:$J$260,A5,'Asset Queue'!$AB$2:$AB$260,"Approved")</f>
        <v>0</v>
      </c>
      <c r="N5" s="4">
        <f t="shared" si="0"/>
        <v>0</v>
      </c>
      <c r="O5">
        <f t="shared" si="1"/>
        <v>-500</v>
      </c>
    </row>
    <row r="6" spans="1:15">
      <c r="A6" t="s">
        <v>246</v>
      </c>
      <c r="B6">
        <v>5</v>
      </c>
      <c r="C6" t="s">
        <v>1263</v>
      </c>
      <c r="D6" t="s">
        <v>126</v>
      </c>
      <c r="E6" t="s">
        <v>127</v>
      </c>
      <c r="F6">
        <v>5</v>
      </c>
      <c r="G6">
        <v>375</v>
      </c>
      <c r="H6">
        <v>570</v>
      </c>
      <c r="I6" t="s">
        <v>1260</v>
      </c>
      <c r="J6" t="s">
        <v>1258</v>
      </c>
      <c r="K6" t="s">
        <v>7</v>
      </c>
      <c r="L6">
        <f>SUMIF('Asset Queue'!$J$2:$J$260,A6,'Asset Queue'!$AD$2:$AD$260)</f>
        <v>0</v>
      </c>
      <c r="M6">
        <f>COUNTIFS('Asset Queue'!$J$2:$J$260,A6,'Asset Queue'!$AB$2:$AB$260,"Approved")</f>
        <v>0</v>
      </c>
      <c r="N6" s="4">
        <f t="shared" si="0"/>
        <v>0</v>
      </c>
      <c r="O6">
        <f t="shared" si="1"/>
        <v>-375</v>
      </c>
    </row>
    <row r="7" spans="1:15">
      <c r="A7" t="s">
        <v>274</v>
      </c>
      <c r="B7">
        <v>6</v>
      </c>
      <c r="C7" t="s">
        <v>1264</v>
      </c>
      <c r="D7" t="s">
        <v>126</v>
      </c>
      <c r="E7" t="s">
        <v>127</v>
      </c>
      <c r="F7">
        <v>12</v>
      </c>
      <c r="G7">
        <v>900</v>
      </c>
      <c r="H7">
        <v>1476</v>
      </c>
      <c r="I7" t="s">
        <v>1260</v>
      </c>
      <c r="J7" t="s">
        <v>1258</v>
      </c>
      <c r="K7" t="s">
        <v>7</v>
      </c>
      <c r="L7">
        <f>SUMIF('Asset Queue'!$J$2:$J$260,A7,'Asset Queue'!$AD$2:$AD$260)</f>
        <v>0</v>
      </c>
      <c r="M7">
        <f>COUNTIFS('Asset Queue'!$J$2:$J$260,A7,'Asset Queue'!$AB$2:$AB$260,"Approved")</f>
        <v>0</v>
      </c>
      <c r="N7" s="4">
        <f t="shared" si="0"/>
        <v>0</v>
      </c>
      <c r="O7">
        <f t="shared" si="1"/>
        <v>-900</v>
      </c>
    </row>
    <row r="8" spans="1:15">
      <c r="A8" t="s">
        <v>337</v>
      </c>
      <c r="B8">
        <v>7</v>
      </c>
      <c r="C8" t="s">
        <v>1265</v>
      </c>
      <c r="D8" t="s">
        <v>126</v>
      </c>
      <c r="E8" t="s">
        <v>127</v>
      </c>
      <c r="F8">
        <v>4</v>
      </c>
      <c r="G8">
        <v>300</v>
      </c>
      <c r="H8">
        <v>492</v>
      </c>
      <c r="I8" t="s">
        <v>1260</v>
      </c>
      <c r="J8" t="s">
        <v>1258</v>
      </c>
      <c r="K8" t="s">
        <v>7</v>
      </c>
      <c r="L8">
        <f>SUMIF('Asset Queue'!$J$2:$J$260,A8,'Asset Queue'!$AD$2:$AD$260)</f>
        <v>0</v>
      </c>
      <c r="M8">
        <f>COUNTIFS('Asset Queue'!$J$2:$J$260,A8,'Asset Queue'!$AB$2:$AB$260,"Approved")</f>
        <v>0</v>
      </c>
      <c r="N8" s="4">
        <f t="shared" si="0"/>
        <v>0</v>
      </c>
      <c r="O8">
        <f t="shared" si="1"/>
        <v>-300</v>
      </c>
    </row>
    <row r="9" spans="1:15">
      <c r="A9" t="s">
        <v>362</v>
      </c>
      <c r="B9">
        <v>8</v>
      </c>
      <c r="C9" t="s">
        <v>1266</v>
      </c>
      <c r="D9" t="s">
        <v>126</v>
      </c>
      <c r="E9" t="s">
        <v>127</v>
      </c>
      <c r="F9">
        <v>8</v>
      </c>
      <c r="G9">
        <v>600</v>
      </c>
      <c r="H9">
        <v>948</v>
      </c>
      <c r="I9" t="s">
        <v>1260</v>
      </c>
      <c r="J9" t="s">
        <v>1258</v>
      </c>
      <c r="K9" t="s">
        <v>7</v>
      </c>
      <c r="L9">
        <f>SUMIF('Asset Queue'!$J$2:$J$260,A9,'Asset Queue'!$AD$2:$AD$260)</f>
        <v>0</v>
      </c>
      <c r="M9">
        <f>COUNTIFS('Asset Queue'!$J$2:$J$260,A9,'Asset Queue'!$AB$2:$AB$260,"Approved")</f>
        <v>0</v>
      </c>
      <c r="N9" s="4">
        <f t="shared" si="0"/>
        <v>0</v>
      </c>
      <c r="O9">
        <f t="shared" si="1"/>
        <v>-600</v>
      </c>
    </row>
    <row r="10" spans="1:15">
      <c r="A10" t="s">
        <v>392</v>
      </c>
      <c r="B10">
        <v>9</v>
      </c>
      <c r="C10" t="s">
        <v>1267</v>
      </c>
      <c r="D10" t="s">
        <v>390</v>
      </c>
      <c r="E10" t="s">
        <v>391</v>
      </c>
      <c r="F10">
        <v>18</v>
      </c>
      <c r="G10">
        <v>990</v>
      </c>
      <c r="H10">
        <v>1620</v>
      </c>
      <c r="I10" t="s">
        <v>1260</v>
      </c>
      <c r="J10" t="s">
        <v>1258</v>
      </c>
      <c r="K10" t="s">
        <v>7</v>
      </c>
      <c r="L10">
        <f>SUMIF('Asset Queue'!$J$2:$J$260,A10,'Asset Queue'!$AD$2:$AD$260)</f>
        <v>0</v>
      </c>
      <c r="M10">
        <f>COUNTIFS('Asset Queue'!$J$2:$J$260,A10,'Asset Queue'!$AB$2:$AB$260,"Approved")</f>
        <v>0</v>
      </c>
      <c r="N10" s="4">
        <f t="shared" si="0"/>
        <v>0</v>
      </c>
      <c r="O10">
        <f t="shared" si="1"/>
        <v>-990</v>
      </c>
    </row>
    <row r="11" spans="1:15">
      <c r="A11" t="s">
        <v>465</v>
      </c>
      <c r="B11">
        <v>10</v>
      </c>
      <c r="C11" t="s">
        <v>1268</v>
      </c>
      <c r="D11" t="s">
        <v>390</v>
      </c>
      <c r="E11" t="s">
        <v>391</v>
      </c>
      <c r="F11">
        <v>18</v>
      </c>
      <c r="G11">
        <v>990</v>
      </c>
      <c r="H11">
        <v>1620</v>
      </c>
      <c r="I11" t="s">
        <v>1260</v>
      </c>
      <c r="J11" t="s">
        <v>1258</v>
      </c>
      <c r="K11" t="s">
        <v>7</v>
      </c>
      <c r="L11">
        <f>SUMIF('Asset Queue'!$J$2:$J$260,A11,'Asset Queue'!$AD$2:$AD$260)</f>
        <v>0</v>
      </c>
      <c r="M11">
        <f>COUNTIFS('Asset Queue'!$J$2:$J$260,A11,'Asset Queue'!$AB$2:$AB$260,"Approved")</f>
        <v>0</v>
      </c>
      <c r="N11" s="4">
        <f t="shared" si="0"/>
        <v>0</v>
      </c>
      <c r="O11">
        <f t="shared" si="1"/>
        <v>-990</v>
      </c>
    </row>
    <row r="12" spans="1:15">
      <c r="A12" t="s">
        <v>540</v>
      </c>
      <c r="B12">
        <v>11</v>
      </c>
      <c r="C12" t="s">
        <v>1269</v>
      </c>
      <c r="D12" t="s">
        <v>538</v>
      </c>
      <c r="E12" t="s">
        <v>539</v>
      </c>
      <c r="F12">
        <v>18</v>
      </c>
      <c r="G12">
        <v>990</v>
      </c>
      <c r="H12">
        <v>1620</v>
      </c>
      <c r="I12" t="s">
        <v>1260</v>
      </c>
      <c r="J12" t="s">
        <v>1258</v>
      </c>
      <c r="K12" t="s">
        <v>7</v>
      </c>
      <c r="L12">
        <f>SUMIF('Asset Queue'!$J$2:$J$260,A12,'Asset Queue'!$AD$2:$AD$260)</f>
        <v>0</v>
      </c>
      <c r="M12">
        <f>COUNTIFS('Asset Queue'!$J$2:$J$260,A12,'Asset Queue'!$AB$2:$AB$260,"Approved")</f>
        <v>0</v>
      </c>
      <c r="N12" s="4">
        <f t="shared" si="0"/>
        <v>0</v>
      </c>
      <c r="O12">
        <f t="shared" si="1"/>
        <v>-990</v>
      </c>
    </row>
    <row r="13" spans="1:15">
      <c r="A13" t="s">
        <v>613</v>
      </c>
      <c r="B13">
        <v>12</v>
      </c>
      <c r="C13" t="s">
        <v>1270</v>
      </c>
      <c r="D13" t="s">
        <v>538</v>
      </c>
      <c r="E13" t="s">
        <v>539</v>
      </c>
      <c r="F13">
        <v>18</v>
      </c>
      <c r="G13">
        <v>990</v>
      </c>
      <c r="H13">
        <v>1620</v>
      </c>
      <c r="I13" t="s">
        <v>1260</v>
      </c>
      <c r="J13" t="s">
        <v>1258</v>
      </c>
      <c r="K13" t="s">
        <v>7</v>
      </c>
      <c r="L13">
        <f>SUMIF('Asset Queue'!$J$2:$J$260,A13,'Asset Queue'!$AD$2:$AD$260)</f>
        <v>0</v>
      </c>
      <c r="M13">
        <f>COUNTIFS('Asset Queue'!$J$2:$J$260,A13,'Asset Queue'!$AB$2:$AB$260,"Approved")</f>
        <v>0</v>
      </c>
      <c r="N13" s="4">
        <f t="shared" si="0"/>
        <v>0</v>
      </c>
      <c r="O13">
        <f t="shared" si="1"/>
        <v>-990</v>
      </c>
    </row>
    <row r="14" spans="1:15">
      <c r="A14" t="s">
        <v>686</v>
      </c>
      <c r="B14">
        <v>13</v>
      </c>
      <c r="C14" t="s">
        <v>1271</v>
      </c>
      <c r="D14" t="s">
        <v>538</v>
      </c>
      <c r="E14" t="s">
        <v>539</v>
      </c>
      <c r="F14">
        <v>18</v>
      </c>
      <c r="G14">
        <v>990</v>
      </c>
      <c r="H14">
        <v>1620</v>
      </c>
      <c r="I14" t="s">
        <v>1260</v>
      </c>
      <c r="J14" t="s">
        <v>1258</v>
      </c>
      <c r="K14" t="s">
        <v>7</v>
      </c>
      <c r="L14">
        <f>SUMIF('Asset Queue'!$J$2:$J$260,A14,'Asset Queue'!$AD$2:$AD$260)</f>
        <v>0</v>
      </c>
      <c r="M14">
        <f>COUNTIFS('Asset Queue'!$J$2:$J$260,A14,'Asset Queue'!$AB$2:$AB$260,"Approved")</f>
        <v>0</v>
      </c>
      <c r="N14" s="4">
        <f t="shared" si="0"/>
        <v>0</v>
      </c>
      <c r="O14">
        <f t="shared" si="1"/>
        <v>-990</v>
      </c>
    </row>
    <row r="15" spans="1:15">
      <c r="A15" t="s">
        <v>759</v>
      </c>
      <c r="B15">
        <v>14</v>
      </c>
      <c r="C15" t="s">
        <v>1272</v>
      </c>
      <c r="D15" t="s">
        <v>538</v>
      </c>
      <c r="E15" t="s">
        <v>539</v>
      </c>
      <c r="F15">
        <v>18</v>
      </c>
      <c r="G15">
        <v>990</v>
      </c>
      <c r="H15">
        <v>1620</v>
      </c>
      <c r="I15" t="s">
        <v>1260</v>
      </c>
      <c r="J15" t="s">
        <v>1258</v>
      </c>
      <c r="K15" t="s">
        <v>7</v>
      </c>
      <c r="L15">
        <f>SUMIF('Asset Queue'!$J$2:$J$260,A15,'Asset Queue'!$AD$2:$AD$260)</f>
        <v>0</v>
      </c>
      <c r="M15">
        <f>COUNTIFS('Asset Queue'!$J$2:$J$260,A15,'Asset Queue'!$AB$2:$AB$260,"Approved")</f>
        <v>0</v>
      </c>
      <c r="N15" s="4">
        <f t="shared" si="0"/>
        <v>0</v>
      </c>
      <c r="O15">
        <f t="shared" si="1"/>
        <v>-990</v>
      </c>
    </row>
    <row r="16" spans="1:15">
      <c r="A16" t="s">
        <v>834</v>
      </c>
      <c r="B16">
        <v>15</v>
      </c>
      <c r="C16" t="s">
        <v>1273</v>
      </c>
      <c r="D16" t="s">
        <v>832</v>
      </c>
      <c r="E16" t="s">
        <v>833</v>
      </c>
      <c r="F16">
        <v>18</v>
      </c>
      <c r="G16">
        <v>630</v>
      </c>
      <c r="H16">
        <v>1080</v>
      </c>
      <c r="I16" t="s">
        <v>1260</v>
      </c>
      <c r="J16" t="s">
        <v>1258</v>
      </c>
      <c r="K16" t="s">
        <v>7</v>
      </c>
      <c r="L16">
        <f>SUMIF('Asset Queue'!$J$2:$J$260,A16,'Asset Queue'!$AD$2:$AD$260)</f>
        <v>0</v>
      </c>
      <c r="M16">
        <f>COUNTIFS('Asset Queue'!$J$2:$J$260,A16,'Asset Queue'!$AB$2:$AB$260,"Approved")</f>
        <v>0</v>
      </c>
      <c r="N16" s="4">
        <f t="shared" si="0"/>
        <v>0</v>
      </c>
      <c r="O16">
        <f t="shared" si="1"/>
        <v>-630</v>
      </c>
    </row>
    <row r="17" spans="1:15">
      <c r="A17" t="s">
        <v>907</v>
      </c>
      <c r="B17">
        <v>16</v>
      </c>
      <c r="C17" t="s">
        <v>1274</v>
      </c>
      <c r="D17" t="s">
        <v>832</v>
      </c>
      <c r="E17" t="s">
        <v>833</v>
      </c>
      <c r="F17">
        <v>18</v>
      </c>
      <c r="G17">
        <v>630</v>
      </c>
      <c r="H17">
        <v>1080</v>
      </c>
      <c r="I17" t="s">
        <v>1260</v>
      </c>
      <c r="J17" t="s">
        <v>1258</v>
      </c>
      <c r="K17" t="s">
        <v>7</v>
      </c>
      <c r="L17">
        <f>SUMIF('Asset Queue'!$J$2:$J$260,A17,'Asset Queue'!$AD$2:$AD$260)</f>
        <v>0</v>
      </c>
      <c r="M17">
        <f>COUNTIFS('Asset Queue'!$J$2:$J$260,A17,'Asset Queue'!$AB$2:$AB$260,"Approved")</f>
        <v>0</v>
      </c>
      <c r="N17" s="4">
        <f t="shared" si="0"/>
        <v>0</v>
      </c>
      <c r="O17">
        <f t="shared" si="1"/>
        <v>-630</v>
      </c>
    </row>
    <row r="18" spans="1:15">
      <c r="A18" t="s">
        <v>980</v>
      </c>
      <c r="B18">
        <v>17</v>
      </c>
      <c r="C18" t="s">
        <v>1275</v>
      </c>
      <c r="D18" t="s">
        <v>390</v>
      </c>
      <c r="E18" t="s">
        <v>391</v>
      </c>
      <c r="F18">
        <v>5</v>
      </c>
      <c r="G18">
        <v>275</v>
      </c>
      <c r="H18">
        <v>465</v>
      </c>
      <c r="I18" t="s">
        <v>1260</v>
      </c>
      <c r="J18" t="s">
        <v>1258</v>
      </c>
      <c r="K18" t="s">
        <v>7</v>
      </c>
      <c r="L18">
        <f>SUMIF('Asset Queue'!$J$2:$J$260,A18,'Asset Queue'!$AD$2:$AD$260)</f>
        <v>0</v>
      </c>
      <c r="M18">
        <f>COUNTIFS('Asset Queue'!$J$2:$J$260,A18,'Asset Queue'!$AB$2:$AB$260,"Approved")</f>
        <v>0</v>
      </c>
      <c r="N18" s="4">
        <f t="shared" si="0"/>
        <v>0</v>
      </c>
      <c r="O18">
        <f t="shared" si="1"/>
        <v>-275</v>
      </c>
    </row>
    <row r="19" spans="1:15">
      <c r="A19" t="s">
        <v>1001</v>
      </c>
      <c r="B19">
        <v>18</v>
      </c>
      <c r="C19" t="s">
        <v>1276</v>
      </c>
      <c r="D19" t="s">
        <v>538</v>
      </c>
      <c r="E19" t="s">
        <v>539</v>
      </c>
      <c r="F19">
        <v>5</v>
      </c>
      <c r="G19">
        <v>275</v>
      </c>
      <c r="H19">
        <v>465</v>
      </c>
      <c r="I19" t="s">
        <v>1260</v>
      </c>
      <c r="J19" t="s">
        <v>1258</v>
      </c>
      <c r="K19" t="s">
        <v>7</v>
      </c>
      <c r="L19">
        <f>SUMIF('Asset Queue'!$J$2:$J$260,A19,'Asset Queue'!$AD$2:$AD$260)</f>
        <v>0</v>
      </c>
      <c r="M19">
        <f>COUNTIFS('Asset Queue'!$J$2:$J$260,A19,'Asset Queue'!$AB$2:$AB$260,"Approved")</f>
        <v>0</v>
      </c>
      <c r="N19" s="4">
        <f t="shared" si="0"/>
        <v>0</v>
      </c>
      <c r="O19">
        <f t="shared" si="1"/>
        <v>-275</v>
      </c>
    </row>
    <row r="20" spans="1:15">
      <c r="A20" t="s">
        <v>1022</v>
      </c>
      <c r="B20">
        <v>19</v>
      </c>
      <c r="C20" t="s">
        <v>1277</v>
      </c>
      <c r="D20" t="s">
        <v>538</v>
      </c>
      <c r="E20" t="s">
        <v>539</v>
      </c>
      <c r="F20">
        <v>5</v>
      </c>
      <c r="G20">
        <v>275</v>
      </c>
      <c r="H20">
        <v>465</v>
      </c>
      <c r="I20" t="s">
        <v>1260</v>
      </c>
      <c r="J20" t="s">
        <v>1258</v>
      </c>
      <c r="K20" t="s">
        <v>7</v>
      </c>
      <c r="L20">
        <f>SUMIF('Asset Queue'!$J$2:$J$260,A20,'Asset Queue'!$AD$2:$AD$260)</f>
        <v>0</v>
      </c>
      <c r="M20">
        <f>COUNTIFS('Asset Queue'!$J$2:$J$260,A20,'Asset Queue'!$AB$2:$AB$260,"Approved")</f>
        <v>0</v>
      </c>
      <c r="N20" s="4">
        <f t="shared" si="0"/>
        <v>0</v>
      </c>
      <c r="O20">
        <f t="shared" si="1"/>
        <v>-275</v>
      </c>
    </row>
    <row r="21" spans="1:15">
      <c r="A21" t="s">
        <v>1044</v>
      </c>
      <c r="B21">
        <v>20</v>
      </c>
      <c r="C21" t="s">
        <v>1278</v>
      </c>
      <c r="D21" t="s">
        <v>832</v>
      </c>
      <c r="E21" t="s">
        <v>833</v>
      </c>
      <c r="F21">
        <v>5</v>
      </c>
      <c r="G21">
        <v>375</v>
      </c>
      <c r="H21">
        <v>615</v>
      </c>
      <c r="I21" t="s">
        <v>1260</v>
      </c>
      <c r="J21" t="s">
        <v>1258</v>
      </c>
      <c r="K21" t="s">
        <v>7</v>
      </c>
      <c r="L21">
        <f>SUMIF('Asset Queue'!$J$2:$J$260,A21,'Asset Queue'!$AD$2:$AD$260)</f>
        <v>0</v>
      </c>
      <c r="M21">
        <f>COUNTIFS('Asset Queue'!$J$2:$J$260,A21,'Asset Queue'!$AB$2:$AB$260,"Approved")</f>
        <v>0</v>
      </c>
      <c r="N21" s="4">
        <f t="shared" si="0"/>
        <v>0</v>
      </c>
      <c r="O21">
        <f t="shared" si="1"/>
        <v>-375</v>
      </c>
    </row>
    <row r="22" spans="1:15">
      <c r="A22" t="s">
        <v>1066</v>
      </c>
      <c r="B22">
        <v>21</v>
      </c>
      <c r="C22" t="s">
        <v>1279</v>
      </c>
      <c r="D22" t="s">
        <v>126</v>
      </c>
      <c r="E22" t="s">
        <v>127</v>
      </c>
      <c r="F22">
        <v>11</v>
      </c>
      <c r="G22">
        <v>825</v>
      </c>
      <c r="H22">
        <v>1299</v>
      </c>
      <c r="I22" t="s">
        <v>1260</v>
      </c>
      <c r="J22" t="s">
        <v>1258</v>
      </c>
      <c r="K22" t="s">
        <v>7</v>
      </c>
      <c r="L22">
        <f>SUMIF('Asset Queue'!$J$2:$J$260,A22,'Asset Queue'!$AD$2:$AD$260)</f>
        <v>0</v>
      </c>
      <c r="M22">
        <f>COUNTIFS('Asset Queue'!$J$2:$J$260,A22,'Asset Queue'!$AB$2:$AB$260,"Approved")</f>
        <v>0</v>
      </c>
      <c r="N22" s="4">
        <f t="shared" si="0"/>
        <v>0</v>
      </c>
      <c r="O22">
        <f t="shared" si="1"/>
        <v>-825</v>
      </c>
    </row>
    <row r="23" spans="1:15">
      <c r="A23" t="s">
        <v>1102</v>
      </c>
      <c r="B23">
        <v>22</v>
      </c>
      <c r="C23" t="s">
        <v>1280</v>
      </c>
      <c r="D23" t="s">
        <v>1101</v>
      </c>
      <c r="E23" t="s">
        <v>391</v>
      </c>
      <c r="F23">
        <v>6</v>
      </c>
      <c r="G23">
        <v>330</v>
      </c>
      <c r="H23">
        <v>549</v>
      </c>
      <c r="I23" t="s">
        <v>1260</v>
      </c>
      <c r="J23" t="s">
        <v>1258</v>
      </c>
      <c r="K23" t="s">
        <v>7</v>
      </c>
      <c r="L23">
        <f>SUMIF('Asset Queue'!$J$2:$J$260,A23,'Asset Queue'!$AD$2:$AD$260)</f>
        <v>0</v>
      </c>
      <c r="M23">
        <f>COUNTIFS('Asset Queue'!$J$2:$J$260,A23,'Asset Queue'!$AB$2:$AB$260,"Approved")</f>
        <v>0</v>
      </c>
      <c r="N23" s="4">
        <f t="shared" si="0"/>
        <v>0</v>
      </c>
      <c r="O23">
        <f t="shared" si="1"/>
        <v>-330</v>
      </c>
    </row>
    <row r="24" spans="1:15">
      <c r="A24" t="s">
        <v>1122</v>
      </c>
      <c r="B24">
        <v>23</v>
      </c>
      <c r="C24" t="s">
        <v>1281</v>
      </c>
      <c r="D24" t="s">
        <v>1101</v>
      </c>
      <c r="E24" t="s">
        <v>391</v>
      </c>
      <c r="F24">
        <v>14</v>
      </c>
      <c r="G24">
        <v>770</v>
      </c>
      <c r="H24">
        <v>1203</v>
      </c>
      <c r="I24" t="s">
        <v>1260</v>
      </c>
      <c r="J24" t="s">
        <v>1258</v>
      </c>
      <c r="K24" t="s">
        <v>7</v>
      </c>
      <c r="L24">
        <f>SUMIF('Asset Queue'!$J$2:$J$260,A24,'Asset Queue'!$AD$2:$AD$260)</f>
        <v>0</v>
      </c>
      <c r="M24">
        <f>COUNTIFS('Asset Queue'!$J$2:$J$260,A24,'Asset Queue'!$AB$2:$AB$260,"Approved")</f>
        <v>0</v>
      </c>
      <c r="N24" s="4">
        <f t="shared" si="0"/>
        <v>0</v>
      </c>
      <c r="O24">
        <f t="shared" si="1"/>
        <v>-770</v>
      </c>
    </row>
    <row r="25" spans="1:15">
      <c r="A25" t="s">
        <v>1166</v>
      </c>
      <c r="B25">
        <v>24</v>
      </c>
      <c r="C25" t="s">
        <v>1282</v>
      </c>
      <c r="D25" t="s">
        <v>1165</v>
      </c>
      <c r="E25" t="s">
        <v>391</v>
      </c>
      <c r="F25">
        <v>8</v>
      </c>
      <c r="G25">
        <v>440</v>
      </c>
      <c r="H25">
        <v>717</v>
      </c>
      <c r="I25" t="s">
        <v>1260</v>
      </c>
      <c r="J25" t="s">
        <v>1258</v>
      </c>
      <c r="K25" t="s">
        <v>7</v>
      </c>
      <c r="L25">
        <f>SUMIF('Asset Queue'!$J$2:$J$260,A25,'Asset Queue'!$AD$2:$AD$260)</f>
        <v>0</v>
      </c>
      <c r="M25">
        <f>COUNTIFS('Asset Queue'!$J$2:$J$260,A25,'Asset Queue'!$AB$2:$AB$260,"Approved")</f>
        <v>0</v>
      </c>
      <c r="N25" s="4">
        <f t="shared" si="0"/>
        <v>0</v>
      </c>
      <c r="O25">
        <f t="shared" si="1"/>
        <v>-440</v>
      </c>
    </row>
    <row r="26" spans="1:15">
      <c r="A26" t="s">
        <v>1193</v>
      </c>
      <c r="B26">
        <v>25</v>
      </c>
      <c r="C26" t="s">
        <v>1283</v>
      </c>
      <c r="D26" t="s">
        <v>1165</v>
      </c>
      <c r="E26" t="s">
        <v>391</v>
      </c>
      <c r="F26">
        <v>12</v>
      </c>
      <c r="G26">
        <v>660</v>
      </c>
      <c r="H26">
        <v>1062</v>
      </c>
      <c r="I26" t="s">
        <v>1260</v>
      </c>
      <c r="J26" t="s">
        <v>1258</v>
      </c>
      <c r="K26" t="s">
        <v>7</v>
      </c>
      <c r="L26">
        <f>SUMIF('Asset Queue'!$J$2:$J$260,A26,'Asset Queue'!$AD$2:$AD$260)</f>
        <v>0</v>
      </c>
      <c r="M26">
        <f>COUNTIFS('Asset Queue'!$J$2:$J$260,A26,'Asset Queue'!$AB$2:$AB$260,"Approved")</f>
        <v>0</v>
      </c>
      <c r="N26" s="4">
        <f t="shared" si="0"/>
        <v>0</v>
      </c>
      <c r="O26">
        <f t="shared" si="1"/>
        <v>-660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86"/>
  <sheetViews>
    <sheetView workbookViewId="0"/>
  </sheetViews>
  <sheetFormatPr defaultRowHeight="14.25"/>
  <cols>
    <col min="1" max="1" width="18" customWidth="1"/>
    <col min="2" max="2" width="20" customWidth="1"/>
    <col min="3" max="3" width="16" customWidth="1"/>
    <col min="4" max="4" width="70" customWidth="1"/>
    <col min="5" max="5" width="12" customWidth="1"/>
    <col min="6" max="6" width="10" customWidth="1"/>
    <col min="7" max="7" width="68" customWidth="1"/>
  </cols>
  <sheetData>
    <row r="1" spans="1:7" ht="15">
      <c r="A1" s="1" t="s">
        <v>1284</v>
      </c>
      <c r="B1" s="1" t="s">
        <v>1285</v>
      </c>
      <c r="C1" s="1" t="s">
        <v>1286</v>
      </c>
      <c r="D1" s="1" t="s">
        <v>1287</v>
      </c>
      <c r="E1" s="1" t="s">
        <v>1288</v>
      </c>
      <c r="F1" s="1" t="s">
        <v>1289</v>
      </c>
      <c r="G1" s="1" t="s">
        <v>1290</v>
      </c>
    </row>
    <row r="2" spans="1:7">
      <c r="A2" t="s">
        <v>1291</v>
      </c>
      <c r="B2" t="s">
        <v>123</v>
      </c>
      <c r="C2" t="s">
        <v>9</v>
      </c>
      <c r="D2" t="s">
        <v>2932</v>
      </c>
      <c r="E2">
        <v>3294</v>
      </c>
      <c r="F2">
        <v>460</v>
      </c>
      <c r="G2" t="s">
        <v>1292</v>
      </c>
    </row>
    <row r="3" spans="1:7">
      <c r="A3" t="s">
        <v>1293</v>
      </c>
      <c r="B3" t="s">
        <v>123</v>
      </c>
      <c r="C3" t="s">
        <v>9</v>
      </c>
      <c r="D3" t="s">
        <v>2933</v>
      </c>
      <c r="E3">
        <v>3701</v>
      </c>
      <c r="F3">
        <v>512</v>
      </c>
      <c r="G3" t="s">
        <v>1294</v>
      </c>
    </row>
    <row r="4" spans="1:7">
      <c r="A4" t="s">
        <v>1295</v>
      </c>
      <c r="B4" t="s">
        <v>123</v>
      </c>
      <c r="C4" t="s">
        <v>9</v>
      </c>
      <c r="D4" t="s">
        <v>2929</v>
      </c>
      <c r="E4">
        <v>3079</v>
      </c>
      <c r="F4">
        <v>422</v>
      </c>
      <c r="G4" t="s">
        <v>1296</v>
      </c>
    </row>
    <row r="5" spans="1:7">
      <c r="A5" t="s">
        <v>1297</v>
      </c>
      <c r="B5" t="s">
        <v>123</v>
      </c>
      <c r="C5" t="s">
        <v>9</v>
      </c>
      <c r="D5" t="s">
        <v>2934</v>
      </c>
      <c r="E5">
        <v>3418</v>
      </c>
      <c r="F5">
        <v>473</v>
      </c>
      <c r="G5" t="s">
        <v>1298</v>
      </c>
    </row>
    <row r="6" spans="1:7">
      <c r="A6" t="s">
        <v>1299</v>
      </c>
      <c r="B6" t="s">
        <v>123</v>
      </c>
      <c r="C6" t="s">
        <v>9</v>
      </c>
      <c r="D6" t="s">
        <v>2935</v>
      </c>
      <c r="E6">
        <v>3138</v>
      </c>
      <c r="F6">
        <v>435</v>
      </c>
      <c r="G6" t="s">
        <v>1300</v>
      </c>
    </row>
    <row r="7" spans="1:7">
      <c r="A7" t="s">
        <v>1301</v>
      </c>
      <c r="B7" t="s">
        <v>123</v>
      </c>
      <c r="C7" t="s">
        <v>9</v>
      </c>
      <c r="D7" t="s">
        <v>2925</v>
      </c>
      <c r="E7">
        <v>3176</v>
      </c>
      <c r="F7">
        <v>443</v>
      </c>
      <c r="G7" t="s">
        <v>1302</v>
      </c>
    </row>
    <row r="8" spans="1:7">
      <c r="A8" t="s">
        <v>1303</v>
      </c>
      <c r="B8" t="s">
        <v>123</v>
      </c>
      <c r="C8" t="s">
        <v>9</v>
      </c>
      <c r="D8" t="s">
        <v>2930</v>
      </c>
      <c r="E8">
        <v>3204</v>
      </c>
      <c r="F8">
        <v>448</v>
      </c>
      <c r="G8" t="s">
        <v>1304</v>
      </c>
    </row>
    <row r="9" spans="1:7">
      <c r="A9" t="s">
        <v>1305</v>
      </c>
      <c r="B9" t="s">
        <v>123</v>
      </c>
      <c r="C9" t="s">
        <v>9</v>
      </c>
      <c r="D9" t="s">
        <v>2931</v>
      </c>
      <c r="E9">
        <v>3140</v>
      </c>
      <c r="F9">
        <v>432</v>
      </c>
      <c r="G9" t="s">
        <v>1306</v>
      </c>
    </row>
    <row r="10" spans="1:7">
      <c r="A10" t="s">
        <v>1307</v>
      </c>
      <c r="B10" t="s">
        <v>123</v>
      </c>
      <c r="C10" t="s">
        <v>9</v>
      </c>
      <c r="D10" t="s">
        <v>2936</v>
      </c>
      <c r="E10">
        <v>3128</v>
      </c>
      <c r="F10">
        <v>426</v>
      </c>
      <c r="G10" t="s">
        <v>1308</v>
      </c>
    </row>
    <row r="11" spans="1:7">
      <c r="A11" t="s">
        <v>1309</v>
      </c>
      <c r="B11" t="s">
        <v>123</v>
      </c>
      <c r="C11" t="s">
        <v>9</v>
      </c>
      <c r="D11" t="s">
        <v>2927</v>
      </c>
      <c r="E11">
        <v>3317</v>
      </c>
      <c r="F11">
        <v>460</v>
      </c>
      <c r="G11" t="s">
        <v>1310</v>
      </c>
    </row>
    <row r="12" spans="1:7">
      <c r="A12" t="s">
        <v>1311</v>
      </c>
      <c r="B12" t="s">
        <v>123</v>
      </c>
      <c r="C12" t="s">
        <v>9</v>
      </c>
      <c r="D12" t="s">
        <v>2928</v>
      </c>
      <c r="E12">
        <v>3323</v>
      </c>
      <c r="F12">
        <v>466</v>
      </c>
      <c r="G12" t="s">
        <v>1312</v>
      </c>
    </row>
    <row r="13" spans="1:7">
      <c r="A13" t="s">
        <v>1313</v>
      </c>
      <c r="B13" t="s">
        <v>123</v>
      </c>
      <c r="C13" t="s">
        <v>9</v>
      </c>
      <c r="D13" t="s">
        <v>2926</v>
      </c>
      <c r="E13">
        <v>3367</v>
      </c>
      <c r="F13">
        <v>466</v>
      </c>
      <c r="G13" t="s">
        <v>1314</v>
      </c>
    </row>
    <row r="14" spans="1:7">
      <c r="A14" t="s">
        <v>1315</v>
      </c>
      <c r="B14" t="s">
        <v>123</v>
      </c>
      <c r="C14" t="s">
        <v>1316</v>
      </c>
      <c r="D14" t="s">
        <v>2944</v>
      </c>
      <c r="E14">
        <v>2741</v>
      </c>
      <c r="F14">
        <v>372</v>
      </c>
      <c r="G14" t="s">
        <v>1317</v>
      </c>
    </row>
    <row r="15" spans="1:7">
      <c r="A15" t="s">
        <v>1318</v>
      </c>
      <c r="B15" t="s">
        <v>123</v>
      </c>
      <c r="C15" t="s">
        <v>1316</v>
      </c>
      <c r="D15" t="s">
        <v>2945</v>
      </c>
      <c r="E15">
        <v>3012</v>
      </c>
      <c r="F15">
        <v>406</v>
      </c>
      <c r="G15" t="s">
        <v>1319</v>
      </c>
    </row>
    <row r="16" spans="1:7">
      <c r="A16" t="s">
        <v>1320</v>
      </c>
      <c r="B16" t="s">
        <v>123</v>
      </c>
      <c r="C16" t="s">
        <v>1316</v>
      </c>
      <c r="D16" t="s">
        <v>2941</v>
      </c>
      <c r="E16">
        <v>2597</v>
      </c>
      <c r="F16">
        <v>345</v>
      </c>
      <c r="G16" t="s">
        <v>1321</v>
      </c>
    </row>
    <row r="17" spans="1:7">
      <c r="A17" t="s">
        <v>1322</v>
      </c>
      <c r="B17" t="s">
        <v>123</v>
      </c>
      <c r="C17" t="s">
        <v>1316</v>
      </c>
      <c r="D17" t="s">
        <v>2946</v>
      </c>
      <c r="E17">
        <v>2875</v>
      </c>
      <c r="F17">
        <v>390</v>
      </c>
      <c r="G17" t="s">
        <v>1323</v>
      </c>
    </row>
    <row r="18" spans="1:7">
      <c r="A18" t="s">
        <v>1324</v>
      </c>
      <c r="B18" t="s">
        <v>123</v>
      </c>
      <c r="C18" t="s">
        <v>1316</v>
      </c>
      <c r="D18" t="s">
        <v>2947</v>
      </c>
      <c r="E18">
        <v>2633</v>
      </c>
      <c r="F18">
        <v>351</v>
      </c>
      <c r="G18" t="s">
        <v>1325</v>
      </c>
    </row>
    <row r="19" spans="1:7">
      <c r="A19" t="s">
        <v>1326</v>
      </c>
      <c r="B19" t="s">
        <v>123</v>
      </c>
      <c r="C19" t="s">
        <v>1316</v>
      </c>
      <c r="D19" t="s">
        <v>2937</v>
      </c>
      <c r="E19">
        <v>2684</v>
      </c>
      <c r="F19">
        <v>354</v>
      </c>
      <c r="G19" t="s">
        <v>1327</v>
      </c>
    </row>
    <row r="20" spans="1:7">
      <c r="A20" t="s">
        <v>1328</v>
      </c>
      <c r="B20" t="s">
        <v>123</v>
      </c>
      <c r="C20" t="s">
        <v>1316</v>
      </c>
      <c r="D20" t="s">
        <v>2942</v>
      </c>
      <c r="E20">
        <v>2708</v>
      </c>
      <c r="F20">
        <v>362</v>
      </c>
      <c r="G20" t="s">
        <v>1329</v>
      </c>
    </row>
    <row r="21" spans="1:7">
      <c r="A21" t="s">
        <v>1330</v>
      </c>
      <c r="B21" t="s">
        <v>123</v>
      </c>
      <c r="C21" t="s">
        <v>1316</v>
      </c>
      <c r="D21" t="s">
        <v>2943</v>
      </c>
      <c r="E21">
        <v>2649</v>
      </c>
      <c r="F21">
        <v>354</v>
      </c>
      <c r="G21" t="s">
        <v>1331</v>
      </c>
    </row>
    <row r="22" spans="1:7">
      <c r="A22" t="s">
        <v>1332</v>
      </c>
      <c r="B22" t="s">
        <v>123</v>
      </c>
      <c r="C22" t="s">
        <v>1316</v>
      </c>
      <c r="D22" t="s">
        <v>2948</v>
      </c>
      <c r="E22">
        <v>2636</v>
      </c>
      <c r="F22">
        <v>345</v>
      </c>
      <c r="G22" t="s">
        <v>1333</v>
      </c>
    </row>
    <row r="23" spans="1:7">
      <c r="A23" t="s">
        <v>1334</v>
      </c>
      <c r="B23" t="s">
        <v>123</v>
      </c>
      <c r="C23" t="s">
        <v>1316</v>
      </c>
      <c r="D23" t="s">
        <v>2939</v>
      </c>
      <c r="E23">
        <v>2757</v>
      </c>
      <c r="F23">
        <v>365</v>
      </c>
      <c r="G23" t="s">
        <v>1335</v>
      </c>
    </row>
    <row r="24" spans="1:7">
      <c r="A24" t="s">
        <v>1336</v>
      </c>
      <c r="B24" t="s">
        <v>123</v>
      </c>
      <c r="C24" t="s">
        <v>1316</v>
      </c>
      <c r="D24" t="s">
        <v>2940</v>
      </c>
      <c r="E24">
        <v>2764</v>
      </c>
      <c r="F24">
        <v>374</v>
      </c>
      <c r="G24" t="s">
        <v>1337</v>
      </c>
    </row>
    <row r="25" spans="1:7">
      <c r="A25" t="s">
        <v>1338</v>
      </c>
      <c r="B25" t="s">
        <v>123</v>
      </c>
      <c r="C25" t="s">
        <v>1316</v>
      </c>
      <c r="D25" t="s">
        <v>2938</v>
      </c>
      <c r="E25">
        <v>2804</v>
      </c>
      <c r="F25">
        <v>371</v>
      </c>
      <c r="G25" t="s">
        <v>1339</v>
      </c>
    </row>
    <row r="26" spans="1:7">
      <c r="A26" t="s">
        <v>1340</v>
      </c>
      <c r="B26" t="s">
        <v>123</v>
      </c>
      <c r="C26" t="s">
        <v>1341</v>
      </c>
      <c r="D26" t="s">
        <v>2956</v>
      </c>
      <c r="E26">
        <v>987</v>
      </c>
      <c r="F26">
        <v>134</v>
      </c>
      <c r="G26" t="s">
        <v>1342</v>
      </c>
    </row>
    <row r="27" spans="1:7">
      <c r="A27" t="s">
        <v>1343</v>
      </c>
      <c r="B27" t="s">
        <v>123</v>
      </c>
      <c r="C27" t="s">
        <v>1341</v>
      </c>
      <c r="D27" t="s">
        <v>2957</v>
      </c>
      <c r="E27">
        <v>1114</v>
      </c>
      <c r="F27">
        <v>154</v>
      </c>
      <c r="G27" t="s">
        <v>1344</v>
      </c>
    </row>
    <row r="28" spans="1:7">
      <c r="A28" t="s">
        <v>1345</v>
      </c>
      <c r="B28" t="s">
        <v>123</v>
      </c>
      <c r="C28" t="s">
        <v>1341</v>
      </c>
      <c r="D28" t="s">
        <v>2953</v>
      </c>
      <c r="E28">
        <v>903</v>
      </c>
      <c r="F28">
        <v>122</v>
      </c>
      <c r="G28" t="s">
        <v>1346</v>
      </c>
    </row>
    <row r="29" spans="1:7">
      <c r="A29" t="s">
        <v>1347</v>
      </c>
      <c r="B29" t="s">
        <v>123</v>
      </c>
      <c r="C29" t="s">
        <v>1341</v>
      </c>
      <c r="D29" t="s">
        <v>2958</v>
      </c>
      <c r="E29">
        <v>1042</v>
      </c>
      <c r="F29">
        <v>143</v>
      </c>
      <c r="G29" t="s">
        <v>1348</v>
      </c>
    </row>
    <row r="30" spans="1:7">
      <c r="A30" t="s">
        <v>1349</v>
      </c>
      <c r="B30" t="s">
        <v>123</v>
      </c>
      <c r="C30" t="s">
        <v>1341</v>
      </c>
      <c r="D30" t="s">
        <v>2959</v>
      </c>
      <c r="E30">
        <v>927</v>
      </c>
      <c r="F30">
        <v>125</v>
      </c>
      <c r="G30" t="s">
        <v>1350</v>
      </c>
    </row>
    <row r="31" spans="1:7">
      <c r="A31" t="s">
        <v>1351</v>
      </c>
      <c r="B31" t="s">
        <v>123</v>
      </c>
      <c r="C31" t="s">
        <v>1341</v>
      </c>
      <c r="D31" t="s">
        <v>2949</v>
      </c>
      <c r="E31">
        <v>944</v>
      </c>
      <c r="F31">
        <v>129</v>
      </c>
      <c r="G31" t="s">
        <v>1352</v>
      </c>
    </row>
    <row r="32" spans="1:7">
      <c r="A32" t="s">
        <v>1353</v>
      </c>
      <c r="B32" t="s">
        <v>123</v>
      </c>
      <c r="C32" t="s">
        <v>1341</v>
      </c>
      <c r="D32" t="s">
        <v>2954</v>
      </c>
      <c r="E32">
        <v>960</v>
      </c>
      <c r="F32">
        <v>135</v>
      </c>
      <c r="G32" t="s">
        <v>1354</v>
      </c>
    </row>
    <row r="33" spans="1:7">
      <c r="A33" t="s">
        <v>1355</v>
      </c>
      <c r="B33" t="s">
        <v>123</v>
      </c>
      <c r="C33" t="s">
        <v>1341</v>
      </c>
      <c r="D33" t="s">
        <v>2955</v>
      </c>
      <c r="E33">
        <v>918</v>
      </c>
      <c r="F33">
        <v>126</v>
      </c>
      <c r="G33" t="s">
        <v>1356</v>
      </c>
    </row>
    <row r="34" spans="1:7">
      <c r="A34" t="s">
        <v>1357</v>
      </c>
      <c r="B34" t="s">
        <v>123</v>
      </c>
      <c r="C34" t="s">
        <v>1341</v>
      </c>
      <c r="D34" t="s">
        <v>2960</v>
      </c>
      <c r="E34">
        <v>956</v>
      </c>
      <c r="F34">
        <v>126</v>
      </c>
      <c r="G34" t="s">
        <v>1358</v>
      </c>
    </row>
    <row r="35" spans="1:7">
      <c r="A35" t="s">
        <v>1359</v>
      </c>
      <c r="B35" t="s">
        <v>123</v>
      </c>
      <c r="C35" t="s">
        <v>1341</v>
      </c>
      <c r="D35" t="s">
        <v>2951</v>
      </c>
      <c r="E35">
        <v>1013</v>
      </c>
      <c r="F35">
        <v>139</v>
      </c>
      <c r="G35" t="s">
        <v>1360</v>
      </c>
    </row>
    <row r="36" spans="1:7">
      <c r="A36" t="s">
        <v>1361</v>
      </c>
      <c r="B36" t="s">
        <v>123</v>
      </c>
      <c r="C36" t="s">
        <v>1341</v>
      </c>
      <c r="D36" t="s">
        <v>2952</v>
      </c>
      <c r="E36">
        <v>1017</v>
      </c>
      <c r="F36">
        <v>140</v>
      </c>
      <c r="G36" t="s">
        <v>1362</v>
      </c>
    </row>
    <row r="37" spans="1:7">
      <c r="A37" t="s">
        <v>1363</v>
      </c>
      <c r="B37" t="s">
        <v>123</v>
      </c>
      <c r="C37" t="s">
        <v>1341</v>
      </c>
      <c r="D37" t="s">
        <v>2950</v>
      </c>
      <c r="E37">
        <v>1049</v>
      </c>
      <c r="F37">
        <v>149</v>
      </c>
      <c r="G37" t="s">
        <v>1364</v>
      </c>
    </row>
    <row r="38" spans="1:7">
      <c r="A38" t="s">
        <v>1365</v>
      </c>
      <c r="B38" t="s">
        <v>150</v>
      </c>
      <c r="C38" t="s">
        <v>9</v>
      </c>
      <c r="D38" t="s">
        <v>2961</v>
      </c>
      <c r="E38">
        <v>1820</v>
      </c>
      <c r="F38">
        <v>235</v>
      </c>
      <c r="G38" t="s">
        <v>1366</v>
      </c>
    </row>
    <row r="39" spans="1:7">
      <c r="A39" t="s">
        <v>1367</v>
      </c>
      <c r="B39" t="s">
        <v>150</v>
      </c>
      <c r="C39" t="s">
        <v>9</v>
      </c>
      <c r="D39" t="s">
        <v>2962</v>
      </c>
      <c r="E39">
        <v>1830</v>
      </c>
      <c r="F39">
        <v>233</v>
      </c>
      <c r="G39" t="s">
        <v>1368</v>
      </c>
    </row>
    <row r="40" spans="1:7">
      <c r="A40" t="s">
        <v>1369</v>
      </c>
      <c r="B40" t="s">
        <v>150</v>
      </c>
      <c r="C40" t="s">
        <v>9</v>
      </c>
      <c r="D40" t="s">
        <v>2963</v>
      </c>
      <c r="E40">
        <v>1844</v>
      </c>
      <c r="F40">
        <v>237</v>
      </c>
      <c r="G40" t="s">
        <v>1370</v>
      </c>
    </row>
    <row r="41" spans="1:7">
      <c r="A41" t="s">
        <v>1371</v>
      </c>
      <c r="B41" t="s">
        <v>150</v>
      </c>
      <c r="C41" t="s">
        <v>9</v>
      </c>
      <c r="D41" t="s">
        <v>2964</v>
      </c>
      <c r="E41">
        <v>1789</v>
      </c>
      <c r="F41">
        <v>228</v>
      </c>
      <c r="G41" t="s">
        <v>1372</v>
      </c>
    </row>
    <row r="42" spans="1:7">
      <c r="A42" t="s">
        <v>1373</v>
      </c>
      <c r="B42" t="s">
        <v>150</v>
      </c>
      <c r="C42" t="s">
        <v>9</v>
      </c>
      <c r="D42" t="s">
        <v>2965</v>
      </c>
      <c r="E42">
        <v>1844</v>
      </c>
      <c r="F42">
        <v>236</v>
      </c>
      <c r="G42" t="s">
        <v>1374</v>
      </c>
    </row>
    <row r="43" spans="1:7">
      <c r="A43" t="s">
        <v>1375</v>
      </c>
      <c r="B43" t="s">
        <v>150</v>
      </c>
      <c r="C43" t="s">
        <v>9</v>
      </c>
      <c r="D43" t="s">
        <v>2966</v>
      </c>
      <c r="E43">
        <v>1839</v>
      </c>
      <c r="F43">
        <v>235</v>
      </c>
      <c r="G43" t="s">
        <v>1376</v>
      </c>
    </row>
    <row r="44" spans="1:7">
      <c r="A44" t="s">
        <v>1377</v>
      </c>
      <c r="B44" t="s">
        <v>150</v>
      </c>
      <c r="C44" t="s">
        <v>9</v>
      </c>
      <c r="D44" t="s">
        <v>2967</v>
      </c>
      <c r="E44">
        <v>1852</v>
      </c>
      <c r="F44">
        <v>238</v>
      </c>
      <c r="G44" t="s">
        <v>1378</v>
      </c>
    </row>
    <row r="45" spans="1:7">
      <c r="A45" t="s">
        <v>1379</v>
      </c>
      <c r="B45" t="s">
        <v>150</v>
      </c>
      <c r="C45" t="s">
        <v>9</v>
      </c>
      <c r="D45" t="s">
        <v>2968</v>
      </c>
      <c r="E45">
        <v>1828</v>
      </c>
      <c r="F45">
        <v>235</v>
      </c>
      <c r="G45" t="s">
        <v>1380</v>
      </c>
    </row>
    <row r="46" spans="1:7">
      <c r="A46" t="s">
        <v>1381</v>
      </c>
      <c r="B46" t="s">
        <v>150</v>
      </c>
      <c r="C46" t="s">
        <v>9</v>
      </c>
      <c r="D46" t="s">
        <v>2969</v>
      </c>
      <c r="E46">
        <v>1860</v>
      </c>
      <c r="F46">
        <v>239</v>
      </c>
      <c r="G46" t="s">
        <v>1382</v>
      </c>
    </row>
    <row r="47" spans="1:7">
      <c r="A47" t="s">
        <v>1383</v>
      </c>
      <c r="B47" t="s">
        <v>150</v>
      </c>
      <c r="C47" t="s">
        <v>9</v>
      </c>
      <c r="D47" t="s">
        <v>2970</v>
      </c>
      <c r="E47">
        <v>1802</v>
      </c>
      <c r="F47">
        <v>232</v>
      </c>
      <c r="G47" t="s">
        <v>1384</v>
      </c>
    </row>
    <row r="48" spans="1:7">
      <c r="A48" t="s">
        <v>1385</v>
      </c>
      <c r="B48" t="s">
        <v>150</v>
      </c>
      <c r="C48" t="s">
        <v>9</v>
      </c>
      <c r="D48" t="s">
        <v>2971</v>
      </c>
      <c r="E48">
        <v>1814</v>
      </c>
      <c r="F48">
        <v>231</v>
      </c>
      <c r="G48" t="s">
        <v>1386</v>
      </c>
    </row>
    <row r="49" spans="1:7">
      <c r="A49" t="s">
        <v>1387</v>
      </c>
      <c r="B49" t="s">
        <v>150</v>
      </c>
      <c r="C49" t="s">
        <v>9</v>
      </c>
      <c r="D49" t="s">
        <v>2972</v>
      </c>
      <c r="E49">
        <v>1817</v>
      </c>
      <c r="F49">
        <v>234</v>
      </c>
      <c r="G49" t="s">
        <v>1388</v>
      </c>
    </row>
    <row r="50" spans="1:7">
      <c r="A50" t="s">
        <v>1389</v>
      </c>
      <c r="B50" t="s">
        <v>150</v>
      </c>
      <c r="C50" t="s">
        <v>9</v>
      </c>
      <c r="D50" t="s">
        <v>2973</v>
      </c>
      <c r="E50">
        <v>1759</v>
      </c>
      <c r="F50">
        <v>223</v>
      </c>
      <c r="G50" t="s">
        <v>1390</v>
      </c>
    </row>
    <row r="51" spans="1:7">
      <c r="A51" t="s">
        <v>1391</v>
      </c>
      <c r="B51" t="s">
        <v>150</v>
      </c>
      <c r="C51" t="s">
        <v>9</v>
      </c>
      <c r="D51" t="s">
        <v>2974</v>
      </c>
      <c r="E51">
        <v>1815</v>
      </c>
      <c r="F51">
        <v>232</v>
      </c>
      <c r="G51" t="s">
        <v>1392</v>
      </c>
    </row>
    <row r="52" spans="1:7">
      <c r="A52" t="s">
        <v>1393</v>
      </c>
      <c r="B52" t="s">
        <v>150</v>
      </c>
      <c r="C52" t="s">
        <v>9</v>
      </c>
      <c r="D52" t="s">
        <v>2975</v>
      </c>
      <c r="E52">
        <v>1806</v>
      </c>
      <c r="F52">
        <v>231</v>
      </c>
      <c r="G52" t="s">
        <v>1394</v>
      </c>
    </row>
    <row r="53" spans="1:7">
      <c r="A53" t="s">
        <v>1395</v>
      </c>
      <c r="B53" t="s">
        <v>150</v>
      </c>
      <c r="C53" t="s">
        <v>9</v>
      </c>
      <c r="D53" t="s">
        <v>2976</v>
      </c>
      <c r="E53">
        <v>1823</v>
      </c>
      <c r="F53">
        <v>234</v>
      </c>
      <c r="G53" t="s">
        <v>1396</v>
      </c>
    </row>
    <row r="54" spans="1:7">
      <c r="A54" t="s">
        <v>1397</v>
      </c>
      <c r="B54" t="s">
        <v>150</v>
      </c>
      <c r="C54" t="s">
        <v>9</v>
      </c>
      <c r="D54" t="s">
        <v>2977</v>
      </c>
      <c r="E54">
        <v>1801</v>
      </c>
      <c r="F54">
        <v>231</v>
      </c>
      <c r="G54" t="s">
        <v>1398</v>
      </c>
    </row>
    <row r="55" spans="1:7">
      <c r="A55" t="s">
        <v>1399</v>
      </c>
      <c r="B55" t="s">
        <v>150</v>
      </c>
      <c r="C55" t="s">
        <v>9</v>
      </c>
      <c r="D55" t="s">
        <v>2978</v>
      </c>
      <c r="E55">
        <v>1827</v>
      </c>
      <c r="F55">
        <v>234</v>
      </c>
      <c r="G55" t="s">
        <v>1400</v>
      </c>
    </row>
    <row r="56" spans="1:7">
      <c r="A56" t="s">
        <v>1401</v>
      </c>
      <c r="B56" t="s">
        <v>150</v>
      </c>
      <c r="C56" t="s">
        <v>9</v>
      </c>
      <c r="D56" t="s">
        <v>2979</v>
      </c>
      <c r="E56">
        <v>1819</v>
      </c>
      <c r="F56">
        <v>233</v>
      </c>
      <c r="G56" t="s">
        <v>1402</v>
      </c>
    </row>
    <row r="57" spans="1:7">
      <c r="A57" t="s">
        <v>1403</v>
      </c>
      <c r="B57" t="s">
        <v>150</v>
      </c>
      <c r="C57" t="s">
        <v>9</v>
      </c>
      <c r="D57" t="s">
        <v>2980</v>
      </c>
      <c r="E57">
        <v>1831</v>
      </c>
      <c r="F57">
        <v>232</v>
      </c>
      <c r="G57" t="s">
        <v>1404</v>
      </c>
    </row>
    <row r="58" spans="1:7">
      <c r="A58" t="s">
        <v>1405</v>
      </c>
      <c r="B58" t="s">
        <v>150</v>
      </c>
      <c r="C58" t="s">
        <v>9</v>
      </c>
      <c r="D58" t="s">
        <v>2981</v>
      </c>
      <c r="E58">
        <v>1834</v>
      </c>
      <c r="F58">
        <v>235</v>
      </c>
      <c r="G58" t="s">
        <v>1406</v>
      </c>
    </row>
    <row r="59" spans="1:7">
      <c r="A59" t="s">
        <v>1407</v>
      </c>
      <c r="B59" t="s">
        <v>150</v>
      </c>
      <c r="C59" t="s">
        <v>9</v>
      </c>
      <c r="D59" t="s">
        <v>2982</v>
      </c>
      <c r="E59">
        <v>1776</v>
      </c>
      <c r="F59">
        <v>224</v>
      </c>
      <c r="G59" t="s">
        <v>1408</v>
      </c>
    </row>
    <row r="60" spans="1:7">
      <c r="A60" t="s">
        <v>1409</v>
      </c>
      <c r="B60" t="s">
        <v>150</v>
      </c>
      <c r="C60" t="s">
        <v>9</v>
      </c>
      <c r="D60" t="s">
        <v>2983</v>
      </c>
      <c r="E60">
        <v>1832</v>
      </c>
      <c r="F60">
        <v>233</v>
      </c>
      <c r="G60" t="s">
        <v>1410</v>
      </c>
    </row>
    <row r="61" spans="1:7">
      <c r="A61" t="s">
        <v>1411</v>
      </c>
      <c r="B61" t="s">
        <v>150</v>
      </c>
      <c r="C61" t="s">
        <v>9</v>
      </c>
      <c r="D61" t="s">
        <v>2984</v>
      </c>
      <c r="E61">
        <v>1823</v>
      </c>
      <c r="F61">
        <v>232</v>
      </c>
      <c r="G61" t="s">
        <v>1412</v>
      </c>
    </row>
    <row r="62" spans="1:7">
      <c r="A62" t="s">
        <v>1413</v>
      </c>
      <c r="B62" t="s">
        <v>150</v>
      </c>
      <c r="C62" t="s">
        <v>9</v>
      </c>
      <c r="D62" t="s">
        <v>2985</v>
      </c>
      <c r="E62">
        <v>1840</v>
      </c>
      <c r="F62">
        <v>235</v>
      </c>
      <c r="G62" t="s">
        <v>1414</v>
      </c>
    </row>
    <row r="63" spans="1:7">
      <c r="A63" t="s">
        <v>1415</v>
      </c>
      <c r="B63" t="s">
        <v>150</v>
      </c>
      <c r="C63" t="s">
        <v>9</v>
      </c>
      <c r="D63" t="s">
        <v>2986</v>
      </c>
      <c r="E63">
        <v>1818</v>
      </c>
      <c r="F63">
        <v>232</v>
      </c>
      <c r="G63" t="s">
        <v>1416</v>
      </c>
    </row>
    <row r="64" spans="1:7">
      <c r="A64" t="s">
        <v>1417</v>
      </c>
      <c r="B64" t="s">
        <v>150</v>
      </c>
      <c r="C64" t="s">
        <v>9</v>
      </c>
      <c r="D64" t="s">
        <v>2987</v>
      </c>
      <c r="E64">
        <v>1844</v>
      </c>
      <c r="F64">
        <v>235</v>
      </c>
      <c r="G64" t="s">
        <v>1418</v>
      </c>
    </row>
    <row r="65" spans="1:7">
      <c r="A65" t="s">
        <v>1419</v>
      </c>
      <c r="B65" t="s">
        <v>150</v>
      </c>
      <c r="C65" t="s">
        <v>9</v>
      </c>
      <c r="D65" t="s">
        <v>2988</v>
      </c>
      <c r="E65">
        <v>1827</v>
      </c>
      <c r="F65">
        <v>236</v>
      </c>
      <c r="G65" t="s">
        <v>1420</v>
      </c>
    </row>
    <row r="66" spans="1:7">
      <c r="A66" t="s">
        <v>1421</v>
      </c>
      <c r="B66" t="s">
        <v>150</v>
      </c>
      <c r="C66" t="s">
        <v>9</v>
      </c>
      <c r="D66" t="s">
        <v>2989</v>
      </c>
      <c r="E66">
        <v>1839</v>
      </c>
      <c r="F66">
        <v>235</v>
      </c>
      <c r="G66" t="s">
        <v>1422</v>
      </c>
    </row>
    <row r="67" spans="1:7">
      <c r="A67" t="s">
        <v>1423</v>
      </c>
      <c r="B67" t="s">
        <v>150</v>
      </c>
      <c r="C67" t="s">
        <v>9</v>
      </c>
      <c r="D67" t="s">
        <v>2990</v>
      </c>
      <c r="E67">
        <v>1842</v>
      </c>
      <c r="F67">
        <v>238</v>
      </c>
      <c r="G67" t="s">
        <v>1424</v>
      </c>
    </row>
    <row r="68" spans="1:7">
      <c r="A68" t="s">
        <v>1425</v>
      </c>
      <c r="B68" t="s">
        <v>150</v>
      </c>
      <c r="C68" t="s">
        <v>9</v>
      </c>
      <c r="D68" t="s">
        <v>2991</v>
      </c>
      <c r="E68">
        <v>1784</v>
      </c>
      <c r="F68">
        <v>227</v>
      </c>
      <c r="G68" t="s">
        <v>1426</v>
      </c>
    </row>
    <row r="69" spans="1:7">
      <c r="A69" t="s">
        <v>1427</v>
      </c>
      <c r="B69" t="s">
        <v>150</v>
      </c>
      <c r="C69" t="s">
        <v>9</v>
      </c>
      <c r="D69" t="s">
        <v>2992</v>
      </c>
      <c r="E69">
        <v>1840</v>
      </c>
      <c r="F69">
        <v>236</v>
      </c>
      <c r="G69" t="s">
        <v>1428</v>
      </c>
    </row>
    <row r="70" spans="1:7">
      <c r="A70" t="s">
        <v>1429</v>
      </c>
      <c r="B70" t="s">
        <v>150</v>
      </c>
      <c r="C70" t="s">
        <v>9</v>
      </c>
      <c r="D70" t="s">
        <v>2993</v>
      </c>
      <c r="E70">
        <v>1831</v>
      </c>
      <c r="F70">
        <v>235</v>
      </c>
      <c r="G70" t="s">
        <v>1430</v>
      </c>
    </row>
    <row r="71" spans="1:7">
      <c r="A71" t="s">
        <v>1431</v>
      </c>
      <c r="B71" t="s">
        <v>150</v>
      </c>
      <c r="C71" t="s">
        <v>9</v>
      </c>
      <c r="D71" t="s">
        <v>2994</v>
      </c>
      <c r="E71">
        <v>1848</v>
      </c>
      <c r="F71">
        <v>238</v>
      </c>
      <c r="G71" t="s">
        <v>1432</v>
      </c>
    </row>
    <row r="72" spans="1:7">
      <c r="A72" t="s">
        <v>1433</v>
      </c>
      <c r="B72" t="s">
        <v>150</v>
      </c>
      <c r="C72" t="s">
        <v>9</v>
      </c>
      <c r="D72" t="s">
        <v>2995</v>
      </c>
      <c r="E72">
        <v>1826</v>
      </c>
      <c r="F72">
        <v>235</v>
      </c>
      <c r="G72" t="s">
        <v>1434</v>
      </c>
    </row>
    <row r="73" spans="1:7">
      <c r="A73" t="s">
        <v>1435</v>
      </c>
      <c r="B73" t="s">
        <v>150</v>
      </c>
      <c r="C73" t="s">
        <v>9</v>
      </c>
      <c r="D73" t="s">
        <v>2996</v>
      </c>
      <c r="E73">
        <v>1852</v>
      </c>
      <c r="F73">
        <v>238</v>
      </c>
      <c r="G73" t="s">
        <v>1436</v>
      </c>
    </row>
    <row r="74" spans="1:7">
      <c r="A74" t="s">
        <v>1437</v>
      </c>
      <c r="B74" t="s">
        <v>150</v>
      </c>
      <c r="C74" t="s">
        <v>9</v>
      </c>
      <c r="D74" t="s">
        <v>2997</v>
      </c>
      <c r="E74">
        <v>1832</v>
      </c>
      <c r="F74">
        <v>236</v>
      </c>
      <c r="G74" t="s">
        <v>1438</v>
      </c>
    </row>
    <row r="75" spans="1:7">
      <c r="A75" t="s">
        <v>1439</v>
      </c>
      <c r="B75" t="s">
        <v>150</v>
      </c>
      <c r="C75" t="s">
        <v>9</v>
      </c>
      <c r="D75" t="s">
        <v>2998</v>
      </c>
      <c r="E75">
        <v>1844</v>
      </c>
      <c r="F75">
        <v>235</v>
      </c>
      <c r="G75" t="s">
        <v>1440</v>
      </c>
    </row>
    <row r="76" spans="1:7">
      <c r="A76" t="s">
        <v>1441</v>
      </c>
      <c r="B76" t="s">
        <v>150</v>
      </c>
      <c r="C76" t="s">
        <v>9</v>
      </c>
      <c r="D76" t="s">
        <v>2999</v>
      </c>
      <c r="E76">
        <v>1847</v>
      </c>
      <c r="F76">
        <v>238</v>
      </c>
      <c r="G76" t="s">
        <v>1442</v>
      </c>
    </row>
    <row r="77" spans="1:7">
      <c r="A77" t="s">
        <v>1443</v>
      </c>
      <c r="B77" t="s">
        <v>150</v>
      </c>
      <c r="C77" t="s">
        <v>9</v>
      </c>
      <c r="D77" t="s">
        <v>3000</v>
      </c>
      <c r="E77">
        <v>1789</v>
      </c>
      <c r="F77">
        <v>227</v>
      </c>
      <c r="G77" t="s">
        <v>1444</v>
      </c>
    </row>
    <row r="78" spans="1:7">
      <c r="A78" t="s">
        <v>1445</v>
      </c>
      <c r="B78" t="s">
        <v>150</v>
      </c>
      <c r="C78" t="s">
        <v>9</v>
      </c>
      <c r="D78" t="s">
        <v>3001</v>
      </c>
      <c r="E78">
        <v>1845</v>
      </c>
      <c r="F78">
        <v>236</v>
      </c>
      <c r="G78" t="s">
        <v>1446</v>
      </c>
    </row>
    <row r="79" spans="1:7">
      <c r="A79" t="s">
        <v>1447</v>
      </c>
      <c r="B79" t="s">
        <v>150</v>
      </c>
      <c r="C79" t="s">
        <v>9</v>
      </c>
      <c r="D79" t="s">
        <v>3002</v>
      </c>
      <c r="E79">
        <v>1836</v>
      </c>
      <c r="F79">
        <v>235</v>
      </c>
      <c r="G79" t="s">
        <v>1448</v>
      </c>
    </row>
    <row r="80" spans="1:7">
      <c r="A80" t="s">
        <v>1449</v>
      </c>
      <c r="B80" t="s">
        <v>150</v>
      </c>
      <c r="C80" t="s">
        <v>9</v>
      </c>
      <c r="D80" t="s">
        <v>3003</v>
      </c>
      <c r="E80">
        <v>1853</v>
      </c>
      <c r="F80">
        <v>238</v>
      </c>
      <c r="G80" t="s">
        <v>1450</v>
      </c>
    </row>
    <row r="81" spans="1:7">
      <c r="A81" t="s">
        <v>1451</v>
      </c>
      <c r="B81" t="s">
        <v>150</v>
      </c>
      <c r="C81" t="s">
        <v>9</v>
      </c>
      <c r="D81" t="s">
        <v>3004</v>
      </c>
      <c r="E81">
        <v>1831</v>
      </c>
      <c r="F81">
        <v>235</v>
      </c>
      <c r="G81" t="s">
        <v>1452</v>
      </c>
    </row>
    <row r="82" spans="1:7">
      <c r="A82" t="s">
        <v>1453</v>
      </c>
      <c r="B82" t="s">
        <v>150</v>
      </c>
      <c r="C82" t="s">
        <v>9</v>
      </c>
      <c r="D82" t="s">
        <v>3005</v>
      </c>
      <c r="E82">
        <v>1857</v>
      </c>
      <c r="F82">
        <v>238</v>
      </c>
      <c r="G82" t="s">
        <v>1454</v>
      </c>
    </row>
    <row r="83" spans="1:7">
      <c r="A83" t="s">
        <v>1455</v>
      </c>
      <c r="B83" t="s">
        <v>150</v>
      </c>
      <c r="C83" t="s">
        <v>9</v>
      </c>
      <c r="D83" t="s">
        <v>3006</v>
      </c>
      <c r="E83">
        <v>1787</v>
      </c>
      <c r="F83">
        <v>229</v>
      </c>
      <c r="G83" t="s">
        <v>1456</v>
      </c>
    </row>
    <row r="84" spans="1:7">
      <c r="A84" t="s">
        <v>1457</v>
      </c>
      <c r="B84" t="s">
        <v>150</v>
      </c>
      <c r="C84" t="s">
        <v>9</v>
      </c>
      <c r="D84" t="s">
        <v>3007</v>
      </c>
      <c r="E84">
        <v>1794</v>
      </c>
      <c r="F84">
        <v>227</v>
      </c>
      <c r="G84" t="s">
        <v>1458</v>
      </c>
    </row>
    <row r="85" spans="1:7">
      <c r="A85" t="s">
        <v>1459</v>
      </c>
      <c r="B85" t="s">
        <v>150</v>
      </c>
      <c r="C85" t="s">
        <v>9</v>
      </c>
      <c r="D85" t="s">
        <v>3008</v>
      </c>
      <c r="E85">
        <v>1806</v>
      </c>
      <c r="F85">
        <v>230</v>
      </c>
      <c r="G85" t="s">
        <v>1460</v>
      </c>
    </row>
    <row r="86" spans="1:7">
      <c r="A86" t="s">
        <v>1461</v>
      </c>
      <c r="B86" t="s">
        <v>150</v>
      </c>
      <c r="C86" t="s">
        <v>9</v>
      </c>
      <c r="D86" t="s">
        <v>3009</v>
      </c>
      <c r="E86">
        <v>1779</v>
      </c>
      <c r="F86">
        <v>225</v>
      </c>
      <c r="G86" t="s">
        <v>1462</v>
      </c>
    </row>
    <row r="87" spans="1:7">
      <c r="A87" t="s">
        <v>1463</v>
      </c>
      <c r="B87" t="s">
        <v>150</v>
      </c>
      <c r="C87" t="s">
        <v>9</v>
      </c>
      <c r="D87" t="s">
        <v>3010</v>
      </c>
      <c r="E87">
        <v>1804</v>
      </c>
      <c r="F87">
        <v>229</v>
      </c>
      <c r="G87" t="s">
        <v>1464</v>
      </c>
    </row>
    <row r="88" spans="1:7">
      <c r="A88" t="s">
        <v>1465</v>
      </c>
      <c r="B88" t="s">
        <v>150</v>
      </c>
      <c r="C88" t="s">
        <v>9</v>
      </c>
      <c r="D88" t="s">
        <v>3011</v>
      </c>
      <c r="E88">
        <v>1794</v>
      </c>
      <c r="F88">
        <v>228</v>
      </c>
      <c r="G88" t="s">
        <v>1466</v>
      </c>
    </row>
    <row r="89" spans="1:7">
      <c r="A89" t="s">
        <v>1467</v>
      </c>
      <c r="B89" t="s">
        <v>150</v>
      </c>
      <c r="C89" t="s">
        <v>9</v>
      </c>
      <c r="D89" t="s">
        <v>3012</v>
      </c>
      <c r="E89">
        <v>1811</v>
      </c>
      <c r="F89">
        <v>230</v>
      </c>
      <c r="G89" t="s">
        <v>1468</v>
      </c>
    </row>
    <row r="90" spans="1:7">
      <c r="A90" t="s">
        <v>1469</v>
      </c>
      <c r="B90" t="s">
        <v>150</v>
      </c>
      <c r="C90" t="s">
        <v>9</v>
      </c>
      <c r="D90" t="s">
        <v>3013</v>
      </c>
      <c r="E90">
        <v>1796</v>
      </c>
      <c r="F90">
        <v>229</v>
      </c>
      <c r="G90" t="s">
        <v>1470</v>
      </c>
    </row>
    <row r="91" spans="1:7">
      <c r="A91" t="s">
        <v>1471</v>
      </c>
      <c r="B91" t="s">
        <v>150</v>
      </c>
      <c r="C91" t="s">
        <v>9</v>
      </c>
      <c r="D91" t="s">
        <v>3014</v>
      </c>
      <c r="E91">
        <v>1819</v>
      </c>
      <c r="F91">
        <v>232</v>
      </c>
      <c r="G91" t="s">
        <v>1472</v>
      </c>
    </row>
    <row r="92" spans="1:7">
      <c r="A92" t="s">
        <v>1473</v>
      </c>
      <c r="B92" t="s">
        <v>150</v>
      </c>
      <c r="C92" t="s">
        <v>9</v>
      </c>
      <c r="D92" t="s">
        <v>3015</v>
      </c>
      <c r="E92">
        <v>1820</v>
      </c>
      <c r="F92">
        <v>231</v>
      </c>
      <c r="G92" t="s">
        <v>1474</v>
      </c>
    </row>
    <row r="93" spans="1:7">
      <c r="A93" t="s">
        <v>1475</v>
      </c>
      <c r="B93" t="s">
        <v>150</v>
      </c>
      <c r="C93" t="s">
        <v>9</v>
      </c>
      <c r="D93" t="s">
        <v>3016</v>
      </c>
      <c r="E93">
        <v>1827</v>
      </c>
      <c r="F93">
        <v>229</v>
      </c>
      <c r="G93" t="s">
        <v>1476</v>
      </c>
    </row>
    <row r="94" spans="1:7">
      <c r="A94" t="s">
        <v>1477</v>
      </c>
      <c r="B94" t="s">
        <v>150</v>
      </c>
      <c r="C94" t="s">
        <v>9</v>
      </c>
      <c r="D94" t="s">
        <v>3017</v>
      </c>
      <c r="E94">
        <v>1839</v>
      </c>
      <c r="F94">
        <v>232</v>
      </c>
      <c r="G94" t="s">
        <v>1478</v>
      </c>
    </row>
    <row r="95" spans="1:7">
      <c r="A95" t="s">
        <v>1479</v>
      </c>
      <c r="B95" t="s">
        <v>150</v>
      </c>
      <c r="C95" t="s">
        <v>9</v>
      </c>
      <c r="D95" t="s">
        <v>3018</v>
      </c>
      <c r="E95">
        <v>1812</v>
      </c>
      <c r="F95">
        <v>227</v>
      </c>
      <c r="G95" t="s">
        <v>1480</v>
      </c>
    </row>
    <row r="96" spans="1:7">
      <c r="A96" t="s">
        <v>1481</v>
      </c>
      <c r="B96" t="s">
        <v>150</v>
      </c>
      <c r="C96" t="s">
        <v>9</v>
      </c>
      <c r="D96" t="s">
        <v>3019</v>
      </c>
      <c r="E96">
        <v>1837</v>
      </c>
      <c r="F96">
        <v>231</v>
      </c>
      <c r="G96" t="s">
        <v>1482</v>
      </c>
    </row>
    <row r="97" spans="1:7">
      <c r="A97" t="s">
        <v>1483</v>
      </c>
      <c r="B97" t="s">
        <v>150</v>
      </c>
      <c r="C97" t="s">
        <v>9</v>
      </c>
      <c r="D97" t="s">
        <v>3020</v>
      </c>
      <c r="E97">
        <v>1827</v>
      </c>
      <c r="F97">
        <v>230</v>
      </c>
      <c r="G97" t="s">
        <v>1484</v>
      </c>
    </row>
    <row r="98" spans="1:7">
      <c r="A98" t="s">
        <v>1485</v>
      </c>
      <c r="B98" t="s">
        <v>150</v>
      </c>
      <c r="C98" t="s">
        <v>9</v>
      </c>
      <c r="D98" t="s">
        <v>3021</v>
      </c>
      <c r="E98">
        <v>1844</v>
      </c>
      <c r="F98">
        <v>232</v>
      </c>
      <c r="G98" t="s">
        <v>1486</v>
      </c>
    </row>
    <row r="99" spans="1:7">
      <c r="A99" t="s">
        <v>1487</v>
      </c>
      <c r="B99" t="s">
        <v>150</v>
      </c>
      <c r="C99" t="s">
        <v>9</v>
      </c>
      <c r="D99" t="s">
        <v>3022</v>
      </c>
      <c r="E99">
        <v>1829</v>
      </c>
      <c r="F99">
        <v>231</v>
      </c>
      <c r="G99" t="s">
        <v>1488</v>
      </c>
    </row>
    <row r="100" spans="1:7">
      <c r="A100" t="s">
        <v>1489</v>
      </c>
      <c r="B100" t="s">
        <v>150</v>
      </c>
      <c r="C100" t="s">
        <v>9</v>
      </c>
      <c r="D100" t="s">
        <v>3023</v>
      </c>
      <c r="E100">
        <v>1852</v>
      </c>
      <c r="F100">
        <v>234</v>
      </c>
      <c r="G100" t="s">
        <v>1490</v>
      </c>
    </row>
    <row r="101" spans="1:7">
      <c r="A101" t="s">
        <v>1491</v>
      </c>
      <c r="B101" t="s">
        <v>150</v>
      </c>
      <c r="C101" t="s">
        <v>9</v>
      </c>
      <c r="D101" t="s">
        <v>3024</v>
      </c>
      <c r="E101">
        <v>1817</v>
      </c>
      <c r="F101">
        <v>230</v>
      </c>
      <c r="G101" t="s">
        <v>1492</v>
      </c>
    </row>
    <row r="102" spans="1:7">
      <c r="A102" t="s">
        <v>1493</v>
      </c>
      <c r="B102" t="s">
        <v>150</v>
      </c>
      <c r="C102" t="s">
        <v>9</v>
      </c>
      <c r="D102" t="s">
        <v>3025</v>
      </c>
      <c r="E102">
        <v>1824</v>
      </c>
      <c r="F102">
        <v>228</v>
      </c>
      <c r="G102" t="s">
        <v>1494</v>
      </c>
    </row>
    <row r="103" spans="1:7">
      <c r="A103" t="s">
        <v>1495</v>
      </c>
      <c r="B103" t="s">
        <v>150</v>
      </c>
      <c r="C103" t="s">
        <v>9</v>
      </c>
      <c r="D103" t="s">
        <v>3026</v>
      </c>
      <c r="E103">
        <v>1836</v>
      </c>
      <c r="F103">
        <v>231</v>
      </c>
      <c r="G103" t="s">
        <v>1496</v>
      </c>
    </row>
    <row r="104" spans="1:7">
      <c r="A104" t="s">
        <v>1497</v>
      </c>
      <c r="B104" t="s">
        <v>150</v>
      </c>
      <c r="C104" t="s">
        <v>9</v>
      </c>
      <c r="D104" t="s">
        <v>3027</v>
      </c>
      <c r="E104">
        <v>1809</v>
      </c>
      <c r="F104">
        <v>226</v>
      </c>
      <c r="G104" t="s">
        <v>1498</v>
      </c>
    </row>
    <row r="105" spans="1:7">
      <c r="A105" t="s">
        <v>1499</v>
      </c>
      <c r="B105" t="s">
        <v>150</v>
      </c>
      <c r="C105" t="s">
        <v>9</v>
      </c>
      <c r="D105" t="s">
        <v>3028</v>
      </c>
      <c r="E105">
        <v>1834</v>
      </c>
      <c r="F105">
        <v>230</v>
      </c>
      <c r="G105" t="s">
        <v>1500</v>
      </c>
    </row>
    <row r="106" spans="1:7">
      <c r="A106" t="s">
        <v>1501</v>
      </c>
      <c r="B106" t="s">
        <v>150</v>
      </c>
      <c r="C106" t="s">
        <v>9</v>
      </c>
      <c r="D106" t="s">
        <v>3029</v>
      </c>
      <c r="E106">
        <v>1824</v>
      </c>
      <c r="F106">
        <v>229</v>
      </c>
      <c r="G106" t="s">
        <v>1502</v>
      </c>
    </row>
    <row r="107" spans="1:7">
      <c r="A107" t="s">
        <v>1503</v>
      </c>
      <c r="B107" t="s">
        <v>150</v>
      </c>
      <c r="C107" t="s">
        <v>9</v>
      </c>
      <c r="D107" t="s">
        <v>3030</v>
      </c>
      <c r="E107">
        <v>1841</v>
      </c>
      <c r="F107">
        <v>231</v>
      </c>
      <c r="G107" t="s">
        <v>1504</v>
      </c>
    </row>
    <row r="108" spans="1:7">
      <c r="A108" t="s">
        <v>1505</v>
      </c>
      <c r="B108" t="s">
        <v>150</v>
      </c>
      <c r="C108" t="s">
        <v>9</v>
      </c>
      <c r="D108" t="s">
        <v>3031</v>
      </c>
      <c r="E108">
        <v>1826</v>
      </c>
      <c r="F108">
        <v>230</v>
      </c>
      <c r="G108" t="s">
        <v>1506</v>
      </c>
    </row>
    <row r="109" spans="1:7">
      <c r="A109" t="s">
        <v>1507</v>
      </c>
      <c r="B109" t="s">
        <v>150</v>
      </c>
      <c r="C109" t="s">
        <v>9</v>
      </c>
      <c r="D109" t="s">
        <v>3032</v>
      </c>
      <c r="E109">
        <v>1849</v>
      </c>
      <c r="F109">
        <v>233</v>
      </c>
      <c r="G109" t="s">
        <v>1508</v>
      </c>
    </row>
    <row r="110" spans="1:7">
      <c r="A110" t="s">
        <v>1509</v>
      </c>
      <c r="B110" t="s">
        <v>150</v>
      </c>
      <c r="C110" t="s">
        <v>9</v>
      </c>
      <c r="D110" t="s">
        <v>3033</v>
      </c>
      <c r="E110">
        <v>1799</v>
      </c>
      <c r="F110">
        <v>230</v>
      </c>
      <c r="G110" t="s">
        <v>1510</v>
      </c>
    </row>
    <row r="111" spans="1:7">
      <c r="A111" t="s">
        <v>1511</v>
      </c>
      <c r="B111" t="s">
        <v>150</v>
      </c>
      <c r="C111" t="s">
        <v>9</v>
      </c>
      <c r="D111" t="s">
        <v>3034</v>
      </c>
      <c r="E111">
        <v>1806</v>
      </c>
      <c r="F111">
        <v>228</v>
      </c>
      <c r="G111" t="s">
        <v>1512</v>
      </c>
    </row>
    <row r="112" spans="1:7">
      <c r="A112" t="s">
        <v>1513</v>
      </c>
      <c r="B112" t="s">
        <v>150</v>
      </c>
      <c r="C112" t="s">
        <v>9</v>
      </c>
      <c r="D112" t="s">
        <v>3035</v>
      </c>
      <c r="E112">
        <v>1818</v>
      </c>
      <c r="F112">
        <v>231</v>
      </c>
      <c r="G112" t="s">
        <v>1514</v>
      </c>
    </row>
    <row r="113" spans="1:7">
      <c r="A113" t="s">
        <v>1515</v>
      </c>
      <c r="B113" t="s">
        <v>150</v>
      </c>
      <c r="C113" t="s">
        <v>9</v>
      </c>
      <c r="D113" t="s">
        <v>3036</v>
      </c>
      <c r="E113">
        <v>1791</v>
      </c>
      <c r="F113">
        <v>226</v>
      </c>
      <c r="G113" t="s">
        <v>1516</v>
      </c>
    </row>
    <row r="114" spans="1:7">
      <c r="A114" t="s">
        <v>1517</v>
      </c>
      <c r="B114" t="s">
        <v>150</v>
      </c>
      <c r="C114" t="s">
        <v>9</v>
      </c>
      <c r="D114" t="s">
        <v>3037</v>
      </c>
      <c r="E114">
        <v>1816</v>
      </c>
      <c r="F114">
        <v>230</v>
      </c>
      <c r="G114" t="s">
        <v>1518</v>
      </c>
    </row>
    <row r="115" spans="1:7">
      <c r="A115" t="s">
        <v>1519</v>
      </c>
      <c r="B115" t="s">
        <v>150</v>
      </c>
      <c r="C115" t="s">
        <v>9</v>
      </c>
      <c r="D115" t="s">
        <v>3038</v>
      </c>
      <c r="E115">
        <v>1806</v>
      </c>
      <c r="F115">
        <v>229</v>
      </c>
      <c r="G115" t="s">
        <v>1520</v>
      </c>
    </row>
    <row r="116" spans="1:7">
      <c r="A116" t="s">
        <v>1521</v>
      </c>
      <c r="B116" t="s">
        <v>150</v>
      </c>
      <c r="C116" t="s">
        <v>9</v>
      </c>
      <c r="D116" t="s">
        <v>3039</v>
      </c>
      <c r="E116">
        <v>1823</v>
      </c>
      <c r="F116">
        <v>231</v>
      </c>
      <c r="G116" t="s">
        <v>1522</v>
      </c>
    </row>
    <row r="117" spans="1:7">
      <c r="A117" t="s">
        <v>1523</v>
      </c>
      <c r="B117" t="s">
        <v>150</v>
      </c>
      <c r="C117" t="s">
        <v>9</v>
      </c>
      <c r="D117" t="s">
        <v>3040</v>
      </c>
      <c r="E117">
        <v>1808</v>
      </c>
      <c r="F117">
        <v>230</v>
      </c>
      <c r="G117" t="s">
        <v>1524</v>
      </c>
    </row>
    <row r="118" spans="1:7">
      <c r="A118" t="s">
        <v>1525</v>
      </c>
      <c r="B118" t="s">
        <v>150</v>
      </c>
      <c r="C118" t="s">
        <v>9</v>
      </c>
      <c r="D118" t="s">
        <v>3041</v>
      </c>
      <c r="E118">
        <v>1831</v>
      </c>
      <c r="F118">
        <v>233</v>
      </c>
      <c r="G118" t="s">
        <v>1526</v>
      </c>
    </row>
    <row r="119" spans="1:7">
      <c r="A119" t="s">
        <v>1527</v>
      </c>
      <c r="B119" t="s">
        <v>150</v>
      </c>
      <c r="C119" t="s">
        <v>9</v>
      </c>
      <c r="D119" t="s">
        <v>3042</v>
      </c>
      <c r="E119">
        <v>1786</v>
      </c>
      <c r="F119">
        <v>229</v>
      </c>
      <c r="G119" t="s">
        <v>1528</v>
      </c>
    </row>
    <row r="120" spans="1:7">
      <c r="A120" t="s">
        <v>1529</v>
      </c>
      <c r="B120" t="s">
        <v>150</v>
      </c>
      <c r="C120" t="s">
        <v>9</v>
      </c>
      <c r="D120" t="s">
        <v>3043</v>
      </c>
      <c r="E120">
        <v>1795</v>
      </c>
      <c r="F120">
        <v>228</v>
      </c>
      <c r="G120" t="s">
        <v>1530</v>
      </c>
    </row>
    <row r="121" spans="1:7">
      <c r="A121" t="s">
        <v>1531</v>
      </c>
      <c r="B121" t="s">
        <v>150</v>
      </c>
      <c r="C121" t="s">
        <v>9</v>
      </c>
      <c r="D121" t="s">
        <v>3044</v>
      </c>
      <c r="E121">
        <v>1796</v>
      </c>
      <c r="F121">
        <v>230</v>
      </c>
      <c r="G121" t="s">
        <v>1532</v>
      </c>
    </row>
    <row r="122" spans="1:7">
      <c r="A122" t="s">
        <v>1533</v>
      </c>
      <c r="B122" t="s">
        <v>150</v>
      </c>
      <c r="C122" t="s">
        <v>9</v>
      </c>
      <c r="D122" t="s">
        <v>3045</v>
      </c>
      <c r="E122">
        <v>1766</v>
      </c>
      <c r="F122">
        <v>223</v>
      </c>
      <c r="G122" t="s">
        <v>1534</v>
      </c>
    </row>
    <row r="123" spans="1:7">
      <c r="A123" t="s">
        <v>1535</v>
      </c>
      <c r="B123" t="s">
        <v>150</v>
      </c>
      <c r="C123" t="s">
        <v>9</v>
      </c>
      <c r="D123" t="s">
        <v>3046</v>
      </c>
      <c r="E123">
        <v>1792</v>
      </c>
      <c r="F123">
        <v>228</v>
      </c>
      <c r="G123" t="s">
        <v>1536</v>
      </c>
    </row>
    <row r="124" spans="1:7">
      <c r="A124" t="s">
        <v>1537</v>
      </c>
      <c r="B124" t="s">
        <v>150</v>
      </c>
      <c r="C124" t="s">
        <v>9</v>
      </c>
      <c r="D124" t="s">
        <v>3047</v>
      </c>
      <c r="E124">
        <v>1778</v>
      </c>
      <c r="F124">
        <v>227</v>
      </c>
      <c r="G124" t="s">
        <v>1538</v>
      </c>
    </row>
    <row r="125" spans="1:7">
      <c r="A125" t="s">
        <v>1539</v>
      </c>
      <c r="B125" t="s">
        <v>150</v>
      </c>
      <c r="C125" t="s">
        <v>9</v>
      </c>
      <c r="D125" t="s">
        <v>3048</v>
      </c>
      <c r="E125">
        <v>1799</v>
      </c>
      <c r="F125">
        <v>229</v>
      </c>
      <c r="G125" t="s">
        <v>1540</v>
      </c>
    </row>
    <row r="126" spans="1:7">
      <c r="A126" t="s">
        <v>1541</v>
      </c>
      <c r="B126" t="s">
        <v>150</v>
      </c>
      <c r="C126" t="s">
        <v>9</v>
      </c>
      <c r="D126" t="s">
        <v>3049</v>
      </c>
      <c r="E126">
        <v>1786</v>
      </c>
      <c r="F126">
        <v>228</v>
      </c>
      <c r="G126" t="s">
        <v>1542</v>
      </c>
    </row>
    <row r="127" spans="1:7">
      <c r="A127" t="s">
        <v>1543</v>
      </c>
      <c r="B127" t="s">
        <v>150</v>
      </c>
      <c r="C127" t="s">
        <v>9</v>
      </c>
      <c r="D127" t="s">
        <v>3050</v>
      </c>
      <c r="E127">
        <v>1803</v>
      </c>
      <c r="F127">
        <v>230</v>
      </c>
      <c r="G127" t="s">
        <v>1544</v>
      </c>
    </row>
    <row r="128" spans="1:7">
      <c r="A128" t="s">
        <v>1545</v>
      </c>
      <c r="B128" t="s">
        <v>150</v>
      </c>
      <c r="C128" t="s">
        <v>9</v>
      </c>
      <c r="D128" t="s">
        <v>3051</v>
      </c>
      <c r="E128">
        <v>1809</v>
      </c>
      <c r="F128">
        <v>230</v>
      </c>
      <c r="G128" t="s">
        <v>1546</v>
      </c>
    </row>
    <row r="129" spans="1:7">
      <c r="A129" t="s">
        <v>1547</v>
      </c>
      <c r="B129" t="s">
        <v>150</v>
      </c>
      <c r="C129" t="s">
        <v>9</v>
      </c>
      <c r="D129" t="s">
        <v>3052</v>
      </c>
      <c r="E129">
        <v>1818</v>
      </c>
      <c r="F129">
        <v>229</v>
      </c>
      <c r="G129" t="s">
        <v>1548</v>
      </c>
    </row>
    <row r="130" spans="1:7">
      <c r="A130" t="s">
        <v>1549</v>
      </c>
      <c r="B130" t="s">
        <v>150</v>
      </c>
      <c r="C130" t="s">
        <v>9</v>
      </c>
      <c r="D130" t="s">
        <v>3053</v>
      </c>
      <c r="E130">
        <v>1819</v>
      </c>
      <c r="F130">
        <v>231</v>
      </c>
      <c r="G130" t="s">
        <v>1550</v>
      </c>
    </row>
    <row r="131" spans="1:7">
      <c r="A131" t="s">
        <v>1551</v>
      </c>
      <c r="B131" t="s">
        <v>150</v>
      </c>
      <c r="C131" t="s">
        <v>9</v>
      </c>
      <c r="D131" t="s">
        <v>3054</v>
      </c>
      <c r="E131">
        <v>1789</v>
      </c>
      <c r="F131">
        <v>224</v>
      </c>
      <c r="G131" t="s">
        <v>1552</v>
      </c>
    </row>
    <row r="132" spans="1:7">
      <c r="A132" t="s">
        <v>1553</v>
      </c>
      <c r="B132" t="s">
        <v>150</v>
      </c>
      <c r="C132" t="s">
        <v>9</v>
      </c>
      <c r="D132" t="s">
        <v>3055</v>
      </c>
      <c r="E132">
        <v>1815</v>
      </c>
      <c r="F132">
        <v>229</v>
      </c>
      <c r="G132" t="s">
        <v>1554</v>
      </c>
    </row>
    <row r="133" spans="1:7">
      <c r="A133" t="s">
        <v>1555</v>
      </c>
      <c r="B133" t="s">
        <v>150</v>
      </c>
      <c r="C133" t="s">
        <v>9</v>
      </c>
      <c r="D133" t="s">
        <v>3056</v>
      </c>
      <c r="E133">
        <v>1801</v>
      </c>
      <c r="F133">
        <v>228</v>
      </c>
      <c r="G133" t="s">
        <v>1556</v>
      </c>
    </row>
    <row r="134" spans="1:7">
      <c r="A134" t="s">
        <v>1557</v>
      </c>
      <c r="B134" t="s">
        <v>150</v>
      </c>
      <c r="C134" t="s">
        <v>9</v>
      </c>
      <c r="D134" t="s">
        <v>3057</v>
      </c>
      <c r="E134">
        <v>1822</v>
      </c>
      <c r="F134">
        <v>230</v>
      </c>
      <c r="G134" t="s">
        <v>1558</v>
      </c>
    </row>
    <row r="135" spans="1:7">
      <c r="A135" t="s">
        <v>1559</v>
      </c>
      <c r="B135" t="s">
        <v>150</v>
      </c>
      <c r="C135" t="s">
        <v>9</v>
      </c>
      <c r="D135" t="s">
        <v>3058</v>
      </c>
      <c r="E135">
        <v>1809</v>
      </c>
      <c r="F135">
        <v>229</v>
      </c>
      <c r="G135" t="s">
        <v>1560</v>
      </c>
    </row>
    <row r="136" spans="1:7">
      <c r="A136" t="s">
        <v>1561</v>
      </c>
      <c r="B136" t="s">
        <v>150</v>
      </c>
      <c r="C136" t="s">
        <v>9</v>
      </c>
      <c r="D136" t="s">
        <v>3059</v>
      </c>
      <c r="E136">
        <v>1826</v>
      </c>
      <c r="F136">
        <v>231</v>
      </c>
      <c r="G136" t="s">
        <v>1562</v>
      </c>
    </row>
    <row r="137" spans="1:7">
      <c r="A137" t="s">
        <v>1563</v>
      </c>
      <c r="B137" t="s">
        <v>150</v>
      </c>
      <c r="C137" t="s">
        <v>9</v>
      </c>
      <c r="D137" t="s">
        <v>3060</v>
      </c>
      <c r="E137">
        <v>1798</v>
      </c>
      <c r="F137">
        <v>229</v>
      </c>
      <c r="G137" t="s">
        <v>1564</v>
      </c>
    </row>
    <row r="138" spans="1:7">
      <c r="A138" t="s">
        <v>1565</v>
      </c>
      <c r="B138" t="s">
        <v>150</v>
      </c>
      <c r="C138" t="s">
        <v>9</v>
      </c>
      <c r="D138" t="s">
        <v>3061</v>
      </c>
      <c r="E138">
        <v>1807</v>
      </c>
      <c r="F138">
        <v>228</v>
      </c>
      <c r="G138" t="s">
        <v>1566</v>
      </c>
    </row>
    <row r="139" spans="1:7">
      <c r="A139" t="s">
        <v>1567</v>
      </c>
      <c r="B139" t="s">
        <v>150</v>
      </c>
      <c r="C139" t="s">
        <v>9</v>
      </c>
      <c r="D139" t="s">
        <v>3062</v>
      </c>
      <c r="E139">
        <v>1808</v>
      </c>
      <c r="F139">
        <v>230</v>
      </c>
      <c r="G139" t="s">
        <v>1568</v>
      </c>
    </row>
    <row r="140" spans="1:7">
      <c r="A140" t="s">
        <v>1569</v>
      </c>
      <c r="B140" t="s">
        <v>150</v>
      </c>
      <c r="C140" t="s">
        <v>9</v>
      </c>
      <c r="D140" t="s">
        <v>3063</v>
      </c>
      <c r="E140">
        <v>1778</v>
      </c>
      <c r="F140">
        <v>223</v>
      </c>
      <c r="G140" t="s">
        <v>1570</v>
      </c>
    </row>
    <row r="141" spans="1:7">
      <c r="A141" t="s">
        <v>1571</v>
      </c>
      <c r="B141" t="s">
        <v>150</v>
      </c>
      <c r="C141" t="s">
        <v>9</v>
      </c>
      <c r="D141" t="s">
        <v>3064</v>
      </c>
      <c r="E141">
        <v>1804</v>
      </c>
      <c r="F141">
        <v>228</v>
      </c>
      <c r="G141" t="s">
        <v>1572</v>
      </c>
    </row>
    <row r="142" spans="1:7">
      <c r="A142" t="s">
        <v>1573</v>
      </c>
      <c r="B142" t="s">
        <v>150</v>
      </c>
      <c r="C142" t="s">
        <v>9</v>
      </c>
      <c r="D142" t="s">
        <v>3065</v>
      </c>
      <c r="E142">
        <v>1790</v>
      </c>
      <c r="F142">
        <v>227</v>
      </c>
      <c r="G142" t="s">
        <v>1574</v>
      </c>
    </row>
    <row r="143" spans="1:7">
      <c r="A143" t="s">
        <v>1575</v>
      </c>
      <c r="B143" t="s">
        <v>150</v>
      </c>
      <c r="C143" t="s">
        <v>9</v>
      </c>
      <c r="D143" t="s">
        <v>3066</v>
      </c>
      <c r="E143">
        <v>1811</v>
      </c>
      <c r="F143">
        <v>229</v>
      </c>
      <c r="G143" t="s">
        <v>1576</v>
      </c>
    </row>
    <row r="144" spans="1:7">
      <c r="A144" t="s">
        <v>1577</v>
      </c>
      <c r="B144" t="s">
        <v>150</v>
      </c>
      <c r="C144" t="s">
        <v>9</v>
      </c>
      <c r="D144" t="s">
        <v>3067</v>
      </c>
      <c r="E144">
        <v>1798</v>
      </c>
      <c r="F144">
        <v>228</v>
      </c>
      <c r="G144" t="s">
        <v>1578</v>
      </c>
    </row>
    <row r="145" spans="1:7">
      <c r="A145" t="s">
        <v>1579</v>
      </c>
      <c r="B145" t="s">
        <v>150</v>
      </c>
      <c r="C145" t="s">
        <v>9</v>
      </c>
      <c r="D145" t="s">
        <v>3068</v>
      </c>
      <c r="E145">
        <v>1815</v>
      </c>
      <c r="F145">
        <v>230</v>
      </c>
      <c r="G145" t="s">
        <v>1580</v>
      </c>
    </row>
    <row r="146" spans="1:7">
      <c r="A146" t="s">
        <v>1581</v>
      </c>
      <c r="B146" t="s">
        <v>150</v>
      </c>
      <c r="C146" t="s">
        <v>9</v>
      </c>
      <c r="D146" t="s">
        <v>3069</v>
      </c>
      <c r="E146">
        <v>1796</v>
      </c>
      <c r="F146">
        <v>230</v>
      </c>
      <c r="G146" t="s">
        <v>1582</v>
      </c>
    </row>
    <row r="147" spans="1:7">
      <c r="A147" t="s">
        <v>1583</v>
      </c>
      <c r="B147" t="s">
        <v>150</v>
      </c>
      <c r="C147" t="s">
        <v>9</v>
      </c>
      <c r="D147" t="s">
        <v>3070</v>
      </c>
      <c r="E147">
        <v>1805</v>
      </c>
      <c r="F147">
        <v>229</v>
      </c>
      <c r="G147" t="s">
        <v>1584</v>
      </c>
    </row>
    <row r="148" spans="1:7">
      <c r="A148" t="s">
        <v>1585</v>
      </c>
      <c r="B148" t="s">
        <v>150</v>
      </c>
      <c r="C148" t="s">
        <v>9</v>
      </c>
      <c r="D148" t="s">
        <v>3071</v>
      </c>
      <c r="E148">
        <v>1806</v>
      </c>
      <c r="F148">
        <v>231</v>
      </c>
      <c r="G148" t="s">
        <v>1586</v>
      </c>
    </row>
    <row r="149" spans="1:7">
      <c r="A149" t="s">
        <v>1587</v>
      </c>
      <c r="B149" t="s">
        <v>150</v>
      </c>
      <c r="C149" t="s">
        <v>9</v>
      </c>
      <c r="D149" t="s">
        <v>3072</v>
      </c>
      <c r="E149">
        <v>1776</v>
      </c>
      <c r="F149">
        <v>224</v>
      </c>
      <c r="G149" t="s">
        <v>1588</v>
      </c>
    </row>
    <row r="150" spans="1:7">
      <c r="A150" t="s">
        <v>1589</v>
      </c>
      <c r="B150" t="s">
        <v>150</v>
      </c>
      <c r="C150" t="s">
        <v>9</v>
      </c>
      <c r="D150" t="s">
        <v>3073</v>
      </c>
      <c r="E150">
        <v>1802</v>
      </c>
      <c r="F150">
        <v>229</v>
      </c>
      <c r="G150" t="s">
        <v>1590</v>
      </c>
    </row>
    <row r="151" spans="1:7">
      <c r="A151" t="s">
        <v>1591</v>
      </c>
      <c r="B151" t="s">
        <v>150</v>
      </c>
      <c r="C151" t="s">
        <v>9</v>
      </c>
      <c r="D151" t="s">
        <v>3074</v>
      </c>
      <c r="E151">
        <v>1788</v>
      </c>
      <c r="F151">
        <v>228</v>
      </c>
      <c r="G151" t="s">
        <v>1592</v>
      </c>
    </row>
    <row r="152" spans="1:7">
      <c r="A152" t="s">
        <v>1593</v>
      </c>
      <c r="B152" t="s">
        <v>150</v>
      </c>
      <c r="C152" t="s">
        <v>9</v>
      </c>
      <c r="D152" t="s">
        <v>3075</v>
      </c>
      <c r="E152">
        <v>1809</v>
      </c>
      <c r="F152">
        <v>230</v>
      </c>
      <c r="G152" t="s">
        <v>1594</v>
      </c>
    </row>
    <row r="153" spans="1:7">
      <c r="A153" t="s">
        <v>1595</v>
      </c>
      <c r="B153" t="s">
        <v>150</v>
      </c>
      <c r="C153" t="s">
        <v>9</v>
      </c>
      <c r="D153" t="s">
        <v>3076</v>
      </c>
      <c r="E153">
        <v>1796</v>
      </c>
      <c r="F153">
        <v>229</v>
      </c>
      <c r="G153" t="s">
        <v>1596</v>
      </c>
    </row>
    <row r="154" spans="1:7">
      <c r="A154" t="s">
        <v>1597</v>
      </c>
      <c r="B154" t="s">
        <v>150</v>
      </c>
      <c r="C154" t="s">
        <v>9</v>
      </c>
      <c r="D154" t="s">
        <v>3077</v>
      </c>
      <c r="E154">
        <v>1813</v>
      </c>
      <c r="F154">
        <v>231</v>
      </c>
      <c r="G154" t="s">
        <v>1598</v>
      </c>
    </row>
    <row r="155" spans="1:7">
      <c r="A155" t="s">
        <v>1599</v>
      </c>
      <c r="B155" t="s">
        <v>150</v>
      </c>
      <c r="C155" t="s">
        <v>9</v>
      </c>
      <c r="D155" t="s">
        <v>3078</v>
      </c>
      <c r="E155">
        <v>1776</v>
      </c>
      <c r="F155">
        <v>227</v>
      </c>
      <c r="G155" t="s">
        <v>1600</v>
      </c>
    </row>
    <row r="156" spans="1:7">
      <c r="A156" t="s">
        <v>1601</v>
      </c>
      <c r="B156" t="s">
        <v>150</v>
      </c>
      <c r="C156" t="s">
        <v>9</v>
      </c>
      <c r="D156" t="s">
        <v>3079</v>
      </c>
      <c r="E156">
        <v>1773</v>
      </c>
      <c r="F156">
        <v>226</v>
      </c>
      <c r="G156" t="s">
        <v>1602</v>
      </c>
    </row>
    <row r="157" spans="1:7">
      <c r="A157" t="s">
        <v>1603</v>
      </c>
      <c r="B157" t="s">
        <v>150</v>
      </c>
      <c r="C157" t="s">
        <v>9</v>
      </c>
      <c r="D157" t="s">
        <v>3080</v>
      </c>
      <c r="E157">
        <v>1797</v>
      </c>
      <c r="F157">
        <v>229</v>
      </c>
      <c r="G157" t="s">
        <v>1604</v>
      </c>
    </row>
    <row r="158" spans="1:7">
      <c r="A158" t="s">
        <v>1605</v>
      </c>
      <c r="B158" t="s">
        <v>150</v>
      </c>
      <c r="C158" t="s">
        <v>9</v>
      </c>
      <c r="D158" t="s">
        <v>3081</v>
      </c>
      <c r="E158">
        <v>1772</v>
      </c>
      <c r="F158">
        <v>225</v>
      </c>
      <c r="G158" t="s">
        <v>1606</v>
      </c>
    </row>
    <row r="159" spans="1:7">
      <c r="A159" t="s">
        <v>1607</v>
      </c>
      <c r="B159" t="s">
        <v>150</v>
      </c>
      <c r="C159" t="s">
        <v>9</v>
      </c>
      <c r="D159" t="s">
        <v>3082</v>
      </c>
      <c r="E159">
        <v>1797</v>
      </c>
      <c r="F159">
        <v>229</v>
      </c>
      <c r="G159" t="s">
        <v>1608</v>
      </c>
    </row>
    <row r="160" spans="1:7">
      <c r="A160" t="s">
        <v>1609</v>
      </c>
      <c r="B160" t="s">
        <v>150</v>
      </c>
      <c r="C160" t="s">
        <v>9</v>
      </c>
      <c r="D160" t="s">
        <v>3083</v>
      </c>
      <c r="E160">
        <v>1804</v>
      </c>
      <c r="F160">
        <v>231</v>
      </c>
      <c r="G160" t="s">
        <v>1610</v>
      </c>
    </row>
    <row r="161" spans="1:7">
      <c r="A161" t="s">
        <v>1611</v>
      </c>
      <c r="B161" t="s">
        <v>150</v>
      </c>
      <c r="C161" t="s">
        <v>9</v>
      </c>
      <c r="D161" t="s">
        <v>3084</v>
      </c>
      <c r="E161">
        <v>1794</v>
      </c>
      <c r="F161">
        <v>228</v>
      </c>
      <c r="G161" t="s">
        <v>1612</v>
      </c>
    </row>
    <row r="162" spans="1:7">
      <c r="A162" t="s">
        <v>1613</v>
      </c>
      <c r="B162" t="s">
        <v>150</v>
      </c>
      <c r="C162" t="s">
        <v>9</v>
      </c>
      <c r="D162" t="s">
        <v>3085</v>
      </c>
      <c r="E162">
        <v>1798</v>
      </c>
      <c r="F162">
        <v>229</v>
      </c>
      <c r="G162" t="s">
        <v>1614</v>
      </c>
    </row>
    <row r="163" spans="1:7">
      <c r="A163" t="s">
        <v>1615</v>
      </c>
      <c r="B163" t="s">
        <v>150</v>
      </c>
      <c r="C163" t="s">
        <v>9</v>
      </c>
      <c r="D163" t="s">
        <v>3086</v>
      </c>
      <c r="E163">
        <v>1816</v>
      </c>
      <c r="F163">
        <v>231</v>
      </c>
      <c r="G163" t="s">
        <v>1616</v>
      </c>
    </row>
    <row r="164" spans="1:7">
      <c r="A164" t="s">
        <v>1617</v>
      </c>
      <c r="B164" t="s">
        <v>150</v>
      </c>
      <c r="C164" t="s">
        <v>9</v>
      </c>
      <c r="D164" t="s">
        <v>3087</v>
      </c>
      <c r="E164">
        <v>1793</v>
      </c>
      <c r="F164">
        <v>231</v>
      </c>
      <c r="G164" t="s">
        <v>1618</v>
      </c>
    </row>
    <row r="165" spans="1:7">
      <c r="A165" t="s">
        <v>1619</v>
      </c>
      <c r="B165" t="s">
        <v>150</v>
      </c>
      <c r="C165" t="s">
        <v>9</v>
      </c>
      <c r="D165" t="s">
        <v>3088</v>
      </c>
      <c r="E165">
        <v>1803</v>
      </c>
      <c r="F165">
        <v>229</v>
      </c>
      <c r="G165" t="s">
        <v>1620</v>
      </c>
    </row>
    <row r="166" spans="1:7">
      <c r="A166" t="s">
        <v>1621</v>
      </c>
      <c r="B166" t="s">
        <v>150</v>
      </c>
      <c r="C166" t="s">
        <v>9</v>
      </c>
      <c r="D166" t="s">
        <v>3089</v>
      </c>
      <c r="E166">
        <v>1817</v>
      </c>
      <c r="F166">
        <v>233</v>
      </c>
      <c r="G166" t="s">
        <v>1622</v>
      </c>
    </row>
    <row r="167" spans="1:7">
      <c r="A167" t="s">
        <v>1623</v>
      </c>
      <c r="B167" t="s">
        <v>150</v>
      </c>
      <c r="C167" t="s">
        <v>9</v>
      </c>
      <c r="D167" t="s">
        <v>3090</v>
      </c>
      <c r="E167">
        <v>1762</v>
      </c>
      <c r="F167">
        <v>224</v>
      </c>
      <c r="G167" t="s">
        <v>1624</v>
      </c>
    </row>
    <row r="168" spans="1:7">
      <c r="A168" t="s">
        <v>1625</v>
      </c>
      <c r="B168" t="s">
        <v>150</v>
      </c>
      <c r="C168" t="s">
        <v>9</v>
      </c>
      <c r="D168" t="s">
        <v>3091</v>
      </c>
      <c r="E168">
        <v>1817</v>
      </c>
      <c r="F168">
        <v>232</v>
      </c>
      <c r="G168" t="s">
        <v>1626</v>
      </c>
    </row>
    <row r="169" spans="1:7">
      <c r="A169" t="s">
        <v>1627</v>
      </c>
      <c r="B169" t="s">
        <v>150</v>
      </c>
      <c r="C169" t="s">
        <v>9</v>
      </c>
      <c r="D169" t="s">
        <v>3092</v>
      </c>
      <c r="E169">
        <v>1812</v>
      </c>
      <c r="F169">
        <v>231</v>
      </c>
      <c r="G169" t="s">
        <v>1628</v>
      </c>
    </row>
    <row r="170" spans="1:7">
      <c r="A170" t="s">
        <v>1629</v>
      </c>
      <c r="B170" t="s">
        <v>150</v>
      </c>
      <c r="C170" t="s">
        <v>9</v>
      </c>
      <c r="D170" t="s">
        <v>3093</v>
      </c>
      <c r="E170">
        <v>1825</v>
      </c>
      <c r="F170">
        <v>234</v>
      </c>
      <c r="G170" t="s">
        <v>1630</v>
      </c>
    </row>
    <row r="171" spans="1:7">
      <c r="A171" t="s">
        <v>1631</v>
      </c>
      <c r="B171" t="s">
        <v>150</v>
      </c>
      <c r="C171" t="s">
        <v>9</v>
      </c>
      <c r="D171" t="s">
        <v>3094</v>
      </c>
      <c r="E171">
        <v>1801</v>
      </c>
      <c r="F171">
        <v>231</v>
      </c>
      <c r="G171" t="s">
        <v>1632</v>
      </c>
    </row>
    <row r="172" spans="1:7">
      <c r="A172" t="s">
        <v>1633</v>
      </c>
      <c r="B172" t="s">
        <v>150</v>
      </c>
      <c r="C172" t="s">
        <v>9</v>
      </c>
      <c r="D172" t="s">
        <v>3095</v>
      </c>
      <c r="E172">
        <v>1833</v>
      </c>
      <c r="F172">
        <v>235</v>
      </c>
      <c r="G172" t="s">
        <v>1634</v>
      </c>
    </row>
    <row r="173" spans="1:7">
      <c r="A173" t="s">
        <v>1635</v>
      </c>
      <c r="B173" t="s">
        <v>150</v>
      </c>
      <c r="C173" t="s">
        <v>9</v>
      </c>
      <c r="D173" t="s">
        <v>3096</v>
      </c>
      <c r="E173">
        <v>1785</v>
      </c>
      <c r="F173">
        <v>229</v>
      </c>
      <c r="G173" t="s">
        <v>1636</v>
      </c>
    </row>
    <row r="174" spans="1:7">
      <c r="A174" t="s">
        <v>1637</v>
      </c>
      <c r="B174" t="s">
        <v>150</v>
      </c>
      <c r="C174" t="s">
        <v>9</v>
      </c>
      <c r="D174" t="s">
        <v>3097</v>
      </c>
      <c r="E174">
        <v>1792</v>
      </c>
      <c r="F174">
        <v>227</v>
      </c>
      <c r="G174" t="s">
        <v>1638</v>
      </c>
    </row>
    <row r="175" spans="1:7">
      <c r="A175" t="s">
        <v>1639</v>
      </c>
      <c r="B175" t="s">
        <v>150</v>
      </c>
      <c r="C175" t="s">
        <v>9</v>
      </c>
      <c r="D175" t="s">
        <v>3098</v>
      </c>
      <c r="E175">
        <v>1804</v>
      </c>
      <c r="F175">
        <v>230</v>
      </c>
      <c r="G175" t="s">
        <v>1640</v>
      </c>
    </row>
    <row r="176" spans="1:7">
      <c r="A176" t="s">
        <v>1641</v>
      </c>
      <c r="B176" t="s">
        <v>150</v>
      </c>
      <c r="C176" t="s">
        <v>9</v>
      </c>
      <c r="D176" t="s">
        <v>3099</v>
      </c>
      <c r="E176">
        <v>1777</v>
      </c>
      <c r="F176">
        <v>225</v>
      </c>
      <c r="G176" t="s">
        <v>1642</v>
      </c>
    </row>
    <row r="177" spans="1:7">
      <c r="A177" t="s">
        <v>1643</v>
      </c>
      <c r="B177" t="s">
        <v>150</v>
      </c>
      <c r="C177" t="s">
        <v>9</v>
      </c>
      <c r="D177" t="s">
        <v>3100</v>
      </c>
      <c r="E177">
        <v>1802</v>
      </c>
      <c r="F177">
        <v>229</v>
      </c>
      <c r="G177" t="s">
        <v>1644</v>
      </c>
    </row>
    <row r="178" spans="1:7">
      <c r="A178" t="s">
        <v>1645</v>
      </c>
      <c r="B178" t="s">
        <v>150</v>
      </c>
      <c r="C178" t="s">
        <v>9</v>
      </c>
      <c r="D178" t="s">
        <v>3101</v>
      </c>
      <c r="E178">
        <v>1792</v>
      </c>
      <c r="F178">
        <v>228</v>
      </c>
      <c r="G178" t="s">
        <v>1646</v>
      </c>
    </row>
    <row r="179" spans="1:7">
      <c r="A179" t="s">
        <v>1647</v>
      </c>
      <c r="B179" t="s">
        <v>150</v>
      </c>
      <c r="C179" t="s">
        <v>9</v>
      </c>
      <c r="D179" t="s">
        <v>3102</v>
      </c>
      <c r="E179">
        <v>1809</v>
      </c>
      <c r="F179">
        <v>230</v>
      </c>
      <c r="G179" t="s">
        <v>1648</v>
      </c>
    </row>
    <row r="180" spans="1:7">
      <c r="A180" t="s">
        <v>1649</v>
      </c>
      <c r="B180" t="s">
        <v>150</v>
      </c>
      <c r="C180" t="s">
        <v>9</v>
      </c>
      <c r="D180" t="s">
        <v>3103</v>
      </c>
      <c r="E180">
        <v>1794</v>
      </c>
      <c r="F180">
        <v>229</v>
      </c>
      <c r="G180" t="s">
        <v>1650</v>
      </c>
    </row>
    <row r="181" spans="1:7">
      <c r="A181" t="s">
        <v>1651</v>
      </c>
      <c r="B181" t="s">
        <v>150</v>
      </c>
      <c r="C181" t="s">
        <v>9</v>
      </c>
      <c r="D181" t="s">
        <v>3104</v>
      </c>
      <c r="E181">
        <v>1817</v>
      </c>
      <c r="F181">
        <v>232</v>
      </c>
      <c r="G181" t="s">
        <v>1652</v>
      </c>
    </row>
    <row r="182" spans="1:7">
      <c r="A182" t="s">
        <v>1653</v>
      </c>
      <c r="B182" t="s">
        <v>150</v>
      </c>
      <c r="C182" t="s">
        <v>9</v>
      </c>
      <c r="D182" t="s">
        <v>3105</v>
      </c>
      <c r="E182">
        <v>1792</v>
      </c>
      <c r="F182">
        <v>228</v>
      </c>
      <c r="G182" t="s">
        <v>1654</v>
      </c>
    </row>
    <row r="183" spans="1:7">
      <c r="A183" t="s">
        <v>1655</v>
      </c>
      <c r="B183" t="s">
        <v>150</v>
      </c>
      <c r="C183" t="s">
        <v>9</v>
      </c>
      <c r="D183" t="s">
        <v>3106</v>
      </c>
      <c r="E183">
        <v>1792</v>
      </c>
      <c r="F183">
        <v>227</v>
      </c>
      <c r="G183" t="s">
        <v>1656</v>
      </c>
    </row>
    <row r="184" spans="1:7">
      <c r="A184" t="s">
        <v>1657</v>
      </c>
      <c r="B184" t="s">
        <v>150</v>
      </c>
      <c r="C184" t="s">
        <v>9</v>
      </c>
      <c r="D184" t="s">
        <v>3107</v>
      </c>
      <c r="E184">
        <v>1818</v>
      </c>
      <c r="F184">
        <v>231</v>
      </c>
      <c r="G184" t="s">
        <v>1658</v>
      </c>
    </row>
    <row r="185" spans="1:7">
      <c r="A185" t="s">
        <v>1659</v>
      </c>
      <c r="B185" t="s">
        <v>150</v>
      </c>
      <c r="C185" t="s">
        <v>9</v>
      </c>
      <c r="D185" t="s">
        <v>3108</v>
      </c>
      <c r="E185">
        <v>1765</v>
      </c>
      <c r="F185">
        <v>223</v>
      </c>
      <c r="G185" t="s">
        <v>1660</v>
      </c>
    </row>
    <row r="186" spans="1:7">
      <c r="A186" t="s">
        <v>1661</v>
      </c>
      <c r="B186" t="s">
        <v>150</v>
      </c>
      <c r="C186" t="s">
        <v>9</v>
      </c>
      <c r="D186" t="s">
        <v>3109</v>
      </c>
      <c r="E186">
        <v>1820</v>
      </c>
      <c r="F186">
        <v>231</v>
      </c>
      <c r="G186" t="s">
        <v>1662</v>
      </c>
    </row>
    <row r="187" spans="1:7">
      <c r="A187" t="s">
        <v>1663</v>
      </c>
      <c r="B187" t="s">
        <v>150</v>
      </c>
      <c r="C187" t="s">
        <v>9</v>
      </c>
      <c r="D187" t="s">
        <v>3110</v>
      </c>
      <c r="E187">
        <v>1832</v>
      </c>
      <c r="F187">
        <v>233</v>
      </c>
      <c r="G187" t="s">
        <v>1664</v>
      </c>
    </row>
    <row r="188" spans="1:7">
      <c r="A188" t="s">
        <v>1665</v>
      </c>
      <c r="B188" t="s">
        <v>150</v>
      </c>
      <c r="C188" t="s">
        <v>9</v>
      </c>
      <c r="D188" t="s">
        <v>3111</v>
      </c>
      <c r="E188">
        <v>1818</v>
      </c>
      <c r="F188">
        <v>231</v>
      </c>
      <c r="G188" t="s">
        <v>1666</v>
      </c>
    </row>
    <row r="189" spans="1:7">
      <c r="A189" t="s">
        <v>1667</v>
      </c>
      <c r="B189" t="s">
        <v>150</v>
      </c>
      <c r="C189" t="s">
        <v>9</v>
      </c>
      <c r="D189" t="s">
        <v>3112</v>
      </c>
      <c r="E189">
        <v>1813</v>
      </c>
      <c r="F189">
        <v>230</v>
      </c>
      <c r="G189" t="s">
        <v>1668</v>
      </c>
    </row>
    <row r="190" spans="1:7">
      <c r="A190" t="s">
        <v>1669</v>
      </c>
      <c r="B190" t="s">
        <v>150</v>
      </c>
      <c r="C190" t="s">
        <v>9</v>
      </c>
      <c r="D190" t="s">
        <v>3113</v>
      </c>
      <c r="E190">
        <v>1840</v>
      </c>
      <c r="F190">
        <v>233</v>
      </c>
      <c r="G190" t="s">
        <v>1670</v>
      </c>
    </row>
    <row r="191" spans="1:7">
      <c r="A191" t="s">
        <v>1671</v>
      </c>
      <c r="B191" t="s">
        <v>150</v>
      </c>
      <c r="C191" t="s">
        <v>9</v>
      </c>
      <c r="D191" t="s">
        <v>3114</v>
      </c>
      <c r="E191">
        <v>1796</v>
      </c>
      <c r="F191">
        <v>228</v>
      </c>
      <c r="G191" t="s">
        <v>1672</v>
      </c>
    </row>
    <row r="192" spans="1:7">
      <c r="A192" t="s">
        <v>1673</v>
      </c>
      <c r="B192" t="s">
        <v>150</v>
      </c>
      <c r="C192" t="s">
        <v>9</v>
      </c>
      <c r="D192" t="s">
        <v>3115</v>
      </c>
      <c r="E192">
        <v>1803</v>
      </c>
      <c r="F192">
        <v>226</v>
      </c>
      <c r="G192" t="s">
        <v>1674</v>
      </c>
    </row>
    <row r="193" spans="1:7">
      <c r="A193" t="s">
        <v>1675</v>
      </c>
      <c r="B193" t="s">
        <v>150</v>
      </c>
      <c r="C193" t="s">
        <v>9</v>
      </c>
      <c r="D193" t="s">
        <v>3116</v>
      </c>
      <c r="E193">
        <v>1815</v>
      </c>
      <c r="F193">
        <v>229</v>
      </c>
      <c r="G193" t="s">
        <v>1676</v>
      </c>
    </row>
    <row r="194" spans="1:7">
      <c r="A194" t="s">
        <v>1677</v>
      </c>
      <c r="B194" t="s">
        <v>150</v>
      </c>
      <c r="C194" t="s">
        <v>9</v>
      </c>
      <c r="D194" t="s">
        <v>3117</v>
      </c>
      <c r="E194">
        <v>1788</v>
      </c>
      <c r="F194">
        <v>224</v>
      </c>
      <c r="G194" t="s">
        <v>1678</v>
      </c>
    </row>
    <row r="195" spans="1:7">
      <c r="A195" t="s">
        <v>1679</v>
      </c>
      <c r="B195" t="s">
        <v>150</v>
      </c>
      <c r="C195" t="s">
        <v>9</v>
      </c>
      <c r="D195" t="s">
        <v>3118</v>
      </c>
      <c r="E195">
        <v>1813</v>
      </c>
      <c r="F195">
        <v>228</v>
      </c>
      <c r="G195" t="s">
        <v>1680</v>
      </c>
    </row>
    <row r="196" spans="1:7">
      <c r="A196" t="s">
        <v>1681</v>
      </c>
      <c r="B196" t="s">
        <v>150</v>
      </c>
      <c r="C196" t="s">
        <v>9</v>
      </c>
      <c r="D196" t="s">
        <v>3119</v>
      </c>
      <c r="E196">
        <v>1803</v>
      </c>
      <c r="F196">
        <v>227</v>
      </c>
      <c r="G196" t="s">
        <v>1682</v>
      </c>
    </row>
    <row r="197" spans="1:7">
      <c r="A197" t="s">
        <v>1683</v>
      </c>
      <c r="B197" t="s">
        <v>150</v>
      </c>
      <c r="C197" t="s">
        <v>9</v>
      </c>
      <c r="D197" t="s">
        <v>3120</v>
      </c>
      <c r="E197">
        <v>1820</v>
      </c>
      <c r="F197">
        <v>229</v>
      </c>
      <c r="G197" t="s">
        <v>1684</v>
      </c>
    </row>
    <row r="198" spans="1:7">
      <c r="A198" t="s">
        <v>1685</v>
      </c>
      <c r="B198" t="s">
        <v>150</v>
      </c>
      <c r="C198" t="s">
        <v>9</v>
      </c>
      <c r="D198" t="s">
        <v>3121</v>
      </c>
      <c r="E198">
        <v>1805</v>
      </c>
      <c r="F198">
        <v>228</v>
      </c>
      <c r="G198" t="s">
        <v>1686</v>
      </c>
    </row>
    <row r="199" spans="1:7">
      <c r="A199" t="s">
        <v>1687</v>
      </c>
      <c r="B199" t="s">
        <v>150</v>
      </c>
      <c r="C199" t="s">
        <v>9</v>
      </c>
      <c r="D199" t="s">
        <v>3122</v>
      </c>
      <c r="E199">
        <v>1828</v>
      </c>
      <c r="F199">
        <v>231</v>
      </c>
      <c r="G199" t="s">
        <v>1688</v>
      </c>
    </row>
    <row r="200" spans="1:7">
      <c r="A200" t="s">
        <v>1689</v>
      </c>
      <c r="B200" t="s">
        <v>150</v>
      </c>
      <c r="C200" t="s">
        <v>1316</v>
      </c>
      <c r="D200" t="s">
        <v>3123</v>
      </c>
      <c r="E200">
        <v>1905</v>
      </c>
      <c r="F200">
        <v>265</v>
      </c>
      <c r="G200" t="s">
        <v>1690</v>
      </c>
    </row>
    <row r="201" spans="1:7">
      <c r="A201" t="s">
        <v>1691</v>
      </c>
      <c r="B201" t="s">
        <v>150</v>
      </c>
      <c r="C201" t="s">
        <v>1316</v>
      </c>
      <c r="D201" t="s">
        <v>3124</v>
      </c>
      <c r="E201">
        <v>1918</v>
      </c>
      <c r="F201">
        <v>263</v>
      </c>
      <c r="G201" t="s">
        <v>1692</v>
      </c>
    </row>
    <row r="202" spans="1:7">
      <c r="A202" t="s">
        <v>1693</v>
      </c>
      <c r="B202" t="s">
        <v>150</v>
      </c>
      <c r="C202" t="s">
        <v>1316</v>
      </c>
      <c r="D202" t="s">
        <v>3125</v>
      </c>
      <c r="E202">
        <v>1931</v>
      </c>
      <c r="F202">
        <v>267</v>
      </c>
      <c r="G202" t="s">
        <v>1694</v>
      </c>
    </row>
    <row r="203" spans="1:7">
      <c r="A203" t="s">
        <v>1695</v>
      </c>
      <c r="B203" t="s">
        <v>150</v>
      </c>
      <c r="C203" t="s">
        <v>1316</v>
      </c>
      <c r="D203" t="s">
        <v>3126</v>
      </c>
      <c r="E203">
        <v>1872</v>
      </c>
      <c r="F203">
        <v>258</v>
      </c>
      <c r="G203" t="s">
        <v>1696</v>
      </c>
    </row>
    <row r="204" spans="1:7">
      <c r="A204" t="s">
        <v>1697</v>
      </c>
      <c r="B204" t="s">
        <v>150</v>
      </c>
      <c r="C204" t="s">
        <v>1316</v>
      </c>
      <c r="D204" t="s">
        <v>3127</v>
      </c>
      <c r="E204">
        <v>1938</v>
      </c>
      <c r="F204">
        <v>267</v>
      </c>
      <c r="G204" t="s">
        <v>1698</v>
      </c>
    </row>
    <row r="205" spans="1:7">
      <c r="A205" t="s">
        <v>1699</v>
      </c>
      <c r="B205" t="s">
        <v>150</v>
      </c>
      <c r="C205" t="s">
        <v>1316</v>
      </c>
      <c r="D205" t="s">
        <v>3128</v>
      </c>
      <c r="E205">
        <v>1935</v>
      </c>
      <c r="F205">
        <v>266</v>
      </c>
      <c r="G205" t="s">
        <v>1700</v>
      </c>
    </row>
    <row r="206" spans="1:7">
      <c r="A206" t="s">
        <v>1701</v>
      </c>
      <c r="B206" t="s">
        <v>150</v>
      </c>
      <c r="C206" t="s">
        <v>1316</v>
      </c>
      <c r="D206" t="s">
        <v>3129</v>
      </c>
      <c r="E206">
        <v>1941</v>
      </c>
      <c r="F206">
        <v>270</v>
      </c>
      <c r="G206" t="s">
        <v>1702</v>
      </c>
    </row>
    <row r="207" spans="1:7">
      <c r="A207" t="s">
        <v>1703</v>
      </c>
      <c r="B207" t="s">
        <v>150</v>
      </c>
      <c r="C207" t="s">
        <v>1316</v>
      </c>
      <c r="D207" t="s">
        <v>3130</v>
      </c>
      <c r="E207">
        <v>1917</v>
      </c>
      <c r="F207">
        <v>265</v>
      </c>
      <c r="G207" t="s">
        <v>1704</v>
      </c>
    </row>
    <row r="208" spans="1:7">
      <c r="A208" t="s">
        <v>1705</v>
      </c>
      <c r="B208" t="s">
        <v>150</v>
      </c>
      <c r="C208" t="s">
        <v>1316</v>
      </c>
      <c r="D208" t="s">
        <v>3131</v>
      </c>
      <c r="E208">
        <v>1946</v>
      </c>
      <c r="F208">
        <v>269</v>
      </c>
      <c r="G208" t="s">
        <v>1706</v>
      </c>
    </row>
    <row r="209" spans="1:7">
      <c r="A209" t="s">
        <v>1707</v>
      </c>
      <c r="B209" t="s">
        <v>150</v>
      </c>
      <c r="C209" t="s">
        <v>1316</v>
      </c>
      <c r="D209" t="s">
        <v>3132</v>
      </c>
      <c r="E209">
        <v>1895</v>
      </c>
      <c r="F209">
        <v>264</v>
      </c>
      <c r="G209" t="s">
        <v>1708</v>
      </c>
    </row>
    <row r="210" spans="1:7">
      <c r="A210" t="s">
        <v>1709</v>
      </c>
      <c r="B210" t="s">
        <v>150</v>
      </c>
      <c r="C210" t="s">
        <v>1316</v>
      </c>
      <c r="D210" t="s">
        <v>3133</v>
      </c>
      <c r="E210">
        <v>1910</v>
      </c>
      <c r="F210">
        <v>263</v>
      </c>
      <c r="G210" t="s">
        <v>1710</v>
      </c>
    </row>
    <row r="211" spans="1:7">
      <c r="A211" t="s">
        <v>1711</v>
      </c>
      <c r="B211" t="s">
        <v>150</v>
      </c>
      <c r="C211" t="s">
        <v>1316</v>
      </c>
      <c r="D211" t="s">
        <v>3134</v>
      </c>
      <c r="E211">
        <v>1912</v>
      </c>
      <c r="F211">
        <v>266</v>
      </c>
      <c r="G211" t="s">
        <v>1712</v>
      </c>
    </row>
    <row r="212" spans="1:7">
      <c r="A212" t="s">
        <v>1713</v>
      </c>
      <c r="B212" t="s">
        <v>150</v>
      </c>
      <c r="C212" t="s">
        <v>1316</v>
      </c>
      <c r="D212" t="s">
        <v>3135</v>
      </c>
      <c r="E212">
        <v>1850</v>
      </c>
      <c r="F212">
        <v>255</v>
      </c>
      <c r="G212" t="s">
        <v>1714</v>
      </c>
    </row>
    <row r="213" spans="1:7">
      <c r="A213" t="s">
        <v>1715</v>
      </c>
      <c r="B213" t="s">
        <v>150</v>
      </c>
      <c r="C213" t="s">
        <v>1316</v>
      </c>
      <c r="D213" t="s">
        <v>3136</v>
      </c>
      <c r="E213">
        <v>1917</v>
      </c>
      <c r="F213">
        <v>265</v>
      </c>
      <c r="G213" t="s">
        <v>1716</v>
      </c>
    </row>
    <row r="214" spans="1:7">
      <c r="A214" t="s">
        <v>1717</v>
      </c>
      <c r="B214" t="s">
        <v>150</v>
      </c>
      <c r="C214" t="s">
        <v>1316</v>
      </c>
      <c r="D214" t="s">
        <v>3137</v>
      </c>
      <c r="E214">
        <v>1910</v>
      </c>
      <c r="F214">
        <v>264</v>
      </c>
      <c r="G214" t="s">
        <v>1718</v>
      </c>
    </row>
    <row r="215" spans="1:7">
      <c r="A215" t="s">
        <v>1719</v>
      </c>
      <c r="B215" t="s">
        <v>150</v>
      </c>
      <c r="C215" t="s">
        <v>1316</v>
      </c>
      <c r="D215" t="s">
        <v>3138</v>
      </c>
      <c r="E215">
        <v>1920</v>
      </c>
      <c r="F215">
        <v>268</v>
      </c>
      <c r="G215" t="s">
        <v>1720</v>
      </c>
    </row>
    <row r="216" spans="1:7">
      <c r="A216" t="s">
        <v>1721</v>
      </c>
      <c r="B216" t="s">
        <v>150</v>
      </c>
      <c r="C216" t="s">
        <v>1316</v>
      </c>
      <c r="D216" t="s">
        <v>3139</v>
      </c>
      <c r="E216">
        <v>1898</v>
      </c>
      <c r="F216">
        <v>263</v>
      </c>
      <c r="G216" t="s">
        <v>1722</v>
      </c>
    </row>
    <row r="217" spans="1:7">
      <c r="A217" t="s">
        <v>1723</v>
      </c>
      <c r="B217" t="s">
        <v>150</v>
      </c>
      <c r="C217" t="s">
        <v>1316</v>
      </c>
      <c r="D217" t="s">
        <v>3140</v>
      </c>
      <c r="E217">
        <v>1921</v>
      </c>
      <c r="F217">
        <v>266</v>
      </c>
      <c r="G217" t="s">
        <v>1724</v>
      </c>
    </row>
    <row r="218" spans="1:7">
      <c r="A218" t="s">
        <v>1725</v>
      </c>
      <c r="B218" t="s">
        <v>150</v>
      </c>
      <c r="C218" t="s">
        <v>1316</v>
      </c>
      <c r="D218" t="s">
        <v>3141</v>
      </c>
      <c r="E218">
        <v>1898</v>
      </c>
      <c r="F218">
        <v>263</v>
      </c>
      <c r="G218" t="s">
        <v>1726</v>
      </c>
    </row>
    <row r="219" spans="1:7">
      <c r="A219" t="s">
        <v>1727</v>
      </c>
      <c r="B219" t="s">
        <v>150</v>
      </c>
      <c r="C219" t="s">
        <v>1316</v>
      </c>
      <c r="D219" t="s">
        <v>3142</v>
      </c>
      <c r="E219">
        <v>1913</v>
      </c>
      <c r="F219">
        <v>262</v>
      </c>
      <c r="G219" t="s">
        <v>1728</v>
      </c>
    </row>
    <row r="220" spans="1:7">
      <c r="A220" t="s">
        <v>1729</v>
      </c>
      <c r="B220" t="s">
        <v>150</v>
      </c>
      <c r="C220" t="s">
        <v>1316</v>
      </c>
      <c r="D220" t="s">
        <v>3143</v>
      </c>
      <c r="E220">
        <v>1915</v>
      </c>
      <c r="F220">
        <v>265</v>
      </c>
      <c r="G220" t="s">
        <v>1730</v>
      </c>
    </row>
    <row r="221" spans="1:7">
      <c r="A221" t="s">
        <v>1731</v>
      </c>
      <c r="B221" t="s">
        <v>150</v>
      </c>
      <c r="C221" t="s">
        <v>1316</v>
      </c>
      <c r="D221" t="s">
        <v>3144</v>
      </c>
      <c r="E221">
        <v>1853</v>
      </c>
      <c r="F221">
        <v>254</v>
      </c>
      <c r="G221" t="s">
        <v>1732</v>
      </c>
    </row>
    <row r="222" spans="1:7">
      <c r="A222" t="s">
        <v>1733</v>
      </c>
      <c r="B222" t="s">
        <v>150</v>
      </c>
      <c r="C222" t="s">
        <v>1316</v>
      </c>
      <c r="D222" t="s">
        <v>3145</v>
      </c>
      <c r="E222">
        <v>1920</v>
      </c>
      <c r="F222">
        <v>264</v>
      </c>
      <c r="G222" t="s">
        <v>1734</v>
      </c>
    </row>
    <row r="223" spans="1:7">
      <c r="A223" t="s">
        <v>1735</v>
      </c>
      <c r="B223" t="s">
        <v>150</v>
      </c>
      <c r="C223" t="s">
        <v>1316</v>
      </c>
      <c r="D223" t="s">
        <v>3146</v>
      </c>
      <c r="E223">
        <v>1913</v>
      </c>
      <c r="F223">
        <v>263</v>
      </c>
      <c r="G223" t="s">
        <v>1736</v>
      </c>
    </row>
    <row r="224" spans="1:7">
      <c r="A224" t="s">
        <v>1737</v>
      </c>
      <c r="B224" t="s">
        <v>150</v>
      </c>
      <c r="C224" t="s">
        <v>1316</v>
      </c>
      <c r="D224" t="s">
        <v>3147</v>
      </c>
      <c r="E224">
        <v>1923</v>
      </c>
      <c r="F224">
        <v>267</v>
      </c>
      <c r="G224" t="s">
        <v>1738</v>
      </c>
    </row>
    <row r="225" spans="1:7">
      <c r="A225" t="s">
        <v>1739</v>
      </c>
      <c r="B225" t="s">
        <v>150</v>
      </c>
      <c r="C225" t="s">
        <v>1316</v>
      </c>
      <c r="D225" t="s">
        <v>3148</v>
      </c>
      <c r="E225">
        <v>1901</v>
      </c>
      <c r="F225">
        <v>262</v>
      </c>
      <c r="G225" t="s">
        <v>1740</v>
      </c>
    </row>
    <row r="226" spans="1:7">
      <c r="A226" t="s">
        <v>1741</v>
      </c>
      <c r="B226" t="s">
        <v>150</v>
      </c>
      <c r="C226" t="s">
        <v>1316</v>
      </c>
      <c r="D226" t="s">
        <v>3149</v>
      </c>
      <c r="E226">
        <v>1924</v>
      </c>
      <c r="F226">
        <v>265</v>
      </c>
      <c r="G226" t="s">
        <v>1742</v>
      </c>
    </row>
    <row r="227" spans="1:7">
      <c r="A227" t="s">
        <v>1743</v>
      </c>
      <c r="B227" t="s">
        <v>150</v>
      </c>
      <c r="C227" t="s">
        <v>1316</v>
      </c>
      <c r="D227" t="s">
        <v>3150</v>
      </c>
      <c r="E227">
        <v>1920</v>
      </c>
      <c r="F227">
        <v>269</v>
      </c>
      <c r="G227" t="s">
        <v>1744</v>
      </c>
    </row>
    <row r="228" spans="1:7">
      <c r="A228" t="s">
        <v>1745</v>
      </c>
      <c r="B228" t="s">
        <v>150</v>
      </c>
      <c r="C228" t="s">
        <v>1316</v>
      </c>
      <c r="D228" t="s">
        <v>3151</v>
      </c>
      <c r="E228">
        <v>1935</v>
      </c>
      <c r="F228">
        <v>268</v>
      </c>
      <c r="G228" t="s">
        <v>1746</v>
      </c>
    </row>
    <row r="229" spans="1:7">
      <c r="A229" t="s">
        <v>1747</v>
      </c>
      <c r="B229" t="s">
        <v>150</v>
      </c>
      <c r="C229" t="s">
        <v>1316</v>
      </c>
      <c r="D229" t="s">
        <v>3152</v>
      </c>
      <c r="E229">
        <v>1937</v>
      </c>
      <c r="F229">
        <v>271</v>
      </c>
      <c r="G229" t="s">
        <v>1748</v>
      </c>
    </row>
    <row r="230" spans="1:7">
      <c r="A230" t="s">
        <v>1749</v>
      </c>
      <c r="B230" t="s">
        <v>150</v>
      </c>
      <c r="C230" t="s">
        <v>1316</v>
      </c>
      <c r="D230" t="s">
        <v>3153</v>
      </c>
      <c r="E230">
        <v>1875</v>
      </c>
      <c r="F230">
        <v>260</v>
      </c>
      <c r="G230" t="s">
        <v>1750</v>
      </c>
    </row>
    <row r="231" spans="1:7">
      <c r="A231" t="s">
        <v>1751</v>
      </c>
      <c r="B231" t="s">
        <v>150</v>
      </c>
      <c r="C231" t="s">
        <v>1316</v>
      </c>
      <c r="D231" t="s">
        <v>3154</v>
      </c>
      <c r="E231">
        <v>1942</v>
      </c>
      <c r="F231">
        <v>270</v>
      </c>
      <c r="G231" t="s">
        <v>1752</v>
      </c>
    </row>
    <row r="232" spans="1:7">
      <c r="A232" t="s">
        <v>1753</v>
      </c>
      <c r="B232" t="s">
        <v>150</v>
      </c>
      <c r="C232" t="s">
        <v>1316</v>
      </c>
      <c r="D232" t="s">
        <v>3155</v>
      </c>
      <c r="E232">
        <v>1935</v>
      </c>
      <c r="F232">
        <v>269</v>
      </c>
      <c r="G232" t="s">
        <v>1754</v>
      </c>
    </row>
    <row r="233" spans="1:7">
      <c r="A233" t="s">
        <v>1755</v>
      </c>
      <c r="B233" t="s">
        <v>150</v>
      </c>
      <c r="C233" t="s">
        <v>1316</v>
      </c>
      <c r="D233" t="s">
        <v>3156</v>
      </c>
      <c r="E233">
        <v>1945</v>
      </c>
      <c r="F233">
        <v>273</v>
      </c>
      <c r="G233" t="s">
        <v>1756</v>
      </c>
    </row>
    <row r="234" spans="1:7">
      <c r="A234" t="s">
        <v>1757</v>
      </c>
      <c r="B234" t="s">
        <v>150</v>
      </c>
      <c r="C234" t="s">
        <v>1316</v>
      </c>
      <c r="D234" t="s">
        <v>3157</v>
      </c>
      <c r="E234">
        <v>1923</v>
      </c>
      <c r="F234">
        <v>268</v>
      </c>
      <c r="G234" t="s">
        <v>1758</v>
      </c>
    </row>
    <row r="235" spans="1:7">
      <c r="A235" t="s">
        <v>1759</v>
      </c>
      <c r="B235" t="s">
        <v>150</v>
      </c>
      <c r="C235" t="s">
        <v>1316</v>
      </c>
      <c r="D235" t="s">
        <v>3158</v>
      </c>
      <c r="E235">
        <v>1946</v>
      </c>
      <c r="F235">
        <v>271</v>
      </c>
      <c r="G235" t="s">
        <v>1760</v>
      </c>
    </row>
    <row r="236" spans="1:7">
      <c r="A236" t="s">
        <v>1761</v>
      </c>
      <c r="B236" t="s">
        <v>150</v>
      </c>
      <c r="C236" t="s">
        <v>1316</v>
      </c>
      <c r="D236" t="s">
        <v>3159</v>
      </c>
      <c r="E236">
        <v>1920</v>
      </c>
      <c r="F236">
        <v>268</v>
      </c>
      <c r="G236" t="s">
        <v>1762</v>
      </c>
    </row>
    <row r="237" spans="1:7">
      <c r="A237" t="s">
        <v>1763</v>
      </c>
      <c r="B237" t="s">
        <v>150</v>
      </c>
      <c r="C237" t="s">
        <v>1316</v>
      </c>
      <c r="D237" t="s">
        <v>3160</v>
      </c>
      <c r="E237">
        <v>1935</v>
      </c>
      <c r="F237">
        <v>267</v>
      </c>
      <c r="G237" t="s">
        <v>1764</v>
      </c>
    </row>
    <row r="238" spans="1:7">
      <c r="A238" t="s">
        <v>1765</v>
      </c>
      <c r="B238" t="s">
        <v>150</v>
      </c>
      <c r="C238" t="s">
        <v>1316</v>
      </c>
      <c r="D238" t="s">
        <v>3161</v>
      </c>
      <c r="E238">
        <v>1937</v>
      </c>
      <c r="F238">
        <v>270</v>
      </c>
      <c r="G238" t="s">
        <v>1766</v>
      </c>
    </row>
    <row r="239" spans="1:7">
      <c r="A239" t="s">
        <v>1767</v>
      </c>
      <c r="B239" t="s">
        <v>150</v>
      </c>
      <c r="C239" t="s">
        <v>1316</v>
      </c>
      <c r="D239" t="s">
        <v>3162</v>
      </c>
      <c r="E239">
        <v>1875</v>
      </c>
      <c r="F239">
        <v>259</v>
      </c>
      <c r="G239" t="s">
        <v>1768</v>
      </c>
    </row>
    <row r="240" spans="1:7">
      <c r="A240" t="s">
        <v>1769</v>
      </c>
      <c r="B240" t="s">
        <v>150</v>
      </c>
      <c r="C240" t="s">
        <v>1316</v>
      </c>
      <c r="D240" t="s">
        <v>3163</v>
      </c>
      <c r="E240">
        <v>1942</v>
      </c>
      <c r="F240">
        <v>269</v>
      </c>
      <c r="G240" t="s">
        <v>1770</v>
      </c>
    </row>
    <row r="241" spans="1:7">
      <c r="A241" t="s">
        <v>1771</v>
      </c>
      <c r="B241" t="s">
        <v>150</v>
      </c>
      <c r="C241" t="s">
        <v>1316</v>
      </c>
      <c r="D241" t="s">
        <v>3164</v>
      </c>
      <c r="E241">
        <v>1935</v>
      </c>
      <c r="F241">
        <v>268</v>
      </c>
      <c r="G241" t="s">
        <v>1772</v>
      </c>
    </row>
    <row r="242" spans="1:7">
      <c r="A242" t="s">
        <v>1773</v>
      </c>
      <c r="B242" t="s">
        <v>150</v>
      </c>
      <c r="C242" t="s">
        <v>1316</v>
      </c>
      <c r="D242" t="s">
        <v>3165</v>
      </c>
      <c r="E242">
        <v>1945</v>
      </c>
      <c r="F242">
        <v>272</v>
      </c>
      <c r="G242" t="s">
        <v>1774</v>
      </c>
    </row>
    <row r="243" spans="1:7">
      <c r="A243" t="s">
        <v>1775</v>
      </c>
      <c r="B243" t="s">
        <v>150</v>
      </c>
      <c r="C243" t="s">
        <v>1316</v>
      </c>
      <c r="D243" t="s">
        <v>3166</v>
      </c>
      <c r="E243">
        <v>1923</v>
      </c>
      <c r="F243">
        <v>267</v>
      </c>
      <c r="G243" t="s">
        <v>1776</v>
      </c>
    </row>
    <row r="244" spans="1:7">
      <c r="A244" t="s">
        <v>1777</v>
      </c>
      <c r="B244" t="s">
        <v>150</v>
      </c>
      <c r="C244" t="s">
        <v>1316</v>
      </c>
      <c r="D244" t="s">
        <v>3167</v>
      </c>
      <c r="E244">
        <v>1946</v>
      </c>
      <c r="F244">
        <v>270</v>
      </c>
      <c r="G244" t="s">
        <v>1778</v>
      </c>
    </row>
    <row r="245" spans="1:7">
      <c r="A245" t="s">
        <v>1779</v>
      </c>
      <c r="B245" t="s">
        <v>150</v>
      </c>
      <c r="C245" t="s">
        <v>1316</v>
      </c>
      <c r="D245" t="s">
        <v>3168</v>
      </c>
      <c r="E245">
        <v>1881</v>
      </c>
      <c r="F245">
        <v>261</v>
      </c>
      <c r="G245" t="s">
        <v>1780</v>
      </c>
    </row>
    <row r="246" spans="1:7">
      <c r="A246" t="s">
        <v>1781</v>
      </c>
      <c r="B246" t="s">
        <v>150</v>
      </c>
      <c r="C246" t="s">
        <v>1316</v>
      </c>
      <c r="D246" t="s">
        <v>3169</v>
      </c>
      <c r="E246">
        <v>1891</v>
      </c>
      <c r="F246">
        <v>259</v>
      </c>
      <c r="G246" t="s">
        <v>1782</v>
      </c>
    </row>
    <row r="247" spans="1:7">
      <c r="A247" t="s">
        <v>1783</v>
      </c>
      <c r="B247" t="s">
        <v>150</v>
      </c>
      <c r="C247" t="s">
        <v>1316</v>
      </c>
      <c r="D247" t="s">
        <v>3170</v>
      </c>
      <c r="E247">
        <v>1902</v>
      </c>
      <c r="F247">
        <v>262</v>
      </c>
      <c r="G247" t="s">
        <v>1784</v>
      </c>
    </row>
    <row r="248" spans="1:7">
      <c r="A248" t="s">
        <v>1785</v>
      </c>
      <c r="B248" t="s">
        <v>150</v>
      </c>
      <c r="C248" t="s">
        <v>1316</v>
      </c>
      <c r="D248" t="s">
        <v>3171</v>
      </c>
      <c r="E248">
        <v>1871</v>
      </c>
      <c r="F248">
        <v>257</v>
      </c>
      <c r="G248" t="s">
        <v>1786</v>
      </c>
    </row>
    <row r="249" spans="1:7">
      <c r="A249" t="s">
        <v>1787</v>
      </c>
      <c r="B249" t="s">
        <v>150</v>
      </c>
      <c r="C249" t="s">
        <v>1316</v>
      </c>
      <c r="D249" t="s">
        <v>3172</v>
      </c>
      <c r="E249">
        <v>1907</v>
      </c>
      <c r="F249">
        <v>262</v>
      </c>
      <c r="G249" t="s">
        <v>1788</v>
      </c>
    </row>
    <row r="250" spans="1:7">
      <c r="A250" t="s">
        <v>1789</v>
      </c>
      <c r="B250" t="s">
        <v>150</v>
      </c>
      <c r="C250" t="s">
        <v>1316</v>
      </c>
      <c r="D250" t="s">
        <v>3173</v>
      </c>
      <c r="E250">
        <v>1899</v>
      </c>
      <c r="F250">
        <v>261</v>
      </c>
      <c r="G250" t="s">
        <v>1790</v>
      </c>
    </row>
    <row r="251" spans="1:7">
      <c r="A251" t="s">
        <v>1791</v>
      </c>
      <c r="B251" t="s">
        <v>150</v>
      </c>
      <c r="C251" t="s">
        <v>1316</v>
      </c>
      <c r="D251" t="s">
        <v>3174</v>
      </c>
      <c r="E251">
        <v>1909</v>
      </c>
      <c r="F251">
        <v>264</v>
      </c>
      <c r="G251" t="s">
        <v>1792</v>
      </c>
    </row>
    <row r="252" spans="1:7">
      <c r="A252" t="s">
        <v>1793</v>
      </c>
      <c r="B252" t="s">
        <v>150</v>
      </c>
      <c r="C252" t="s">
        <v>1316</v>
      </c>
      <c r="D252" t="s">
        <v>3175</v>
      </c>
      <c r="E252">
        <v>1894</v>
      </c>
      <c r="F252">
        <v>261</v>
      </c>
      <c r="G252" t="s">
        <v>1794</v>
      </c>
    </row>
    <row r="253" spans="1:7">
      <c r="A253" t="s">
        <v>1795</v>
      </c>
      <c r="B253" t="s">
        <v>150</v>
      </c>
      <c r="C253" t="s">
        <v>1316</v>
      </c>
      <c r="D253" t="s">
        <v>3176</v>
      </c>
      <c r="E253">
        <v>1914</v>
      </c>
      <c r="F253">
        <v>264</v>
      </c>
      <c r="G253" t="s">
        <v>1796</v>
      </c>
    </row>
    <row r="254" spans="1:7">
      <c r="A254" t="s">
        <v>1797</v>
      </c>
      <c r="B254" t="s">
        <v>150</v>
      </c>
      <c r="C254" t="s">
        <v>1316</v>
      </c>
      <c r="D254" t="s">
        <v>3177</v>
      </c>
      <c r="E254">
        <v>1908</v>
      </c>
      <c r="F254">
        <v>263</v>
      </c>
      <c r="G254" t="s">
        <v>1798</v>
      </c>
    </row>
    <row r="255" spans="1:7">
      <c r="A255" t="s">
        <v>1799</v>
      </c>
      <c r="B255" t="s">
        <v>150</v>
      </c>
      <c r="C255" t="s">
        <v>1316</v>
      </c>
      <c r="D255" t="s">
        <v>3178</v>
      </c>
      <c r="E255">
        <v>1918</v>
      </c>
      <c r="F255">
        <v>261</v>
      </c>
      <c r="G255" t="s">
        <v>1800</v>
      </c>
    </row>
    <row r="256" spans="1:7">
      <c r="A256" t="s">
        <v>1801</v>
      </c>
      <c r="B256" t="s">
        <v>150</v>
      </c>
      <c r="C256" t="s">
        <v>1316</v>
      </c>
      <c r="D256" t="s">
        <v>3179</v>
      </c>
      <c r="E256">
        <v>1929</v>
      </c>
      <c r="F256">
        <v>264</v>
      </c>
      <c r="G256" t="s">
        <v>1802</v>
      </c>
    </row>
    <row r="257" spans="1:7">
      <c r="A257" t="s">
        <v>1803</v>
      </c>
      <c r="B257" t="s">
        <v>150</v>
      </c>
      <c r="C257" t="s">
        <v>1316</v>
      </c>
      <c r="D257" t="s">
        <v>3180</v>
      </c>
      <c r="E257">
        <v>1898</v>
      </c>
      <c r="F257">
        <v>259</v>
      </c>
      <c r="G257" t="s">
        <v>1804</v>
      </c>
    </row>
    <row r="258" spans="1:7">
      <c r="A258" t="s">
        <v>1805</v>
      </c>
      <c r="B258" t="s">
        <v>150</v>
      </c>
      <c r="C258" t="s">
        <v>1316</v>
      </c>
      <c r="D258" t="s">
        <v>3181</v>
      </c>
      <c r="E258">
        <v>1934</v>
      </c>
      <c r="F258">
        <v>264</v>
      </c>
      <c r="G258" t="s">
        <v>1806</v>
      </c>
    </row>
    <row r="259" spans="1:7">
      <c r="A259" t="s">
        <v>1807</v>
      </c>
      <c r="B259" t="s">
        <v>150</v>
      </c>
      <c r="C259" t="s">
        <v>1316</v>
      </c>
      <c r="D259" t="s">
        <v>3182</v>
      </c>
      <c r="E259">
        <v>1926</v>
      </c>
      <c r="F259">
        <v>263</v>
      </c>
      <c r="G259" t="s">
        <v>1808</v>
      </c>
    </row>
    <row r="260" spans="1:7">
      <c r="A260" t="s">
        <v>1809</v>
      </c>
      <c r="B260" t="s">
        <v>150</v>
      </c>
      <c r="C260" t="s">
        <v>1316</v>
      </c>
      <c r="D260" t="s">
        <v>3183</v>
      </c>
      <c r="E260">
        <v>1936</v>
      </c>
      <c r="F260">
        <v>266</v>
      </c>
      <c r="G260" t="s">
        <v>1810</v>
      </c>
    </row>
    <row r="261" spans="1:7">
      <c r="A261" t="s">
        <v>1811</v>
      </c>
      <c r="B261" t="s">
        <v>150</v>
      </c>
      <c r="C261" t="s">
        <v>1316</v>
      </c>
      <c r="D261" t="s">
        <v>3184</v>
      </c>
      <c r="E261">
        <v>1921</v>
      </c>
      <c r="F261">
        <v>263</v>
      </c>
      <c r="G261" t="s">
        <v>1812</v>
      </c>
    </row>
    <row r="262" spans="1:7">
      <c r="A262" t="s">
        <v>1813</v>
      </c>
      <c r="B262" t="s">
        <v>150</v>
      </c>
      <c r="C262" t="s">
        <v>1316</v>
      </c>
      <c r="D262" t="s">
        <v>3185</v>
      </c>
      <c r="E262">
        <v>1941</v>
      </c>
      <c r="F262">
        <v>266</v>
      </c>
      <c r="G262" t="s">
        <v>1814</v>
      </c>
    </row>
    <row r="263" spans="1:7">
      <c r="A263" t="s">
        <v>1815</v>
      </c>
      <c r="B263" t="s">
        <v>150</v>
      </c>
      <c r="C263" t="s">
        <v>1316</v>
      </c>
      <c r="D263" t="s">
        <v>3186</v>
      </c>
      <c r="E263">
        <v>1896</v>
      </c>
      <c r="F263">
        <v>260</v>
      </c>
      <c r="G263" t="s">
        <v>1816</v>
      </c>
    </row>
    <row r="264" spans="1:7">
      <c r="A264" t="s">
        <v>1817</v>
      </c>
      <c r="B264" t="s">
        <v>150</v>
      </c>
      <c r="C264" t="s">
        <v>1316</v>
      </c>
      <c r="D264" t="s">
        <v>3187</v>
      </c>
      <c r="E264">
        <v>1906</v>
      </c>
      <c r="F264">
        <v>258</v>
      </c>
      <c r="G264" t="s">
        <v>1818</v>
      </c>
    </row>
    <row r="265" spans="1:7">
      <c r="A265" t="s">
        <v>1819</v>
      </c>
      <c r="B265" t="s">
        <v>150</v>
      </c>
      <c r="C265" t="s">
        <v>1316</v>
      </c>
      <c r="D265" t="s">
        <v>3188</v>
      </c>
      <c r="E265">
        <v>1917</v>
      </c>
      <c r="F265">
        <v>261</v>
      </c>
      <c r="G265" t="s">
        <v>1820</v>
      </c>
    </row>
    <row r="266" spans="1:7">
      <c r="A266" t="s">
        <v>1821</v>
      </c>
      <c r="B266" t="s">
        <v>150</v>
      </c>
      <c r="C266" t="s">
        <v>1316</v>
      </c>
      <c r="D266" t="s">
        <v>3189</v>
      </c>
      <c r="E266">
        <v>1886</v>
      </c>
      <c r="F266">
        <v>256</v>
      </c>
      <c r="G266" t="s">
        <v>1822</v>
      </c>
    </row>
    <row r="267" spans="1:7">
      <c r="A267" t="s">
        <v>1823</v>
      </c>
      <c r="B267" t="s">
        <v>150</v>
      </c>
      <c r="C267" t="s">
        <v>1316</v>
      </c>
      <c r="D267" t="s">
        <v>3190</v>
      </c>
      <c r="E267">
        <v>1922</v>
      </c>
      <c r="F267">
        <v>261</v>
      </c>
      <c r="G267" t="s">
        <v>1824</v>
      </c>
    </row>
    <row r="268" spans="1:7">
      <c r="A268" t="s">
        <v>1825</v>
      </c>
      <c r="B268" t="s">
        <v>150</v>
      </c>
      <c r="C268" t="s">
        <v>1316</v>
      </c>
      <c r="D268" t="s">
        <v>3191</v>
      </c>
      <c r="E268">
        <v>1914</v>
      </c>
      <c r="F268">
        <v>260</v>
      </c>
      <c r="G268" t="s">
        <v>1826</v>
      </c>
    </row>
    <row r="269" spans="1:7">
      <c r="A269" t="s">
        <v>1827</v>
      </c>
      <c r="B269" t="s">
        <v>150</v>
      </c>
      <c r="C269" t="s">
        <v>1316</v>
      </c>
      <c r="D269" t="s">
        <v>3192</v>
      </c>
      <c r="E269">
        <v>1924</v>
      </c>
      <c r="F269">
        <v>263</v>
      </c>
      <c r="G269" t="s">
        <v>1828</v>
      </c>
    </row>
    <row r="270" spans="1:7">
      <c r="A270" t="s">
        <v>1829</v>
      </c>
      <c r="B270" t="s">
        <v>150</v>
      </c>
      <c r="C270" t="s">
        <v>1316</v>
      </c>
      <c r="D270" t="s">
        <v>3193</v>
      </c>
      <c r="E270">
        <v>1909</v>
      </c>
      <c r="F270">
        <v>260</v>
      </c>
      <c r="G270" t="s">
        <v>1830</v>
      </c>
    </row>
    <row r="271" spans="1:7">
      <c r="A271" t="s">
        <v>1831</v>
      </c>
      <c r="B271" t="s">
        <v>150</v>
      </c>
      <c r="C271" t="s">
        <v>1316</v>
      </c>
      <c r="D271" t="s">
        <v>3194</v>
      </c>
      <c r="E271">
        <v>1929</v>
      </c>
      <c r="F271">
        <v>263</v>
      </c>
      <c r="G271" t="s">
        <v>1832</v>
      </c>
    </row>
    <row r="272" spans="1:7">
      <c r="A272" t="s">
        <v>1833</v>
      </c>
      <c r="B272" t="s">
        <v>150</v>
      </c>
      <c r="C272" t="s">
        <v>1316</v>
      </c>
      <c r="D272" t="s">
        <v>3195</v>
      </c>
      <c r="E272">
        <v>1893</v>
      </c>
      <c r="F272">
        <v>263</v>
      </c>
      <c r="G272" t="s">
        <v>1834</v>
      </c>
    </row>
    <row r="273" spans="1:7">
      <c r="A273" t="s">
        <v>1835</v>
      </c>
      <c r="B273" t="s">
        <v>150</v>
      </c>
      <c r="C273" t="s">
        <v>1316</v>
      </c>
      <c r="D273" t="s">
        <v>3196</v>
      </c>
      <c r="E273">
        <v>1903</v>
      </c>
      <c r="F273">
        <v>261</v>
      </c>
      <c r="G273" t="s">
        <v>1836</v>
      </c>
    </row>
    <row r="274" spans="1:7">
      <c r="A274" t="s">
        <v>1837</v>
      </c>
      <c r="B274" t="s">
        <v>150</v>
      </c>
      <c r="C274" t="s">
        <v>1316</v>
      </c>
      <c r="D274" t="s">
        <v>3197</v>
      </c>
      <c r="E274">
        <v>1914</v>
      </c>
      <c r="F274">
        <v>264</v>
      </c>
      <c r="G274" t="s">
        <v>1838</v>
      </c>
    </row>
    <row r="275" spans="1:7">
      <c r="A275" t="s">
        <v>1839</v>
      </c>
      <c r="B275" t="s">
        <v>150</v>
      </c>
      <c r="C275" t="s">
        <v>1316</v>
      </c>
      <c r="D275" t="s">
        <v>3198</v>
      </c>
      <c r="E275">
        <v>1883</v>
      </c>
      <c r="F275">
        <v>259</v>
      </c>
      <c r="G275" t="s">
        <v>1840</v>
      </c>
    </row>
    <row r="276" spans="1:7">
      <c r="A276" t="s">
        <v>1841</v>
      </c>
      <c r="B276" t="s">
        <v>150</v>
      </c>
      <c r="C276" t="s">
        <v>1316</v>
      </c>
      <c r="D276" t="s">
        <v>3199</v>
      </c>
      <c r="E276">
        <v>1919</v>
      </c>
      <c r="F276">
        <v>264</v>
      </c>
      <c r="G276" t="s">
        <v>1842</v>
      </c>
    </row>
    <row r="277" spans="1:7">
      <c r="A277" t="s">
        <v>1843</v>
      </c>
      <c r="B277" t="s">
        <v>150</v>
      </c>
      <c r="C277" t="s">
        <v>1316</v>
      </c>
      <c r="D277" t="s">
        <v>3200</v>
      </c>
      <c r="E277">
        <v>1911</v>
      </c>
      <c r="F277">
        <v>263</v>
      </c>
      <c r="G277" t="s">
        <v>1844</v>
      </c>
    </row>
    <row r="278" spans="1:7">
      <c r="A278" t="s">
        <v>1845</v>
      </c>
      <c r="B278" t="s">
        <v>150</v>
      </c>
      <c r="C278" t="s">
        <v>1316</v>
      </c>
      <c r="D278" t="s">
        <v>3201</v>
      </c>
      <c r="E278">
        <v>1921</v>
      </c>
      <c r="F278">
        <v>266</v>
      </c>
      <c r="G278" t="s">
        <v>1846</v>
      </c>
    </row>
    <row r="279" spans="1:7">
      <c r="A279" t="s">
        <v>1847</v>
      </c>
      <c r="B279" t="s">
        <v>150</v>
      </c>
      <c r="C279" t="s">
        <v>1316</v>
      </c>
      <c r="D279" t="s">
        <v>3202</v>
      </c>
      <c r="E279">
        <v>1906</v>
      </c>
      <c r="F279">
        <v>263</v>
      </c>
      <c r="G279" t="s">
        <v>1848</v>
      </c>
    </row>
    <row r="280" spans="1:7">
      <c r="A280" t="s">
        <v>1849</v>
      </c>
      <c r="B280" t="s">
        <v>150</v>
      </c>
      <c r="C280" t="s">
        <v>1316</v>
      </c>
      <c r="D280" t="s">
        <v>3203</v>
      </c>
      <c r="E280">
        <v>1926</v>
      </c>
      <c r="F280">
        <v>266</v>
      </c>
      <c r="G280" t="s">
        <v>1850</v>
      </c>
    </row>
    <row r="281" spans="1:7">
      <c r="A281" t="s">
        <v>1851</v>
      </c>
      <c r="B281" t="s">
        <v>150</v>
      </c>
      <c r="C281" t="s">
        <v>1316</v>
      </c>
      <c r="D281" t="s">
        <v>3204</v>
      </c>
      <c r="E281">
        <v>1879</v>
      </c>
      <c r="F281">
        <v>261</v>
      </c>
      <c r="G281" t="s">
        <v>1852</v>
      </c>
    </row>
    <row r="282" spans="1:7">
      <c r="A282" t="s">
        <v>1853</v>
      </c>
      <c r="B282" t="s">
        <v>150</v>
      </c>
      <c r="C282" t="s">
        <v>1316</v>
      </c>
      <c r="D282" t="s">
        <v>3205</v>
      </c>
      <c r="E282">
        <v>1891</v>
      </c>
      <c r="F282">
        <v>260</v>
      </c>
      <c r="G282" t="s">
        <v>1854</v>
      </c>
    </row>
    <row r="283" spans="1:7">
      <c r="A283" t="s">
        <v>1855</v>
      </c>
      <c r="B283" t="s">
        <v>150</v>
      </c>
      <c r="C283" t="s">
        <v>1316</v>
      </c>
      <c r="D283" t="s">
        <v>3206</v>
      </c>
      <c r="E283">
        <v>1891</v>
      </c>
      <c r="F283">
        <v>262</v>
      </c>
      <c r="G283" t="s">
        <v>1856</v>
      </c>
    </row>
    <row r="284" spans="1:7">
      <c r="A284" t="s">
        <v>1857</v>
      </c>
      <c r="B284" t="s">
        <v>150</v>
      </c>
      <c r="C284" t="s">
        <v>1316</v>
      </c>
      <c r="D284" t="s">
        <v>3207</v>
      </c>
      <c r="E284">
        <v>1857</v>
      </c>
      <c r="F284">
        <v>255</v>
      </c>
      <c r="G284" t="s">
        <v>1858</v>
      </c>
    </row>
    <row r="285" spans="1:7">
      <c r="A285" t="s">
        <v>1859</v>
      </c>
      <c r="B285" t="s">
        <v>150</v>
      </c>
      <c r="C285" t="s">
        <v>1316</v>
      </c>
      <c r="D285" t="s">
        <v>3208</v>
      </c>
      <c r="E285">
        <v>1894</v>
      </c>
      <c r="F285">
        <v>261</v>
      </c>
      <c r="G285" t="s">
        <v>1860</v>
      </c>
    </row>
    <row r="286" spans="1:7">
      <c r="A286" t="s">
        <v>1861</v>
      </c>
      <c r="B286" t="s">
        <v>150</v>
      </c>
      <c r="C286" t="s">
        <v>1316</v>
      </c>
      <c r="D286" t="s">
        <v>3209</v>
      </c>
      <c r="E286">
        <v>1882</v>
      </c>
      <c r="F286">
        <v>260</v>
      </c>
      <c r="G286" t="s">
        <v>1862</v>
      </c>
    </row>
    <row r="287" spans="1:7">
      <c r="A287" t="s">
        <v>1863</v>
      </c>
      <c r="B287" t="s">
        <v>150</v>
      </c>
      <c r="C287" t="s">
        <v>1316</v>
      </c>
      <c r="D287" t="s">
        <v>3210</v>
      </c>
      <c r="E287">
        <v>1896</v>
      </c>
      <c r="F287">
        <v>263</v>
      </c>
      <c r="G287" t="s">
        <v>1864</v>
      </c>
    </row>
    <row r="288" spans="1:7">
      <c r="A288" t="s">
        <v>1865</v>
      </c>
      <c r="B288" t="s">
        <v>150</v>
      </c>
      <c r="C288" t="s">
        <v>1316</v>
      </c>
      <c r="D288" t="s">
        <v>3211</v>
      </c>
      <c r="E288">
        <v>1883</v>
      </c>
      <c r="F288">
        <v>260</v>
      </c>
      <c r="G288" t="s">
        <v>1866</v>
      </c>
    </row>
    <row r="289" spans="1:7">
      <c r="A289" t="s">
        <v>1867</v>
      </c>
      <c r="B289" t="s">
        <v>150</v>
      </c>
      <c r="C289" t="s">
        <v>1316</v>
      </c>
      <c r="D289" t="s">
        <v>3212</v>
      </c>
      <c r="E289">
        <v>1897</v>
      </c>
      <c r="F289">
        <v>262</v>
      </c>
      <c r="G289" t="s">
        <v>1868</v>
      </c>
    </row>
    <row r="290" spans="1:7">
      <c r="A290" t="s">
        <v>1869</v>
      </c>
      <c r="B290" t="s">
        <v>150</v>
      </c>
      <c r="C290" t="s">
        <v>1316</v>
      </c>
      <c r="D290" t="s">
        <v>3213</v>
      </c>
      <c r="E290">
        <v>1897</v>
      </c>
      <c r="F290">
        <v>262</v>
      </c>
      <c r="G290" t="s">
        <v>1870</v>
      </c>
    </row>
    <row r="291" spans="1:7">
      <c r="A291" t="s">
        <v>1871</v>
      </c>
      <c r="B291" t="s">
        <v>150</v>
      </c>
      <c r="C291" t="s">
        <v>1316</v>
      </c>
      <c r="D291" t="s">
        <v>3214</v>
      </c>
      <c r="E291">
        <v>1909</v>
      </c>
      <c r="F291">
        <v>261</v>
      </c>
      <c r="G291" t="s">
        <v>1872</v>
      </c>
    </row>
    <row r="292" spans="1:7">
      <c r="A292" t="s">
        <v>1873</v>
      </c>
      <c r="B292" t="s">
        <v>150</v>
      </c>
      <c r="C292" t="s">
        <v>1316</v>
      </c>
      <c r="D292" t="s">
        <v>3215</v>
      </c>
      <c r="E292">
        <v>1909</v>
      </c>
      <c r="F292">
        <v>263</v>
      </c>
      <c r="G292" t="s">
        <v>1874</v>
      </c>
    </row>
    <row r="293" spans="1:7">
      <c r="A293" t="s">
        <v>1875</v>
      </c>
      <c r="B293" t="s">
        <v>150</v>
      </c>
      <c r="C293" t="s">
        <v>1316</v>
      </c>
      <c r="D293" t="s">
        <v>3216</v>
      </c>
      <c r="E293">
        <v>1875</v>
      </c>
      <c r="F293">
        <v>256</v>
      </c>
      <c r="G293" t="s">
        <v>1876</v>
      </c>
    </row>
    <row r="294" spans="1:7">
      <c r="A294" t="s">
        <v>1877</v>
      </c>
      <c r="B294" t="s">
        <v>150</v>
      </c>
      <c r="C294" t="s">
        <v>1316</v>
      </c>
      <c r="D294" t="s">
        <v>3217</v>
      </c>
      <c r="E294">
        <v>1912</v>
      </c>
      <c r="F294">
        <v>262</v>
      </c>
      <c r="G294" t="s">
        <v>1878</v>
      </c>
    </row>
    <row r="295" spans="1:7">
      <c r="A295" t="s">
        <v>1879</v>
      </c>
      <c r="B295" t="s">
        <v>150</v>
      </c>
      <c r="C295" t="s">
        <v>1316</v>
      </c>
      <c r="D295" t="s">
        <v>3218</v>
      </c>
      <c r="E295">
        <v>1900</v>
      </c>
      <c r="F295">
        <v>261</v>
      </c>
      <c r="G295" t="s">
        <v>1880</v>
      </c>
    </row>
    <row r="296" spans="1:7">
      <c r="A296" t="s">
        <v>1881</v>
      </c>
      <c r="B296" t="s">
        <v>150</v>
      </c>
      <c r="C296" t="s">
        <v>1316</v>
      </c>
      <c r="D296" t="s">
        <v>3219</v>
      </c>
      <c r="E296">
        <v>1914</v>
      </c>
      <c r="F296">
        <v>264</v>
      </c>
      <c r="G296" t="s">
        <v>1882</v>
      </c>
    </row>
    <row r="297" spans="1:7">
      <c r="A297" t="s">
        <v>1883</v>
      </c>
      <c r="B297" t="s">
        <v>150</v>
      </c>
      <c r="C297" t="s">
        <v>1316</v>
      </c>
      <c r="D297" t="s">
        <v>3220</v>
      </c>
      <c r="E297">
        <v>1901</v>
      </c>
      <c r="F297">
        <v>261</v>
      </c>
      <c r="G297" t="s">
        <v>1884</v>
      </c>
    </row>
    <row r="298" spans="1:7">
      <c r="A298" t="s">
        <v>1885</v>
      </c>
      <c r="B298" t="s">
        <v>150</v>
      </c>
      <c r="C298" t="s">
        <v>1316</v>
      </c>
      <c r="D298" t="s">
        <v>3221</v>
      </c>
      <c r="E298">
        <v>1915</v>
      </c>
      <c r="F298">
        <v>263</v>
      </c>
      <c r="G298" t="s">
        <v>1886</v>
      </c>
    </row>
    <row r="299" spans="1:7">
      <c r="A299" t="s">
        <v>1887</v>
      </c>
      <c r="B299" t="s">
        <v>150</v>
      </c>
      <c r="C299" t="s">
        <v>1316</v>
      </c>
      <c r="D299" t="s">
        <v>3222</v>
      </c>
      <c r="E299">
        <v>1877</v>
      </c>
      <c r="F299">
        <v>259</v>
      </c>
      <c r="G299" t="s">
        <v>1888</v>
      </c>
    </row>
    <row r="300" spans="1:7">
      <c r="A300" t="s">
        <v>1889</v>
      </c>
      <c r="B300" t="s">
        <v>150</v>
      </c>
      <c r="C300" t="s">
        <v>1316</v>
      </c>
      <c r="D300" t="s">
        <v>3223</v>
      </c>
      <c r="E300">
        <v>1889</v>
      </c>
      <c r="F300">
        <v>258</v>
      </c>
      <c r="G300" t="s">
        <v>1890</v>
      </c>
    </row>
    <row r="301" spans="1:7">
      <c r="A301" t="s">
        <v>1891</v>
      </c>
      <c r="B301" t="s">
        <v>150</v>
      </c>
      <c r="C301" t="s">
        <v>1316</v>
      </c>
      <c r="D301" t="s">
        <v>3224</v>
      </c>
      <c r="E301">
        <v>1889</v>
      </c>
      <c r="F301">
        <v>260</v>
      </c>
      <c r="G301" t="s">
        <v>1892</v>
      </c>
    </row>
    <row r="302" spans="1:7">
      <c r="A302" t="s">
        <v>1893</v>
      </c>
      <c r="B302" t="s">
        <v>150</v>
      </c>
      <c r="C302" t="s">
        <v>1316</v>
      </c>
      <c r="D302" t="s">
        <v>3225</v>
      </c>
      <c r="E302">
        <v>1855</v>
      </c>
      <c r="F302">
        <v>253</v>
      </c>
      <c r="G302" t="s">
        <v>1894</v>
      </c>
    </row>
    <row r="303" spans="1:7">
      <c r="A303" t="s">
        <v>1895</v>
      </c>
      <c r="B303" t="s">
        <v>150</v>
      </c>
      <c r="C303" t="s">
        <v>1316</v>
      </c>
      <c r="D303" t="s">
        <v>3226</v>
      </c>
      <c r="E303">
        <v>1892</v>
      </c>
      <c r="F303">
        <v>259</v>
      </c>
      <c r="G303" t="s">
        <v>1896</v>
      </c>
    </row>
    <row r="304" spans="1:7">
      <c r="A304" t="s">
        <v>1897</v>
      </c>
      <c r="B304" t="s">
        <v>150</v>
      </c>
      <c r="C304" t="s">
        <v>1316</v>
      </c>
      <c r="D304" t="s">
        <v>3227</v>
      </c>
      <c r="E304">
        <v>1880</v>
      </c>
      <c r="F304">
        <v>258</v>
      </c>
      <c r="G304" t="s">
        <v>1898</v>
      </c>
    </row>
    <row r="305" spans="1:7">
      <c r="A305" t="s">
        <v>1899</v>
      </c>
      <c r="B305" t="s">
        <v>150</v>
      </c>
      <c r="C305" t="s">
        <v>1316</v>
      </c>
      <c r="D305" t="s">
        <v>3228</v>
      </c>
      <c r="E305">
        <v>1894</v>
      </c>
      <c r="F305">
        <v>261</v>
      </c>
      <c r="G305" t="s">
        <v>1900</v>
      </c>
    </row>
    <row r="306" spans="1:7">
      <c r="A306" t="s">
        <v>1901</v>
      </c>
      <c r="B306" t="s">
        <v>150</v>
      </c>
      <c r="C306" t="s">
        <v>1316</v>
      </c>
      <c r="D306" t="s">
        <v>3229</v>
      </c>
      <c r="E306">
        <v>1881</v>
      </c>
      <c r="F306">
        <v>258</v>
      </c>
      <c r="G306" t="s">
        <v>1902</v>
      </c>
    </row>
    <row r="307" spans="1:7">
      <c r="A307" t="s">
        <v>1903</v>
      </c>
      <c r="B307" t="s">
        <v>150</v>
      </c>
      <c r="C307" t="s">
        <v>1316</v>
      </c>
      <c r="D307" t="s">
        <v>3230</v>
      </c>
      <c r="E307">
        <v>1895</v>
      </c>
      <c r="F307">
        <v>260</v>
      </c>
      <c r="G307" t="s">
        <v>1904</v>
      </c>
    </row>
    <row r="308" spans="1:7">
      <c r="A308" t="s">
        <v>1905</v>
      </c>
      <c r="B308" t="s">
        <v>150</v>
      </c>
      <c r="C308" t="s">
        <v>1316</v>
      </c>
      <c r="D308" t="s">
        <v>3231</v>
      </c>
      <c r="E308">
        <v>1889</v>
      </c>
      <c r="F308">
        <v>263</v>
      </c>
      <c r="G308" t="s">
        <v>1906</v>
      </c>
    </row>
    <row r="309" spans="1:7">
      <c r="A309" t="s">
        <v>1907</v>
      </c>
      <c r="B309" t="s">
        <v>150</v>
      </c>
      <c r="C309" t="s">
        <v>1316</v>
      </c>
      <c r="D309" t="s">
        <v>3232</v>
      </c>
      <c r="E309">
        <v>1901</v>
      </c>
      <c r="F309">
        <v>262</v>
      </c>
      <c r="G309" t="s">
        <v>1908</v>
      </c>
    </row>
    <row r="310" spans="1:7">
      <c r="A310" t="s">
        <v>1909</v>
      </c>
      <c r="B310" t="s">
        <v>150</v>
      </c>
      <c r="C310" t="s">
        <v>1316</v>
      </c>
      <c r="D310" t="s">
        <v>3233</v>
      </c>
      <c r="E310">
        <v>1901</v>
      </c>
      <c r="F310">
        <v>264</v>
      </c>
      <c r="G310" t="s">
        <v>1910</v>
      </c>
    </row>
    <row r="311" spans="1:7">
      <c r="A311" t="s">
        <v>1911</v>
      </c>
      <c r="B311" t="s">
        <v>150</v>
      </c>
      <c r="C311" t="s">
        <v>1316</v>
      </c>
      <c r="D311" t="s">
        <v>3234</v>
      </c>
      <c r="E311">
        <v>1867</v>
      </c>
      <c r="F311">
        <v>257</v>
      </c>
      <c r="G311" t="s">
        <v>1912</v>
      </c>
    </row>
    <row r="312" spans="1:7">
      <c r="A312" t="s">
        <v>1913</v>
      </c>
      <c r="B312" t="s">
        <v>150</v>
      </c>
      <c r="C312" t="s">
        <v>1316</v>
      </c>
      <c r="D312" t="s">
        <v>3235</v>
      </c>
      <c r="E312">
        <v>1904</v>
      </c>
      <c r="F312">
        <v>263</v>
      </c>
      <c r="G312" t="s">
        <v>1914</v>
      </c>
    </row>
    <row r="313" spans="1:7">
      <c r="A313" t="s">
        <v>1915</v>
      </c>
      <c r="B313" t="s">
        <v>150</v>
      </c>
      <c r="C313" t="s">
        <v>1316</v>
      </c>
      <c r="D313" t="s">
        <v>3236</v>
      </c>
      <c r="E313">
        <v>1892</v>
      </c>
      <c r="F313">
        <v>262</v>
      </c>
      <c r="G313" t="s">
        <v>1916</v>
      </c>
    </row>
    <row r="314" spans="1:7">
      <c r="A314" t="s">
        <v>1917</v>
      </c>
      <c r="B314" t="s">
        <v>150</v>
      </c>
      <c r="C314" t="s">
        <v>1316</v>
      </c>
      <c r="D314" t="s">
        <v>3237</v>
      </c>
      <c r="E314">
        <v>1906</v>
      </c>
      <c r="F314">
        <v>265</v>
      </c>
      <c r="G314" t="s">
        <v>1918</v>
      </c>
    </row>
    <row r="315" spans="1:7">
      <c r="A315" t="s">
        <v>1919</v>
      </c>
      <c r="B315" t="s">
        <v>150</v>
      </c>
      <c r="C315" t="s">
        <v>1316</v>
      </c>
      <c r="D315" t="s">
        <v>3238</v>
      </c>
      <c r="E315">
        <v>1893</v>
      </c>
      <c r="F315">
        <v>262</v>
      </c>
      <c r="G315" t="s">
        <v>1920</v>
      </c>
    </row>
    <row r="316" spans="1:7">
      <c r="A316" t="s">
        <v>1921</v>
      </c>
      <c r="B316" t="s">
        <v>150</v>
      </c>
      <c r="C316" t="s">
        <v>1316</v>
      </c>
      <c r="D316" t="s">
        <v>3239</v>
      </c>
      <c r="E316">
        <v>1907</v>
      </c>
      <c r="F316">
        <v>264</v>
      </c>
      <c r="G316" t="s">
        <v>1922</v>
      </c>
    </row>
    <row r="317" spans="1:7">
      <c r="A317" t="s">
        <v>1923</v>
      </c>
      <c r="B317" t="s">
        <v>150</v>
      </c>
      <c r="C317" t="s">
        <v>1316</v>
      </c>
      <c r="D317" t="s">
        <v>3240</v>
      </c>
      <c r="E317">
        <v>1861</v>
      </c>
      <c r="F317">
        <v>259</v>
      </c>
      <c r="G317" t="s">
        <v>1924</v>
      </c>
    </row>
    <row r="318" spans="1:7">
      <c r="A318" t="s">
        <v>1925</v>
      </c>
      <c r="B318" t="s">
        <v>150</v>
      </c>
      <c r="C318" t="s">
        <v>1316</v>
      </c>
      <c r="D318" t="s">
        <v>3241</v>
      </c>
      <c r="E318">
        <v>1861</v>
      </c>
      <c r="F318">
        <v>258</v>
      </c>
      <c r="G318" t="s">
        <v>1926</v>
      </c>
    </row>
    <row r="319" spans="1:7">
      <c r="A319" t="s">
        <v>1927</v>
      </c>
      <c r="B319" t="s">
        <v>150</v>
      </c>
      <c r="C319" t="s">
        <v>1316</v>
      </c>
      <c r="D319" t="s">
        <v>3242</v>
      </c>
      <c r="E319">
        <v>1884</v>
      </c>
      <c r="F319">
        <v>261</v>
      </c>
      <c r="G319" t="s">
        <v>1928</v>
      </c>
    </row>
    <row r="320" spans="1:7">
      <c r="A320" t="s">
        <v>1929</v>
      </c>
      <c r="B320" t="s">
        <v>150</v>
      </c>
      <c r="C320" t="s">
        <v>1316</v>
      </c>
      <c r="D320" t="s">
        <v>3243</v>
      </c>
      <c r="E320">
        <v>1855</v>
      </c>
      <c r="F320">
        <v>257</v>
      </c>
      <c r="G320" t="s">
        <v>1930</v>
      </c>
    </row>
    <row r="321" spans="1:7">
      <c r="A321" t="s">
        <v>1931</v>
      </c>
      <c r="B321" t="s">
        <v>150</v>
      </c>
      <c r="C321" t="s">
        <v>1316</v>
      </c>
      <c r="D321" t="s">
        <v>3244</v>
      </c>
      <c r="E321">
        <v>1891</v>
      </c>
      <c r="F321">
        <v>262</v>
      </c>
      <c r="G321" t="s">
        <v>1932</v>
      </c>
    </row>
    <row r="322" spans="1:7">
      <c r="A322" t="s">
        <v>1933</v>
      </c>
      <c r="B322" t="s">
        <v>150</v>
      </c>
      <c r="C322" t="s">
        <v>1316</v>
      </c>
      <c r="D322" t="s">
        <v>3245</v>
      </c>
      <c r="E322">
        <v>1900</v>
      </c>
      <c r="F322">
        <v>264</v>
      </c>
      <c r="G322" t="s">
        <v>1934</v>
      </c>
    </row>
    <row r="323" spans="1:7">
      <c r="A323" t="s">
        <v>1935</v>
      </c>
      <c r="B323" t="s">
        <v>150</v>
      </c>
      <c r="C323" t="s">
        <v>1316</v>
      </c>
      <c r="D323" t="s">
        <v>3246</v>
      </c>
      <c r="E323">
        <v>1883</v>
      </c>
      <c r="F323">
        <v>262</v>
      </c>
      <c r="G323" t="s">
        <v>1936</v>
      </c>
    </row>
    <row r="324" spans="1:7">
      <c r="A324" t="s">
        <v>1937</v>
      </c>
      <c r="B324" t="s">
        <v>150</v>
      </c>
      <c r="C324" t="s">
        <v>1316</v>
      </c>
      <c r="D324" t="s">
        <v>3247</v>
      </c>
      <c r="E324">
        <v>1887</v>
      </c>
      <c r="F324">
        <v>261</v>
      </c>
      <c r="G324" t="s">
        <v>1938</v>
      </c>
    </row>
    <row r="325" spans="1:7">
      <c r="A325" t="s">
        <v>1939</v>
      </c>
      <c r="B325" t="s">
        <v>150</v>
      </c>
      <c r="C325" t="s">
        <v>1316</v>
      </c>
      <c r="D325" t="s">
        <v>3248</v>
      </c>
      <c r="E325">
        <v>1902</v>
      </c>
      <c r="F325">
        <v>263</v>
      </c>
      <c r="G325" t="s">
        <v>1940</v>
      </c>
    </row>
    <row r="326" spans="1:7">
      <c r="A326" t="s">
        <v>1941</v>
      </c>
      <c r="B326" t="s">
        <v>150</v>
      </c>
      <c r="C326" t="s">
        <v>1316</v>
      </c>
      <c r="D326" t="s">
        <v>3249</v>
      </c>
      <c r="E326">
        <v>1872</v>
      </c>
      <c r="F326">
        <v>260</v>
      </c>
      <c r="G326" t="s">
        <v>1942</v>
      </c>
    </row>
    <row r="327" spans="1:7">
      <c r="A327" t="s">
        <v>1943</v>
      </c>
      <c r="B327" t="s">
        <v>150</v>
      </c>
      <c r="C327" t="s">
        <v>1316</v>
      </c>
      <c r="D327" t="s">
        <v>3250</v>
      </c>
      <c r="E327">
        <v>1885</v>
      </c>
      <c r="F327">
        <v>258</v>
      </c>
      <c r="G327" t="s">
        <v>1944</v>
      </c>
    </row>
    <row r="328" spans="1:7">
      <c r="A328" t="s">
        <v>1945</v>
      </c>
      <c r="B328" t="s">
        <v>150</v>
      </c>
      <c r="C328" t="s">
        <v>1316</v>
      </c>
      <c r="D328" t="s">
        <v>3251</v>
      </c>
      <c r="E328">
        <v>1898</v>
      </c>
      <c r="F328">
        <v>262</v>
      </c>
      <c r="G328" t="s">
        <v>1946</v>
      </c>
    </row>
    <row r="329" spans="1:7">
      <c r="A329" t="s">
        <v>1947</v>
      </c>
      <c r="B329" t="s">
        <v>150</v>
      </c>
      <c r="C329" t="s">
        <v>1316</v>
      </c>
      <c r="D329" t="s">
        <v>3252</v>
      </c>
      <c r="E329">
        <v>1839</v>
      </c>
      <c r="F329">
        <v>253</v>
      </c>
      <c r="G329" t="s">
        <v>1948</v>
      </c>
    </row>
    <row r="330" spans="1:7">
      <c r="A330" t="s">
        <v>1949</v>
      </c>
      <c r="B330" t="s">
        <v>150</v>
      </c>
      <c r="C330" t="s">
        <v>1316</v>
      </c>
      <c r="D330" t="s">
        <v>3253</v>
      </c>
      <c r="E330">
        <v>1905</v>
      </c>
      <c r="F330">
        <v>262</v>
      </c>
      <c r="G330" t="s">
        <v>1950</v>
      </c>
    </row>
    <row r="331" spans="1:7">
      <c r="A331" t="s">
        <v>1951</v>
      </c>
      <c r="B331" t="s">
        <v>150</v>
      </c>
      <c r="C331" t="s">
        <v>1316</v>
      </c>
      <c r="D331" t="s">
        <v>3254</v>
      </c>
      <c r="E331">
        <v>1902</v>
      </c>
      <c r="F331">
        <v>261</v>
      </c>
      <c r="G331" t="s">
        <v>1952</v>
      </c>
    </row>
    <row r="332" spans="1:7">
      <c r="A332" t="s">
        <v>1953</v>
      </c>
      <c r="B332" t="s">
        <v>150</v>
      </c>
      <c r="C332" t="s">
        <v>1316</v>
      </c>
      <c r="D332" t="s">
        <v>3255</v>
      </c>
      <c r="E332">
        <v>1908</v>
      </c>
      <c r="F332">
        <v>265</v>
      </c>
      <c r="G332" t="s">
        <v>1954</v>
      </c>
    </row>
    <row r="333" spans="1:7">
      <c r="A333" t="s">
        <v>1955</v>
      </c>
      <c r="B333" t="s">
        <v>150</v>
      </c>
      <c r="C333" t="s">
        <v>1316</v>
      </c>
      <c r="D333" t="s">
        <v>3256</v>
      </c>
      <c r="E333">
        <v>1884</v>
      </c>
      <c r="F333">
        <v>260</v>
      </c>
      <c r="G333" t="s">
        <v>1956</v>
      </c>
    </row>
    <row r="334" spans="1:7">
      <c r="A334" t="s">
        <v>1957</v>
      </c>
      <c r="B334" t="s">
        <v>150</v>
      </c>
      <c r="C334" t="s">
        <v>1316</v>
      </c>
      <c r="D334" t="s">
        <v>3257</v>
      </c>
      <c r="E334">
        <v>1913</v>
      </c>
      <c r="F334">
        <v>264</v>
      </c>
      <c r="G334" t="s">
        <v>1958</v>
      </c>
    </row>
    <row r="335" spans="1:7">
      <c r="A335" t="s">
        <v>1959</v>
      </c>
      <c r="B335" t="s">
        <v>150</v>
      </c>
      <c r="C335" t="s">
        <v>1316</v>
      </c>
      <c r="D335" t="s">
        <v>3258</v>
      </c>
      <c r="E335">
        <v>1870</v>
      </c>
      <c r="F335">
        <v>261</v>
      </c>
      <c r="G335" t="s">
        <v>1960</v>
      </c>
    </row>
    <row r="336" spans="1:7">
      <c r="A336" t="s">
        <v>1961</v>
      </c>
      <c r="B336" t="s">
        <v>150</v>
      </c>
      <c r="C336" t="s">
        <v>1316</v>
      </c>
      <c r="D336" t="s">
        <v>3259</v>
      </c>
      <c r="E336">
        <v>1880</v>
      </c>
      <c r="F336">
        <v>259</v>
      </c>
      <c r="G336" t="s">
        <v>1962</v>
      </c>
    </row>
    <row r="337" spans="1:7">
      <c r="A337" t="s">
        <v>1963</v>
      </c>
      <c r="B337" t="s">
        <v>150</v>
      </c>
      <c r="C337" t="s">
        <v>1316</v>
      </c>
      <c r="D337" t="s">
        <v>3260</v>
      </c>
      <c r="E337">
        <v>1891</v>
      </c>
      <c r="F337">
        <v>262</v>
      </c>
      <c r="G337" t="s">
        <v>1964</v>
      </c>
    </row>
    <row r="338" spans="1:7">
      <c r="A338" t="s">
        <v>1965</v>
      </c>
      <c r="B338" t="s">
        <v>150</v>
      </c>
      <c r="C338" t="s">
        <v>1316</v>
      </c>
      <c r="D338" t="s">
        <v>3261</v>
      </c>
      <c r="E338">
        <v>1860</v>
      </c>
      <c r="F338">
        <v>257</v>
      </c>
      <c r="G338" t="s">
        <v>1966</v>
      </c>
    </row>
    <row r="339" spans="1:7">
      <c r="A339" t="s">
        <v>1967</v>
      </c>
      <c r="B339" t="s">
        <v>150</v>
      </c>
      <c r="C339" t="s">
        <v>1316</v>
      </c>
      <c r="D339" t="s">
        <v>3262</v>
      </c>
      <c r="E339">
        <v>1896</v>
      </c>
      <c r="F339">
        <v>262</v>
      </c>
      <c r="G339" t="s">
        <v>1968</v>
      </c>
    </row>
    <row r="340" spans="1:7">
      <c r="A340" t="s">
        <v>1969</v>
      </c>
      <c r="B340" t="s">
        <v>150</v>
      </c>
      <c r="C340" t="s">
        <v>1316</v>
      </c>
      <c r="D340" t="s">
        <v>3263</v>
      </c>
      <c r="E340">
        <v>1888</v>
      </c>
      <c r="F340">
        <v>261</v>
      </c>
      <c r="G340" t="s">
        <v>1970</v>
      </c>
    </row>
    <row r="341" spans="1:7">
      <c r="A341" t="s">
        <v>1971</v>
      </c>
      <c r="B341" t="s">
        <v>150</v>
      </c>
      <c r="C341" t="s">
        <v>1316</v>
      </c>
      <c r="D341" t="s">
        <v>3264</v>
      </c>
      <c r="E341">
        <v>1898</v>
      </c>
      <c r="F341">
        <v>264</v>
      </c>
      <c r="G341" t="s">
        <v>1972</v>
      </c>
    </row>
    <row r="342" spans="1:7">
      <c r="A342" t="s">
        <v>1973</v>
      </c>
      <c r="B342" t="s">
        <v>150</v>
      </c>
      <c r="C342" t="s">
        <v>1316</v>
      </c>
      <c r="D342" t="s">
        <v>3265</v>
      </c>
      <c r="E342">
        <v>1883</v>
      </c>
      <c r="F342">
        <v>261</v>
      </c>
      <c r="G342" t="s">
        <v>1974</v>
      </c>
    </row>
    <row r="343" spans="1:7">
      <c r="A343" t="s">
        <v>1975</v>
      </c>
      <c r="B343" t="s">
        <v>150</v>
      </c>
      <c r="C343" t="s">
        <v>1316</v>
      </c>
      <c r="D343" t="s">
        <v>3266</v>
      </c>
      <c r="E343">
        <v>1903</v>
      </c>
      <c r="F343">
        <v>264</v>
      </c>
      <c r="G343" t="s">
        <v>1976</v>
      </c>
    </row>
    <row r="344" spans="1:7">
      <c r="A344" t="s">
        <v>1977</v>
      </c>
      <c r="B344" t="s">
        <v>150</v>
      </c>
      <c r="C344" t="s">
        <v>1316</v>
      </c>
      <c r="D344" t="s">
        <v>3267</v>
      </c>
      <c r="E344">
        <v>1874</v>
      </c>
      <c r="F344">
        <v>259</v>
      </c>
      <c r="G344" t="s">
        <v>1978</v>
      </c>
    </row>
    <row r="345" spans="1:7">
      <c r="A345" t="s">
        <v>1979</v>
      </c>
      <c r="B345" t="s">
        <v>150</v>
      </c>
      <c r="C345" t="s">
        <v>1316</v>
      </c>
      <c r="D345" t="s">
        <v>3268</v>
      </c>
      <c r="E345">
        <v>1877</v>
      </c>
      <c r="F345">
        <v>258</v>
      </c>
      <c r="G345" t="s">
        <v>1980</v>
      </c>
    </row>
    <row r="346" spans="1:7">
      <c r="A346" t="s">
        <v>1981</v>
      </c>
      <c r="B346" t="s">
        <v>150</v>
      </c>
      <c r="C346" t="s">
        <v>1316</v>
      </c>
      <c r="D346" t="s">
        <v>3269</v>
      </c>
      <c r="E346">
        <v>1902</v>
      </c>
      <c r="F346">
        <v>262</v>
      </c>
      <c r="G346" t="s">
        <v>1982</v>
      </c>
    </row>
    <row r="347" spans="1:7">
      <c r="A347" t="s">
        <v>1983</v>
      </c>
      <c r="B347" t="s">
        <v>150</v>
      </c>
      <c r="C347" t="s">
        <v>1316</v>
      </c>
      <c r="D347" t="s">
        <v>3270</v>
      </c>
      <c r="E347">
        <v>1845</v>
      </c>
      <c r="F347">
        <v>254</v>
      </c>
      <c r="G347" t="s">
        <v>1984</v>
      </c>
    </row>
    <row r="348" spans="1:7">
      <c r="A348" t="s">
        <v>1985</v>
      </c>
      <c r="B348" t="s">
        <v>150</v>
      </c>
      <c r="C348" t="s">
        <v>1316</v>
      </c>
      <c r="D348" t="s">
        <v>3271</v>
      </c>
      <c r="E348">
        <v>1911</v>
      </c>
      <c r="F348">
        <v>263</v>
      </c>
      <c r="G348" t="s">
        <v>1986</v>
      </c>
    </row>
    <row r="349" spans="1:7">
      <c r="A349" t="s">
        <v>1987</v>
      </c>
      <c r="B349" t="s">
        <v>150</v>
      </c>
      <c r="C349" t="s">
        <v>1316</v>
      </c>
      <c r="D349" t="s">
        <v>3272</v>
      </c>
      <c r="E349">
        <v>1925</v>
      </c>
      <c r="F349">
        <v>265</v>
      </c>
      <c r="G349" t="s">
        <v>1988</v>
      </c>
    </row>
    <row r="350" spans="1:7">
      <c r="A350" t="s">
        <v>1989</v>
      </c>
      <c r="B350" t="s">
        <v>150</v>
      </c>
      <c r="C350" t="s">
        <v>1316</v>
      </c>
      <c r="D350" t="s">
        <v>3273</v>
      </c>
      <c r="E350">
        <v>1904</v>
      </c>
      <c r="F350">
        <v>264</v>
      </c>
      <c r="G350" t="s">
        <v>1990</v>
      </c>
    </row>
    <row r="351" spans="1:7">
      <c r="A351" t="s">
        <v>1991</v>
      </c>
      <c r="B351" t="s">
        <v>150</v>
      </c>
      <c r="C351" t="s">
        <v>1316</v>
      </c>
      <c r="D351" t="s">
        <v>3274</v>
      </c>
      <c r="E351">
        <v>1899</v>
      </c>
      <c r="F351">
        <v>261</v>
      </c>
      <c r="G351" t="s">
        <v>1992</v>
      </c>
    </row>
    <row r="352" spans="1:7">
      <c r="A352" t="s">
        <v>1993</v>
      </c>
      <c r="B352" t="s">
        <v>150</v>
      </c>
      <c r="C352" t="s">
        <v>1316</v>
      </c>
      <c r="D352" t="s">
        <v>3275</v>
      </c>
      <c r="E352">
        <v>1923</v>
      </c>
      <c r="F352">
        <v>264</v>
      </c>
      <c r="G352" t="s">
        <v>1994</v>
      </c>
    </row>
    <row r="353" spans="1:7">
      <c r="A353" t="s">
        <v>1995</v>
      </c>
      <c r="B353" t="s">
        <v>150</v>
      </c>
      <c r="C353" t="s">
        <v>1316</v>
      </c>
      <c r="D353" t="s">
        <v>3276</v>
      </c>
      <c r="E353">
        <v>1877</v>
      </c>
      <c r="F353">
        <v>259</v>
      </c>
      <c r="G353" t="s">
        <v>1996</v>
      </c>
    </row>
    <row r="354" spans="1:7">
      <c r="A354" t="s">
        <v>1997</v>
      </c>
      <c r="B354" t="s">
        <v>150</v>
      </c>
      <c r="C354" t="s">
        <v>1316</v>
      </c>
      <c r="D354" t="s">
        <v>3277</v>
      </c>
      <c r="E354">
        <v>1887</v>
      </c>
      <c r="F354">
        <v>257</v>
      </c>
      <c r="G354" t="s">
        <v>1998</v>
      </c>
    </row>
    <row r="355" spans="1:7">
      <c r="A355" t="s">
        <v>1999</v>
      </c>
      <c r="B355" t="s">
        <v>150</v>
      </c>
      <c r="C355" t="s">
        <v>1316</v>
      </c>
      <c r="D355" t="s">
        <v>3278</v>
      </c>
      <c r="E355">
        <v>1898</v>
      </c>
      <c r="F355">
        <v>260</v>
      </c>
      <c r="G355" t="s">
        <v>2000</v>
      </c>
    </row>
    <row r="356" spans="1:7">
      <c r="A356" t="s">
        <v>2001</v>
      </c>
      <c r="B356" t="s">
        <v>150</v>
      </c>
      <c r="C356" t="s">
        <v>1316</v>
      </c>
      <c r="D356" t="s">
        <v>3279</v>
      </c>
      <c r="E356">
        <v>1867</v>
      </c>
      <c r="F356">
        <v>255</v>
      </c>
      <c r="G356" t="s">
        <v>2002</v>
      </c>
    </row>
    <row r="357" spans="1:7">
      <c r="A357" t="s">
        <v>2003</v>
      </c>
      <c r="B357" t="s">
        <v>150</v>
      </c>
      <c r="C357" t="s">
        <v>1316</v>
      </c>
      <c r="D357" t="s">
        <v>3280</v>
      </c>
      <c r="E357">
        <v>1903</v>
      </c>
      <c r="F357">
        <v>260</v>
      </c>
      <c r="G357" t="s">
        <v>2004</v>
      </c>
    </row>
    <row r="358" spans="1:7">
      <c r="A358" t="s">
        <v>2005</v>
      </c>
      <c r="B358" t="s">
        <v>150</v>
      </c>
      <c r="C358" t="s">
        <v>1316</v>
      </c>
      <c r="D358" t="s">
        <v>3281</v>
      </c>
      <c r="E358">
        <v>1895</v>
      </c>
      <c r="F358">
        <v>259</v>
      </c>
      <c r="G358" t="s">
        <v>2006</v>
      </c>
    </row>
    <row r="359" spans="1:7">
      <c r="A359" t="s">
        <v>2007</v>
      </c>
      <c r="B359" t="s">
        <v>150</v>
      </c>
      <c r="C359" t="s">
        <v>1316</v>
      </c>
      <c r="D359" t="s">
        <v>3282</v>
      </c>
      <c r="E359">
        <v>1905</v>
      </c>
      <c r="F359">
        <v>262</v>
      </c>
      <c r="G359" t="s">
        <v>2008</v>
      </c>
    </row>
    <row r="360" spans="1:7">
      <c r="A360" t="s">
        <v>2009</v>
      </c>
      <c r="B360" t="s">
        <v>150</v>
      </c>
      <c r="C360" t="s">
        <v>1316</v>
      </c>
      <c r="D360" t="s">
        <v>3283</v>
      </c>
      <c r="E360">
        <v>1890</v>
      </c>
      <c r="F360">
        <v>259</v>
      </c>
      <c r="G360" t="s">
        <v>2010</v>
      </c>
    </row>
    <row r="361" spans="1:7">
      <c r="A361" t="s">
        <v>2011</v>
      </c>
      <c r="B361" t="s">
        <v>150</v>
      </c>
      <c r="C361" t="s">
        <v>1316</v>
      </c>
      <c r="D361" t="s">
        <v>3284</v>
      </c>
      <c r="E361">
        <v>1910</v>
      </c>
      <c r="F361">
        <v>262</v>
      </c>
      <c r="G361" t="s">
        <v>2012</v>
      </c>
    </row>
    <row r="362" spans="1:7">
      <c r="A362" t="s">
        <v>2013</v>
      </c>
      <c r="B362" t="s">
        <v>150</v>
      </c>
      <c r="C362" t="s">
        <v>1341</v>
      </c>
      <c r="D362" t="s">
        <v>3285</v>
      </c>
      <c r="E362">
        <v>4528</v>
      </c>
      <c r="F362">
        <v>641</v>
      </c>
      <c r="G362" t="s">
        <v>2014</v>
      </c>
    </row>
    <row r="363" spans="1:7">
      <c r="A363" t="s">
        <v>2015</v>
      </c>
      <c r="B363" t="s">
        <v>150</v>
      </c>
      <c r="C363" t="s">
        <v>1341</v>
      </c>
      <c r="D363" t="s">
        <v>3286</v>
      </c>
      <c r="E363">
        <v>4597</v>
      </c>
      <c r="F363">
        <v>634</v>
      </c>
      <c r="G363" t="s">
        <v>2016</v>
      </c>
    </row>
    <row r="364" spans="1:7">
      <c r="A364" t="s">
        <v>2017</v>
      </c>
      <c r="B364" t="s">
        <v>150</v>
      </c>
      <c r="C364" t="s">
        <v>1341</v>
      </c>
      <c r="D364" t="s">
        <v>3287</v>
      </c>
      <c r="E364">
        <v>4602</v>
      </c>
      <c r="F364">
        <v>634</v>
      </c>
      <c r="G364" t="s">
        <v>2018</v>
      </c>
    </row>
    <row r="365" spans="1:7">
      <c r="A365" t="s">
        <v>2019</v>
      </c>
      <c r="B365" t="s">
        <v>150</v>
      </c>
      <c r="C365" t="s">
        <v>1341</v>
      </c>
      <c r="D365" t="s">
        <v>3288</v>
      </c>
      <c r="E365">
        <v>4401</v>
      </c>
      <c r="F365">
        <v>613</v>
      </c>
      <c r="G365" t="s">
        <v>2020</v>
      </c>
    </row>
    <row r="366" spans="1:7">
      <c r="A366" t="s">
        <v>2021</v>
      </c>
      <c r="B366" t="s">
        <v>150</v>
      </c>
      <c r="C366" t="s">
        <v>1341</v>
      </c>
      <c r="D366" t="s">
        <v>3289</v>
      </c>
      <c r="E366">
        <v>4599</v>
      </c>
      <c r="F366">
        <v>634</v>
      </c>
      <c r="G366" t="s">
        <v>2022</v>
      </c>
    </row>
    <row r="367" spans="1:7">
      <c r="A367" t="s">
        <v>2023</v>
      </c>
      <c r="B367" t="s">
        <v>150</v>
      </c>
      <c r="C367" t="s">
        <v>1341</v>
      </c>
      <c r="D367" t="s">
        <v>3290</v>
      </c>
      <c r="E367">
        <v>4633</v>
      </c>
      <c r="F367">
        <v>634</v>
      </c>
      <c r="G367" t="s">
        <v>2024</v>
      </c>
    </row>
    <row r="368" spans="1:7">
      <c r="A368" t="s">
        <v>2025</v>
      </c>
      <c r="B368" t="s">
        <v>150</v>
      </c>
      <c r="C368" t="s">
        <v>1341</v>
      </c>
      <c r="D368" t="s">
        <v>3291</v>
      </c>
      <c r="E368">
        <v>4561</v>
      </c>
      <c r="F368">
        <v>641</v>
      </c>
      <c r="G368" t="s">
        <v>2026</v>
      </c>
    </row>
    <row r="369" spans="1:7">
      <c r="A369" t="s">
        <v>2027</v>
      </c>
      <c r="B369" t="s">
        <v>150</v>
      </c>
      <c r="C369" t="s">
        <v>1341</v>
      </c>
      <c r="D369" t="s">
        <v>3292</v>
      </c>
      <c r="E369">
        <v>4508</v>
      </c>
      <c r="F369">
        <v>627</v>
      </c>
      <c r="G369" t="s">
        <v>2028</v>
      </c>
    </row>
    <row r="370" spans="1:7">
      <c r="A370" t="s">
        <v>2029</v>
      </c>
      <c r="B370" t="s">
        <v>150</v>
      </c>
      <c r="C370" t="s">
        <v>1341</v>
      </c>
      <c r="D370" t="s">
        <v>3293</v>
      </c>
      <c r="E370">
        <v>4605</v>
      </c>
      <c r="F370">
        <v>641</v>
      </c>
      <c r="G370" t="s">
        <v>2030</v>
      </c>
    </row>
    <row r="371" spans="1:7">
      <c r="A371" t="s">
        <v>2031</v>
      </c>
      <c r="B371" t="s">
        <v>150</v>
      </c>
      <c r="C371" t="s">
        <v>1341</v>
      </c>
      <c r="D371" t="s">
        <v>3294</v>
      </c>
      <c r="E371">
        <v>4504</v>
      </c>
      <c r="F371">
        <v>635</v>
      </c>
      <c r="G371" t="s">
        <v>2032</v>
      </c>
    </row>
    <row r="372" spans="1:7">
      <c r="A372" t="s">
        <v>2033</v>
      </c>
      <c r="B372" t="s">
        <v>150</v>
      </c>
      <c r="C372" t="s">
        <v>1341</v>
      </c>
      <c r="D372" t="s">
        <v>3295</v>
      </c>
      <c r="E372">
        <v>4587</v>
      </c>
      <c r="F372">
        <v>635</v>
      </c>
      <c r="G372" t="s">
        <v>2034</v>
      </c>
    </row>
    <row r="373" spans="1:7">
      <c r="A373" t="s">
        <v>2035</v>
      </c>
      <c r="B373" t="s">
        <v>150</v>
      </c>
      <c r="C373" t="s">
        <v>1341</v>
      </c>
      <c r="D373" t="s">
        <v>3296</v>
      </c>
      <c r="E373">
        <v>4515</v>
      </c>
      <c r="F373">
        <v>628</v>
      </c>
      <c r="G373" t="s">
        <v>2036</v>
      </c>
    </row>
    <row r="374" spans="1:7">
      <c r="A374" t="s">
        <v>2037</v>
      </c>
      <c r="B374" t="s">
        <v>150</v>
      </c>
      <c r="C374" t="s">
        <v>1341</v>
      </c>
      <c r="D374" t="s">
        <v>3297</v>
      </c>
      <c r="E374">
        <v>4293</v>
      </c>
      <c r="F374">
        <v>593</v>
      </c>
      <c r="G374" t="s">
        <v>2038</v>
      </c>
    </row>
    <row r="375" spans="1:7">
      <c r="A375" t="s">
        <v>2039</v>
      </c>
      <c r="B375" t="s">
        <v>150</v>
      </c>
      <c r="C375" t="s">
        <v>1341</v>
      </c>
      <c r="D375" t="s">
        <v>3298</v>
      </c>
      <c r="E375">
        <v>4498</v>
      </c>
      <c r="F375">
        <v>621</v>
      </c>
      <c r="G375" t="s">
        <v>2040</v>
      </c>
    </row>
    <row r="376" spans="1:7">
      <c r="A376" t="s">
        <v>2041</v>
      </c>
      <c r="B376" t="s">
        <v>150</v>
      </c>
      <c r="C376" t="s">
        <v>1341</v>
      </c>
      <c r="D376" t="s">
        <v>3299</v>
      </c>
      <c r="E376">
        <v>4504</v>
      </c>
      <c r="F376">
        <v>621</v>
      </c>
      <c r="G376" t="s">
        <v>2042</v>
      </c>
    </row>
    <row r="377" spans="1:7">
      <c r="A377" t="s">
        <v>2043</v>
      </c>
      <c r="B377" t="s">
        <v>150</v>
      </c>
      <c r="C377" t="s">
        <v>1341</v>
      </c>
      <c r="D377" t="s">
        <v>3300</v>
      </c>
      <c r="E377">
        <v>4460</v>
      </c>
      <c r="F377">
        <v>628</v>
      </c>
      <c r="G377" t="s">
        <v>2044</v>
      </c>
    </row>
    <row r="378" spans="1:7">
      <c r="A378" t="s">
        <v>2045</v>
      </c>
      <c r="B378" t="s">
        <v>150</v>
      </c>
      <c r="C378" t="s">
        <v>1341</v>
      </c>
      <c r="D378" t="s">
        <v>3301</v>
      </c>
      <c r="E378">
        <v>4421</v>
      </c>
      <c r="F378">
        <v>614</v>
      </c>
      <c r="G378" t="s">
        <v>2046</v>
      </c>
    </row>
    <row r="379" spans="1:7">
      <c r="A379" t="s">
        <v>2047</v>
      </c>
      <c r="B379" t="s">
        <v>150</v>
      </c>
      <c r="C379" t="s">
        <v>1341</v>
      </c>
      <c r="D379" t="s">
        <v>3302</v>
      </c>
      <c r="E379">
        <v>4476</v>
      </c>
      <c r="F379">
        <v>621</v>
      </c>
      <c r="G379" t="s">
        <v>2048</v>
      </c>
    </row>
    <row r="380" spans="1:7">
      <c r="A380" t="s">
        <v>2049</v>
      </c>
      <c r="B380" t="s">
        <v>150</v>
      </c>
      <c r="C380" t="s">
        <v>1341</v>
      </c>
      <c r="D380" t="s">
        <v>3303</v>
      </c>
      <c r="E380">
        <v>4506</v>
      </c>
      <c r="F380">
        <v>635</v>
      </c>
      <c r="G380" t="s">
        <v>2050</v>
      </c>
    </row>
    <row r="381" spans="1:7">
      <c r="A381" t="s">
        <v>2051</v>
      </c>
      <c r="B381" t="s">
        <v>150</v>
      </c>
      <c r="C381" t="s">
        <v>1341</v>
      </c>
      <c r="D381" t="s">
        <v>3304</v>
      </c>
      <c r="E381">
        <v>4589</v>
      </c>
      <c r="F381">
        <v>635</v>
      </c>
      <c r="G381" t="s">
        <v>2052</v>
      </c>
    </row>
    <row r="382" spans="1:7">
      <c r="A382" t="s">
        <v>2053</v>
      </c>
      <c r="B382" t="s">
        <v>150</v>
      </c>
      <c r="C382" t="s">
        <v>1341</v>
      </c>
      <c r="D382" t="s">
        <v>3305</v>
      </c>
      <c r="E382">
        <v>4517</v>
      </c>
      <c r="F382">
        <v>628</v>
      </c>
      <c r="G382" t="s">
        <v>2054</v>
      </c>
    </row>
    <row r="383" spans="1:7">
      <c r="A383" t="s">
        <v>2055</v>
      </c>
      <c r="B383" t="s">
        <v>150</v>
      </c>
      <c r="C383" t="s">
        <v>1341</v>
      </c>
      <c r="D383" t="s">
        <v>3306</v>
      </c>
      <c r="E383">
        <v>4295</v>
      </c>
      <c r="F383">
        <v>593</v>
      </c>
      <c r="G383" t="s">
        <v>2056</v>
      </c>
    </row>
    <row r="384" spans="1:7">
      <c r="A384" t="s">
        <v>2057</v>
      </c>
      <c r="B384" t="s">
        <v>150</v>
      </c>
      <c r="C384" t="s">
        <v>1341</v>
      </c>
      <c r="D384" t="s">
        <v>3307</v>
      </c>
      <c r="E384">
        <v>4500</v>
      </c>
      <c r="F384">
        <v>621</v>
      </c>
      <c r="G384" t="s">
        <v>2058</v>
      </c>
    </row>
    <row r="385" spans="1:7">
      <c r="A385" t="s">
        <v>2059</v>
      </c>
      <c r="B385" t="s">
        <v>150</v>
      </c>
      <c r="C385" t="s">
        <v>1341</v>
      </c>
      <c r="D385" t="s">
        <v>3308</v>
      </c>
      <c r="E385">
        <v>4506</v>
      </c>
      <c r="F385">
        <v>621</v>
      </c>
      <c r="G385" t="s">
        <v>2060</v>
      </c>
    </row>
    <row r="386" spans="1:7">
      <c r="A386" t="s">
        <v>2061</v>
      </c>
      <c r="B386" t="s">
        <v>150</v>
      </c>
      <c r="C386" t="s">
        <v>1341</v>
      </c>
      <c r="D386" t="s">
        <v>3309</v>
      </c>
      <c r="E386">
        <v>4462</v>
      </c>
      <c r="F386">
        <v>628</v>
      </c>
      <c r="G386" t="s">
        <v>2062</v>
      </c>
    </row>
    <row r="387" spans="1:7">
      <c r="A387" t="s">
        <v>2063</v>
      </c>
      <c r="B387" t="s">
        <v>150</v>
      </c>
      <c r="C387" t="s">
        <v>1341</v>
      </c>
      <c r="D387" t="s">
        <v>3310</v>
      </c>
      <c r="E387">
        <v>4423</v>
      </c>
      <c r="F387">
        <v>614</v>
      </c>
      <c r="G387" t="s">
        <v>2064</v>
      </c>
    </row>
    <row r="388" spans="1:7">
      <c r="A388" t="s">
        <v>2065</v>
      </c>
      <c r="B388" t="s">
        <v>150</v>
      </c>
      <c r="C388" t="s">
        <v>1341</v>
      </c>
      <c r="D388" t="s">
        <v>3311</v>
      </c>
      <c r="E388">
        <v>4478</v>
      </c>
      <c r="F388">
        <v>621</v>
      </c>
      <c r="G388" t="s">
        <v>2066</v>
      </c>
    </row>
    <row r="389" spans="1:7">
      <c r="A389" t="s">
        <v>2067</v>
      </c>
      <c r="B389" t="s">
        <v>150</v>
      </c>
      <c r="C389" t="s">
        <v>1341</v>
      </c>
      <c r="D389" t="s">
        <v>3312</v>
      </c>
      <c r="E389">
        <v>4502</v>
      </c>
      <c r="F389">
        <v>635</v>
      </c>
      <c r="G389" t="s">
        <v>2068</v>
      </c>
    </row>
    <row r="390" spans="1:7">
      <c r="A390" t="s">
        <v>2069</v>
      </c>
      <c r="B390" t="s">
        <v>150</v>
      </c>
      <c r="C390" t="s">
        <v>1341</v>
      </c>
      <c r="D390" t="s">
        <v>3313</v>
      </c>
      <c r="E390">
        <v>4585</v>
      </c>
      <c r="F390">
        <v>635</v>
      </c>
      <c r="G390" t="s">
        <v>2070</v>
      </c>
    </row>
    <row r="391" spans="1:7">
      <c r="A391" t="s">
        <v>2071</v>
      </c>
      <c r="B391" t="s">
        <v>150</v>
      </c>
      <c r="C391" t="s">
        <v>1341</v>
      </c>
      <c r="D391" t="s">
        <v>3314</v>
      </c>
      <c r="E391">
        <v>4513</v>
      </c>
      <c r="F391">
        <v>628</v>
      </c>
      <c r="G391" t="s">
        <v>2072</v>
      </c>
    </row>
    <row r="392" spans="1:7">
      <c r="A392" t="s">
        <v>2073</v>
      </c>
      <c r="B392" t="s">
        <v>150</v>
      </c>
      <c r="C392" t="s">
        <v>1341</v>
      </c>
      <c r="D392" t="s">
        <v>3315</v>
      </c>
      <c r="E392">
        <v>4291</v>
      </c>
      <c r="F392">
        <v>593</v>
      </c>
      <c r="G392" t="s">
        <v>2074</v>
      </c>
    </row>
    <row r="393" spans="1:7">
      <c r="A393" t="s">
        <v>2075</v>
      </c>
      <c r="B393" t="s">
        <v>150</v>
      </c>
      <c r="C393" t="s">
        <v>1341</v>
      </c>
      <c r="D393" t="s">
        <v>3316</v>
      </c>
      <c r="E393">
        <v>4496</v>
      </c>
      <c r="F393">
        <v>621</v>
      </c>
      <c r="G393" t="s">
        <v>2076</v>
      </c>
    </row>
    <row r="394" spans="1:7">
      <c r="A394" t="s">
        <v>2077</v>
      </c>
      <c r="B394" t="s">
        <v>150</v>
      </c>
      <c r="C394" t="s">
        <v>1341</v>
      </c>
      <c r="D394" t="s">
        <v>3317</v>
      </c>
      <c r="E394">
        <v>4502</v>
      </c>
      <c r="F394">
        <v>621</v>
      </c>
      <c r="G394" t="s">
        <v>2078</v>
      </c>
    </row>
    <row r="395" spans="1:7">
      <c r="A395" t="s">
        <v>2079</v>
      </c>
      <c r="B395" t="s">
        <v>150</v>
      </c>
      <c r="C395" t="s">
        <v>1341</v>
      </c>
      <c r="D395" t="s">
        <v>3318</v>
      </c>
      <c r="E395">
        <v>4458</v>
      </c>
      <c r="F395">
        <v>628</v>
      </c>
      <c r="G395" t="s">
        <v>2080</v>
      </c>
    </row>
    <row r="396" spans="1:7">
      <c r="A396" t="s">
        <v>2081</v>
      </c>
      <c r="B396" t="s">
        <v>150</v>
      </c>
      <c r="C396" t="s">
        <v>1341</v>
      </c>
      <c r="D396" t="s">
        <v>3319</v>
      </c>
      <c r="E396">
        <v>4419</v>
      </c>
      <c r="F396">
        <v>614</v>
      </c>
      <c r="G396" t="s">
        <v>2082</v>
      </c>
    </row>
    <row r="397" spans="1:7">
      <c r="A397" t="s">
        <v>2083</v>
      </c>
      <c r="B397" t="s">
        <v>150</v>
      </c>
      <c r="C397" t="s">
        <v>1341</v>
      </c>
      <c r="D397" t="s">
        <v>3320</v>
      </c>
      <c r="E397">
        <v>4474</v>
      </c>
      <c r="F397">
        <v>621</v>
      </c>
      <c r="G397" t="s">
        <v>2084</v>
      </c>
    </row>
    <row r="398" spans="1:7">
      <c r="A398" t="s">
        <v>2085</v>
      </c>
      <c r="B398" t="s">
        <v>150</v>
      </c>
      <c r="C398" t="s">
        <v>1341</v>
      </c>
      <c r="D398" t="s">
        <v>3321</v>
      </c>
      <c r="E398">
        <v>4502</v>
      </c>
      <c r="F398">
        <v>635</v>
      </c>
      <c r="G398" t="s">
        <v>2086</v>
      </c>
    </row>
    <row r="399" spans="1:7">
      <c r="A399" t="s">
        <v>2087</v>
      </c>
      <c r="B399" t="s">
        <v>150</v>
      </c>
      <c r="C399" t="s">
        <v>1341</v>
      </c>
      <c r="D399" t="s">
        <v>3322</v>
      </c>
      <c r="E399">
        <v>4585</v>
      </c>
      <c r="F399">
        <v>635</v>
      </c>
      <c r="G399" t="s">
        <v>2088</v>
      </c>
    </row>
    <row r="400" spans="1:7">
      <c r="A400" t="s">
        <v>2089</v>
      </c>
      <c r="B400" t="s">
        <v>150</v>
      </c>
      <c r="C400" t="s">
        <v>1341</v>
      </c>
      <c r="D400" t="s">
        <v>3323</v>
      </c>
      <c r="E400">
        <v>4513</v>
      </c>
      <c r="F400">
        <v>628</v>
      </c>
      <c r="G400" t="s">
        <v>2090</v>
      </c>
    </row>
    <row r="401" spans="1:7">
      <c r="A401" t="s">
        <v>2091</v>
      </c>
      <c r="B401" t="s">
        <v>150</v>
      </c>
      <c r="C401" t="s">
        <v>1341</v>
      </c>
      <c r="D401" t="s">
        <v>3324</v>
      </c>
      <c r="E401">
        <v>4291</v>
      </c>
      <c r="F401">
        <v>593</v>
      </c>
      <c r="G401" t="s">
        <v>2092</v>
      </c>
    </row>
    <row r="402" spans="1:7">
      <c r="A402" t="s">
        <v>2093</v>
      </c>
      <c r="B402" t="s">
        <v>150</v>
      </c>
      <c r="C402" t="s">
        <v>1341</v>
      </c>
      <c r="D402" t="s">
        <v>3325</v>
      </c>
      <c r="E402">
        <v>4496</v>
      </c>
      <c r="F402">
        <v>621</v>
      </c>
      <c r="G402" t="s">
        <v>2094</v>
      </c>
    </row>
    <row r="403" spans="1:7">
      <c r="A403" t="s">
        <v>2095</v>
      </c>
      <c r="B403" t="s">
        <v>150</v>
      </c>
      <c r="C403" t="s">
        <v>1341</v>
      </c>
      <c r="D403" t="s">
        <v>3326</v>
      </c>
      <c r="E403">
        <v>4502</v>
      </c>
      <c r="F403">
        <v>621</v>
      </c>
      <c r="G403" t="s">
        <v>2096</v>
      </c>
    </row>
    <row r="404" spans="1:7">
      <c r="A404" t="s">
        <v>2097</v>
      </c>
      <c r="B404" t="s">
        <v>150</v>
      </c>
      <c r="C404" t="s">
        <v>1341</v>
      </c>
      <c r="D404" t="s">
        <v>3327</v>
      </c>
      <c r="E404">
        <v>4458</v>
      </c>
      <c r="F404">
        <v>628</v>
      </c>
      <c r="G404" t="s">
        <v>2098</v>
      </c>
    </row>
    <row r="405" spans="1:7">
      <c r="A405" t="s">
        <v>2099</v>
      </c>
      <c r="B405" t="s">
        <v>150</v>
      </c>
      <c r="C405" t="s">
        <v>1341</v>
      </c>
      <c r="D405" t="s">
        <v>3328</v>
      </c>
      <c r="E405">
        <v>4419</v>
      </c>
      <c r="F405">
        <v>614</v>
      </c>
      <c r="G405" t="s">
        <v>2100</v>
      </c>
    </row>
    <row r="406" spans="1:7">
      <c r="A406" t="s">
        <v>2101</v>
      </c>
      <c r="B406" t="s">
        <v>150</v>
      </c>
      <c r="C406" t="s">
        <v>1341</v>
      </c>
      <c r="D406" t="s">
        <v>3329</v>
      </c>
      <c r="E406">
        <v>4474</v>
      </c>
      <c r="F406">
        <v>621</v>
      </c>
      <c r="G406" t="s">
        <v>2102</v>
      </c>
    </row>
    <row r="407" spans="1:7">
      <c r="A407" t="s">
        <v>2103</v>
      </c>
      <c r="B407" t="s">
        <v>150</v>
      </c>
      <c r="C407" t="s">
        <v>1341</v>
      </c>
      <c r="D407" t="s">
        <v>3330</v>
      </c>
      <c r="E407">
        <v>4664</v>
      </c>
      <c r="F407">
        <v>663</v>
      </c>
      <c r="G407" t="s">
        <v>2104</v>
      </c>
    </row>
    <row r="408" spans="1:7">
      <c r="A408" t="s">
        <v>2105</v>
      </c>
      <c r="B408" t="s">
        <v>150</v>
      </c>
      <c r="C408" t="s">
        <v>1341</v>
      </c>
      <c r="D408" t="s">
        <v>3331</v>
      </c>
      <c r="E408">
        <v>4726</v>
      </c>
      <c r="F408">
        <v>649</v>
      </c>
      <c r="G408" t="s">
        <v>2106</v>
      </c>
    </row>
    <row r="409" spans="1:7">
      <c r="A409" t="s">
        <v>2107</v>
      </c>
      <c r="B409" t="s">
        <v>150</v>
      </c>
      <c r="C409" t="s">
        <v>1341</v>
      </c>
      <c r="D409" t="s">
        <v>3332</v>
      </c>
      <c r="E409">
        <v>4752</v>
      </c>
      <c r="F409">
        <v>649</v>
      </c>
      <c r="G409" t="s">
        <v>2108</v>
      </c>
    </row>
    <row r="410" spans="1:7">
      <c r="A410" t="s">
        <v>2109</v>
      </c>
      <c r="B410" t="s">
        <v>150</v>
      </c>
      <c r="C410" t="s">
        <v>1341</v>
      </c>
      <c r="D410" t="s">
        <v>3333</v>
      </c>
      <c r="E410">
        <v>4551</v>
      </c>
      <c r="F410">
        <v>628</v>
      </c>
      <c r="G410" t="s">
        <v>2110</v>
      </c>
    </row>
    <row r="411" spans="1:7">
      <c r="A411" t="s">
        <v>2111</v>
      </c>
      <c r="B411" t="s">
        <v>150</v>
      </c>
      <c r="C411" t="s">
        <v>1341</v>
      </c>
      <c r="D411" t="s">
        <v>3334</v>
      </c>
      <c r="E411">
        <v>4721</v>
      </c>
      <c r="F411">
        <v>649</v>
      </c>
      <c r="G411" t="s">
        <v>2112</v>
      </c>
    </row>
    <row r="412" spans="1:7">
      <c r="A412" t="s">
        <v>2113</v>
      </c>
      <c r="B412" t="s">
        <v>150</v>
      </c>
      <c r="C412" t="s">
        <v>1341</v>
      </c>
      <c r="D412" t="s">
        <v>3335</v>
      </c>
      <c r="E412">
        <v>4741</v>
      </c>
      <c r="F412">
        <v>649</v>
      </c>
      <c r="G412" t="s">
        <v>2114</v>
      </c>
    </row>
    <row r="413" spans="1:7">
      <c r="A413" t="s">
        <v>2115</v>
      </c>
      <c r="B413" t="s">
        <v>150</v>
      </c>
      <c r="C413" t="s">
        <v>1341</v>
      </c>
      <c r="D413" t="s">
        <v>3336</v>
      </c>
      <c r="E413">
        <v>4669</v>
      </c>
      <c r="F413">
        <v>656</v>
      </c>
      <c r="G413" t="s">
        <v>2116</v>
      </c>
    </row>
    <row r="414" spans="1:7">
      <c r="A414" t="s">
        <v>2117</v>
      </c>
      <c r="B414" t="s">
        <v>150</v>
      </c>
      <c r="C414" t="s">
        <v>1341</v>
      </c>
      <c r="D414" t="s">
        <v>3337</v>
      </c>
      <c r="E414">
        <v>4609</v>
      </c>
      <c r="F414">
        <v>642</v>
      </c>
      <c r="G414" t="s">
        <v>2118</v>
      </c>
    </row>
    <row r="415" spans="1:7">
      <c r="A415" t="s">
        <v>2119</v>
      </c>
      <c r="B415" t="s">
        <v>150</v>
      </c>
      <c r="C415" t="s">
        <v>1341</v>
      </c>
      <c r="D415" t="s">
        <v>3338</v>
      </c>
      <c r="E415">
        <v>4713</v>
      </c>
      <c r="F415">
        <v>656</v>
      </c>
      <c r="G415" t="s">
        <v>2120</v>
      </c>
    </row>
    <row r="416" spans="1:7">
      <c r="A416" t="s">
        <v>2121</v>
      </c>
      <c r="B416" t="s">
        <v>150</v>
      </c>
      <c r="C416" t="s">
        <v>1341</v>
      </c>
      <c r="D416" t="s">
        <v>3339</v>
      </c>
      <c r="E416">
        <v>4670</v>
      </c>
      <c r="F416">
        <v>664</v>
      </c>
      <c r="G416" t="s">
        <v>2122</v>
      </c>
    </row>
    <row r="417" spans="1:7">
      <c r="A417" t="s">
        <v>2123</v>
      </c>
      <c r="B417" t="s">
        <v>150</v>
      </c>
      <c r="C417" t="s">
        <v>1341</v>
      </c>
      <c r="D417" t="s">
        <v>3340</v>
      </c>
      <c r="E417">
        <v>4732</v>
      </c>
      <c r="F417">
        <v>650</v>
      </c>
      <c r="G417" t="s">
        <v>2124</v>
      </c>
    </row>
    <row r="418" spans="1:7">
      <c r="A418" t="s">
        <v>2125</v>
      </c>
      <c r="B418" t="s">
        <v>150</v>
      </c>
      <c r="C418" t="s">
        <v>1341</v>
      </c>
      <c r="D418" t="s">
        <v>3341</v>
      </c>
      <c r="E418">
        <v>4758</v>
      </c>
      <c r="F418">
        <v>650</v>
      </c>
      <c r="G418" t="s">
        <v>2126</v>
      </c>
    </row>
    <row r="419" spans="1:7">
      <c r="A419" t="s">
        <v>2127</v>
      </c>
      <c r="B419" t="s">
        <v>150</v>
      </c>
      <c r="C419" t="s">
        <v>1341</v>
      </c>
      <c r="D419" t="s">
        <v>3342</v>
      </c>
      <c r="E419">
        <v>4557</v>
      </c>
      <c r="F419">
        <v>629</v>
      </c>
      <c r="G419" t="s">
        <v>2128</v>
      </c>
    </row>
    <row r="420" spans="1:7">
      <c r="A420" t="s">
        <v>2129</v>
      </c>
      <c r="B420" t="s">
        <v>150</v>
      </c>
      <c r="C420" t="s">
        <v>1341</v>
      </c>
      <c r="D420" t="s">
        <v>3343</v>
      </c>
      <c r="E420">
        <v>4727</v>
      </c>
      <c r="F420">
        <v>650</v>
      </c>
      <c r="G420" t="s">
        <v>2130</v>
      </c>
    </row>
    <row r="421" spans="1:7">
      <c r="A421" t="s">
        <v>2131</v>
      </c>
      <c r="B421" t="s">
        <v>150</v>
      </c>
      <c r="C421" t="s">
        <v>1341</v>
      </c>
      <c r="D421" t="s">
        <v>3344</v>
      </c>
      <c r="E421">
        <v>4747</v>
      </c>
      <c r="F421">
        <v>650</v>
      </c>
      <c r="G421" t="s">
        <v>2132</v>
      </c>
    </row>
    <row r="422" spans="1:7">
      <c r="A422" t="s">
        <v>2133</v>
      </c>
      <c r="B422" t="s">
        <v>150</v>
      </c>
      <c r="C422" t="s">
        <v>1341</v>
      </c>
      <c r="D422" t="s">
        <v>3345</v>
      </c>
      <c r="E422">
        <v>4675</v>
      </c>
      <c r="F422">
        <v>657</v>
      </c>
      <c r="G422" t="s">
        <v>2134</v>
      </c>
    </row>
    <row r="423" spans="1:7">
      <c r="A423" t="s">
        <v>2135</v>
      </c>
      <c r="B423" t="s">
        <v>150</v>
      </c>
      <c r="C423" t="s">
        <v>1341</v>
      </c>
      <c r="D423" t="s">
        <v>3346</v>
      </c>
      <c r="E423">
        <v>4615</v>
      </c>
      <c r="F423">
        <v>643</v>
      </c>
      <c r="G423" t="s">
        <v>2136</v>
      </c>
    </row>
    <row r="424" spans="1:7">
      <c r="A424" t="s">
        <v>2137</v>
      </c>
      <c r="B424" t="s">
        <v>150</v>
      </c>
      <c r="C424" t="s">
        <v>1341</v>
      </c>
      <c r="D424" t="s">
        <v>3347</v>
      </c>
      <c r="E424">
        <v>4719</v>
      </c>
      <c r="F424">
        <v>657</v>
      </c>
      <c r="G424" t="s">
        <v>2138</v>
      </c>
    </row>
    <row r="425" spans="1:7">
      <c r="A425" t="s">
        <v>2139</v>
      </c>
      <c r="B425" t="s">
        <v>150</v>
      </c>
      <c r="C425" t="s">
        <v>1341</v>
      </c>
      <c r="D425" t="s">
        <v>3348</v>
      </c>
      <c r="E425">
        <v>4669</v>
      </c>
      <c r="F425">
        <v>663</v>
      </c>
      <c r="G425" t="s">
        <v>2140</v>
      </c>
    </row>
    <row r="426" spans="1:7">
      <c r="A426" t="s">
        <v>2141</v>
      </c>
      <c r="B426" t="s">
        <v>150</v>
      </c>
      <c r="C426" t="s">
        <v>1341</v>
      </c>
      <c r="D426" t="s">
        <v>3349</v>
      </c>
      <c r="E426">
        <v>4731</v>
      </c>
      <c r="F426">
        <v>649</v>
      </c>
      <c r="G426" t="s">
        <v>2142</v>
      </c>
    </row>
    <row r="427" spans="1:7">
      <c r="A427" t="s">
        <v>2143</v>
      </c>
      <c r="B427" t="s">
        <v>150</v>
      </c>
      <c r="C427" t="s">
        <v>1341</v>
      </c>
      <c r="D427" t="s">
        <v>3350</v>
      </c>
      <c r="E427">
        <v>4757</v>
      </c>
      <c r="F427">
        <v>649</v>
      </c>
      <c r="G427" t="s">
        <v>2144</v>
      </c>
    </row>
    <row r="428" spans="1:7">
      <c r="A428" t="s">
        <v>2145</v>
      </c>
      <c r="B428" t="s">
        <v>150</v>
      </c>
      <c r="C428" t="s">
        <v>1341</v>
      </c>
      <c r="D428" t="s">
        <v>3351</v>
      </c>
      <c r="E428">
        <v>4556</v>
      </c>
      <c r="F428">
        <v>628</v>
      </c>
      <c r="G428" t="s">
        <v>2146</v>
      </c>
    </row>
    <row r="429" spans="1:7">
      <c r="A429" t="s">
        <v>2147</v>
      </c>
      <c r="B429" t="s">
        <v>150</v>
      </c>
      <c r="C429" t="s">
        <v>1341</v>
      </c>
      <c r="D429" t="s">
        <v>3352</v>
      </c>
      <c r="E429">
        <v>4726</v>
      </c>
      <c r="F429">
        <v>649</v>
      </c>
      <c r="G429" t="s">
        <v>2148</v>
      </c>
    </row>
    <row r="430" spans="1:7">
      <c r="A430" t="s">
        <v>2149</v>
      </c>
      <c r="B430" t="s">
        <v>150</v>
      </c>
      <c r="C430" t="s">
        <v>1341</v>
      </c>
      <c r="D430" t="s">
        <v>3353</v>
      </c>
      <c r="E430">
        <v>4746</v>
      </c>
      <c r="F430">
        <v>649</v>
      </c>
      <c r="G430" t="s">
        <v>2150</v>
      </c>
    </row>
    <row r="431" spans="1:7">
      <c r="A431" t="s">
        <v>2151</v>
      </c>
      <c r="B431" t="s">
        <v>150</v>
      </c>
      <c r="C431" t="s">
        <v>1341</v>
      </c>
      <c r="D431" t="s">
        <v>3354</v>
      </c>
      <c r="E431">
        <v>4674</v>
      </c>
      <c r="F431">
        <v>656</v>
      </c>
      <c r="G431" t="s">
        <v>2152</v>
      </c>
    </row>
    <row r="432" spans="1:7">
      <c r="A432" t="s">
        <v>2153</v>
      </c>
      <c r="B432" t="s">
        <v>150</v>
      </c>
      <c r="C432" t="s">
        <v>1341</v>
      </c>
      <c r="D432" t="s">
        <v>3355</v>
      </c>
      <c r="E432">
        <v>4614</v>
      </c>
      <c r="F432">
        <v>642</v>
      </c>
      <c r="G432" t="s">
        <v>2154</v>
      </c>
    </row>
    <row r="433" spans="1:7">
      <c r="A433" t="s">
        <v>2155</v>
      </c>
      <c r="B433" t="s">
        <v>150</v>
      </c>
      <c r="C433" t="s">
        <v>1341</v>
      </c>
      <c r="D433" t="s">
        <v>3356</v>
      </c>
      <c r="E433">
        <v>4718</v>
      </c>
      <c r="F433">
        <v>656</v>
      </c>
      <c r="G433" t="s">
        <v>2156</v>
      </c>
    </row>
    <row r="434" spans="1:7">
      <c r="A434" t="s">
        <v>2157</v>
      </c>
      <c r="B434" t="s">
        <v>150</v>
      </c>
      <c r="C434" t="s">
        <v>1341</v>
      </c>
      <c r="D434" t="s">
        <v>3357</v>
      </c>
      <c r="E434">
        <v>4666</v>
      </c>
      <c r="F434">
        <v>663</v>
      </c>
      <c r="G434" t="s">
        <v>2158</v>
      </c>
    </row>
    <row r="435" spans="1:7">
      <c r="A435" t="s">
        <v>2159</v>
      </c>
      <c r="B435" t="s">
        <v>150</v>
      </c>
      <c r="C435" t="s">
        <v>1341</v>
      </c>
      <c r="D435" t="s">
        <v>3358</v>
      </c>
      <c r="E435">
        <v>4728</v>
      </c>
      <c r="F435">
        <v>649</v>
      </c>
      <c r="G435" t="s">
        <v>2160</v>
      </c>
    </row>
    <row r="436" spans="1:7">
      <c r="A436" t="s">
        <v>2161</v>
      </c>
      <c r="B436" t="s">
        <v>150</v>
      </c>
      <c r="C436" t="s">
        <v>1341</v>
      </c>
      <c r="D436" t="s">
        <v>3359</v>
      </c>
      <c r="E436">
        <v>4754</v>
      </c>
      <c r="F436">
        <v>649</v>
      </c>
      <c r="G436" t="s">
        <v>2162</v>
      </c>
    </row>
    <row r="437" spans="1:7">
      <c r="A437" t="s">
        <v>2163</v>
      </c>
      <c r="B437" t="s">
        <v>150</v>
      </c>
      <c r="C437" t="s">
        <v>1341</v>
      </c>
      <c r="D437" t="s">
        <v>3360</v>
      </c>
      <c r="E437">
        <v>4553</v>
      </c>
      <c r="F437">
        <v>628</v>
      </c>
      <c r="G437" t="s">
        <v>2164</v>
      </c>
    </row>
    <row r="438" spans="1:7">
      <c r="A438" t="s">
        <v>2165</v>
      </c>
      <c r="B438" t="s">
        <v>150</v>
      </c>
      <c r="C438" t="s">
        <v>1341</v>
      </c>
      <c r="D438" t="s">
        <v>3361</v>
      </c>
      <c r="E438">
        <v>4723</v>
      </c>
      <c r="F438">
        <v>649</v>
      </c>
      <c r="G438" t="s">
        <v>2166</v>
      </c>
    </row>
    <row r="439" spans="1:7">
      <c r="A439" t="s">
        <v>2167</v>
      </c>
      <c r="B439" t="s">
        <v>150</v>
      </c>
      <c r="C439" t="s">
        <v>1341</v>
      </c>
      <c r="D439" t="s">
        <v>3362</v>
      </c>
      <c r="E439">
        <v>4743</v>
      </c>
      <c r="F439">
        <v>649</v>
      </c>
      <c r="G439" t="s">
        <v>2168</v>
      </c>
    </row>
    <row r="440" spans="1:7">
      <c r="A440" t="s">
        <v>2169</v>
      </c>
      <c r="B440" t="s">
        <v>150</v>
      </c>
      <c r="C440" t="s">
        <v>1341</v>
      </c>
      <c r="D440" t="s">
        <v>3363</v>
      </c>
      <c r="E440">
        <v>4671</v>
      </c>
      <c r="F440">
        <v>656</v>
      </c>
      <c r="G440" t="s">
        <v>2170</v>
      </c>
    </row>
    <row r="441" spans="1:7">
      <c r="A441" t="s">
        <v>2171</v>
      </c>
      <c r="B441" t="s">
        <v>150</v>
      </c>
      <c r="C441" t="s">
        <v>1341</v>
      </c>
      <c r="D441" t="s">
        <v>3364</v>
      </c>
      <c r="E441">
        <v>4611</v>
      </c>
      <c r="F441">
        <v>642</v>
      </c>
      <c r="G441" t="s">
        <v>2172</v>
      </c>
    </row>
    <row r="442" spans="1:7">
      <c r="A442" t="s">
        <v>2173</v>
      </c>
      <c r="B442" t="s">
        <v>150</v>
      </c>
      <c r="C442" t="s">
        <v>1341</v>
      </c>
      <c r="D442" t="s">
        <v>3365</v>
      </c>
      <c r="E442">
        <v>4715</v>
      </c>
      <c r="F442">
        <v>656</v>
      </c>
      <c r="G442" t="s">
        <v>2174</v>
      </c>
    </row>
    <row r="443" spans="1:7">
      <c r="A443" t="s">
        <v>2175</v>
      </c>
      <c r="B443" t="s">
        <v>150</v>
      </c>
      <c r="C443" t="s">
        <v>1341</v>
      </c>
      <c r="D443" t="s">
        <v>3366</v>
      </c>
      <c r="E443">
        <v>4629</v>
      </c>
      <c r="F443">
        <v>656</v>
      </c>
      <c r="G443" t="s">
        <v>2176</v>
      </c>
    </row>
    <row r="444" spans="1:7">
      <c r="A444" t="s">
        <v>2177</v>
      </c>
      <c r="B444" t="s">
        <v>150</v>
      </c>
      <c r="C444" t="s">
        <v>1341</v>
      </c>
      <c r="D444" t="s">
        <v>3367</v>
      </c>
      <c r="E444">
        <v>4705</v>
      </c>
      <c r="F444">
        <v>649</v>
      </c>
      <c r="G444" t="s">
        <v>2178</v>
      </c>
    </row>
    <row r="445" spans="1:7">
      <c r="A445" t="s">
        <v>2179</v>
      </c>
      <c r="B445" t="s">
        <v>150</v>
      </c>
      <c r="C445" t="s">
        <v>1341</v>
      </c>
      <c r="D445" t="s">
        <v>3368</v>
      </c>
      <c r="E445">
        <v>4654</v>
      </c>
      <c r="F445">
        <v>642</v>
      </c>
      <c r="G445" t="s">
        <v>2180</v>
      </c>
    </row>
    <row r="446" spans="1:7">
      <c r="A446" t="s">
        <v>2181</v>
      </c>
      <c r="B446" t="s">
        <v>150</v>
      </c>
      <c r="C446" t="s">
        <v>1341</v>
      </c>
      <c r="D446" t="s">
        <v>3369</v>
      </c>
      <c r="E446">
        <v>4432</v>
      </c>
      <c r="F446">
        <v>607</v>
      </c>
      <c r="G446" t="s">
        <v>2182</v>
      </c>
    </row>
    <row r="447" spans="1:7">
      <c r="A447" t="s">
        <v>2183</v>
      </c>
      <c r="B447" t="s">
        <v>150</v>
      </c>
      <c r="C447" t="s">
        <v>1341</v>
      </c>
      <c r="D447" t="s">
        <v>3370</v>
      </c>
      <c r="E447">
        <v>4609</v>
      </c>
      <c r="F447">
        <v>635</v>
      </c>
      <c r="G447" t="s">
        <v>2184</v>
      </c>
    </row>
    <row r="448" spans="1:7">
      <c r="A448" t="s">
        <v>2185</v>
      </c>
      <c r="B448" t="s">
        <v>150</v>
      </c>
      <c r="C448" t="s">
        <v>1341</v>
      </c>
      <c r="D448" t="s">
        <v>3371</v>
      </c>
      <c r="E448">
        <v>4601</v>
      </c>
      <c r="F448">
        <v>635</v>
      </c>
      <c r="G448" t="s">
        <v>2186</v>
      </c>
    </row>
    <row r="449" spans="1:7">
      <c r="A449" t="s">
        <v>2187</v>
      </c>
      <c r="B449" t="s">
        <v>150</v>
      </c>
      <c r="C449" t="s">
        <v>1341</v>
      </c>
      <c r="D449" t="s">
        <v>3372</v>
      </c>
      <c r="E449">
        <v>4557</v>
      </c>
      <c r="F449">
        <v>642</v>
      </c>
      <c r="G449" t="s">
        <v>2188</v>
      </c>
    </row>
    <row r="450" spans="1:7">
      <c r="A450" t="s">
        <v>2189</v>
      </c>
      <c r="B450" t="s">
        <v>150</v>
      </c>
      <c r="C450" t="s">
        <v>1341</v>
      </c>
      <c r="D450" t="s">
        <v>3373</v>
      </c>
      <c r="E450">
        <v>4511</v>
      </c>
      <c r="F450">
        <v>628</v>
      </c>
      <c r="G450" t="s">
        <v>2190</v>
      </c>
    </row>
    <row r="451" spans="1:7">
      <c r="A451" t="s">
        <v>2191</v>
      </c>
      <c r="B451" t="s">
        <v>150</v>
      </c>
      <c r="C451" t="s">
        <v>1341</v>
      </c>
      <c r="D451" t="s">
        <v>3374</v>
      </c>
      <c r="E451">
        <v>4573</v>
      </c>
      <c r="F451">
        <v>635</v>
      </c>
      <c r="G451" t="s">
        <v>2192</v>
      </c>
    </row>
    <row r="452" spans="1:7">
      <c r="A452" t="s">
        <v>2193</v>
      </c>
      <c r="B452" t="s">
        <v>150</v>
      </c>
      <c r="C452" t="s">
        <v>1341</v>
      </c>
      <c r="D452" t="s">
        <v>3375</v>
      </c>
      <c r="E452">
        <v>4635</v>
      </c>
      <c r="F452">
        <v>657</v>
      </c>
      <c r="G452" t="s">
        <v>2194</v>
      </c>
    </row>
    <row r="453" spans="1:7">
      <c r="A453" t="s">
        <v>2195</v>
      </c>
      <c r="B453" t="s">
        <v>150</v>
      </c>
      <c r="C453" t="s">
        <v>1341</v>
      </c>
      <c r="D453" t="s">
        <v>3376</v>
      </c>
      <c r="E453">
        <v>4711</v>
      </c>
      <c r="F453">
        <v>650</v>
      </c>
      <c r="G453" t="s">
        <v>2196</v>
      </c>
    </row>
    <row r="454" spans="1:7">
      <c r="A454" t="s">
        <v>2197</v>
      </c>
      <c r="B454" t="s">
        <v>150</v>
      </c>
      <c r="C454" t="s">
        <v>1341</v>
      </c>
      <c r="D454" t="s">
        <v>3377</v>
      </c>
      <c r="E454">
        <v>4660</v>
      </c>
      <c r="F454">
        <v>643</v>
      </c>
      <c r="G454" t="s">
        <v>2198</v>
      </c>
    </row>
    <row r="455" spans="1:7">
      <c r="A455" t="s">
        <v>2199</v>
      </c>
      <c r="B455" t="s">
        <v>150</v>
      </c>
      <c r="C455" t="s">
        <v>1341</v>
      </c>
      <c r="D455" t="s">
        <v>3378</v>
      </c>
      <c r="E455">
        <v>4438</v>
      </c>
      <c r="F455">
        <v>608</v>
      </c>
      <c r="G455" t="s">
        <v>2200</v>
      </c>
    </row>
    <row r="456" spans="1:7">
      <c r="A456" t="s">
        <v>2201</v>
      </c>
      <c r="B456" t="s">
        <v>150</v>
      </c>
      <c r="C456" t="s">
        <v>1341</v>
      </c>
      <c r="D456" t="s">
        <v>3379</v>
      </c>
      <c r="E456">
        <v>4615</v>
      </c>
      <c r="F456">
        <v>636</v>
      </c>
      <c r="G456" t="s">
        <v>2202</v>
      </c>
    </row>
    <row r="457" spans="1:7">
      <c r="A457" t="s">
        <v>2203</v>
      </c>
      <c r="B457" t="s">
        <v>150</v>
      </c>
      <c r="C457" t="s">
        <v>1341</v>
      </c>
      <c r="D457" t="s">
        <v>3380</v>
      </c>
      <c r="E457">
        <v>4607</v>
      </c>
      <c r="F457">
        <v>636</v>
      </c>
      <c r="G457" t="s">
        <v>2204</v>
      </c>
    </row>
    <row r="458" spans="1:7">
      <c r="A458" t="s">
        <v>2205</v>
      </c>
      <c r="B458" t="s">
        <v>150</v>
      </c>
      <c r="C458" t="s">
        <v>1341</v>
      </c>
      <c r="D458" t="s">
        <v>3381</v>
      </c>
      <c r="E458">
        <v>4563</v>
      </c>
      <c r="F458">
        <v>643</v>
      </c>
      <c r="G458" t="s">
        <v>2206</v>
      </c>
    </row>
    <row r="459" spans="1:7">
      <c r="A459" t="s">
        <v>2207</v>
      </c>
      <c r="B459" t="s">
        <v>150</v>
      </c>
      <c r="C459" t="s">
        <v>1341</v>
      </c>
      <c r="D459" t="s">
        <v>3382</v>
      </c>
      <c r="E459">
        <v>4517</v>
      </c>
      <c r="F459">
        <v>629</v>
      </c>
      <c r="G459" t="s">
        <v>2208</v>
      </c>
    </row>
    <row r="460" spans="1:7">
      <c r="A460" t="s">
        <v>2209</v>
      </c>
      <c r="B460" t="s">
        <v>150</v>
      </c>
      <c r="C460" t="s">
        <v>1341</v>
      </c>
      <c r="D460" t="s">
        <v>3383</v>
      </c>
      <c r="E460">
        <v>4579</v>
      </c>
      <c r="F460">
        <v>636</v>
      </c>
      <c r="G460" t="s">
        <v>2210</v>
      </c>
    </row>
    <row r="461" spans="1:7">
      <c r="A461" t="s">
        <v>2211</v>
      </c>
      <c r="B461" t="s">
        <v>150</v>
      </c>
      <c r="C461" t="s">
        <v>1341</v>
      </c>
      <c r="D461" t="s">
        <v>3384</v>
      </c>
      <c r="E461">
        <v>4631</v>
      </c>
      <c r="F461">
        <v>656</v>
      </c>
      <c r="G461" t="s">
        <v>2212</v>
      </c>
    </row>
    <row r="462" spans="1:7">
      <c r="A462" t="s">
        <v>2213</v>
      </c>
      <c r="B462" t="s">
        <v>150</v>
      </c>
      <c r="C462" t="s">
        <v>1341</v>
      </c>
      <c r="D462" t="s">
        <v>3385</v>
      </c>
      <c r="E462">
        <v>4707</v>
      </c>
      <c r="F462">
        <v>649</v>
      </c>
      <c r="G462" t="s">
        <v>2214</v>
      </c>
    </row>
    <row r="463" spans="1:7">
      <c r="A463" t="s">
        <v>2215</v>
      </c>
      <c r="B463" t="s">
        <v>150</v>
      </c>
      <c r="C463" t="s">
        <v>1341</v>
      </c>
      <c r="D463" t="s">
        <v>3386</v>
      </c>
      <c r="E463">
        <v>4656</v>
      </c>
      <c r="F463">
        <v>642</v>
      </c>
      <c r="G463" t="s">
        <v>2216</v>
      </c>
    </row>
    <row r="464" spans="1:7">
      <c r="A464" t="s">
        <v>2217</v>
      </c>
      <c r="B464" t="s">
        <v>150</v>
      </c>
      <c r="C464" t="s">
        <v>1341</v>
      </c>
      <c r="D464" t="s">
        <v>3387</v>
      </c>
      <c r="E464">
        <v>4434</v>
      </c>
      <c r="F464">
        <v>607</v>
      </c>
      <c r="G464" t="s">
        <v>2218</v>
      </c>
    </row>
    <row r="465" spans="1:7">
      <c r="A465" t="s">
        <v>2219</v>
      </c>
      <c r="B465" t="s">
        <v>150</v>
      </c>
      <c r="C465" t="s">
        <v>1341</v>
      </c>
      <c r="D465" t="s">
        <v>3388</v>
      </c>
      <c r="E465">
        <v>4611</v>
      </c>
      <c r="F465">
        <v>635</v>
      </c>
      <c r="G465" t="s">
        <v>2220</v>
      </c>
    </row>
    <row r="466" spans="1:7">
      <c r="A466" t="s">
        <v>2221</v>
      </c>
      <c r="B466" t="s">
        <v>150</v>
      </c>
      <c r="C466" t="s">
        <v>1341</v>
      </c>
      <c r="D466" t="s">
        <v>3389</v>
      </c>
      <c r="E466">
        <v>4603</v>
      </c>
      <c r="F466">
        <v>635</v>
      </c>
      <c r="G466" t="s">
        <v>2222</v>
      </c>
    </row>
    <row r="467" spans="1:7">
      <c r="A467" t="s">
        <v>2223</v>
      </c>
      <c r="B467" t="s">
        <v>150</v>
      </c>
      <c r="C467" t="s">
        <v>1341</v>
      </c>
      <c r="D467" t="s">
        <v>3390</v>
      </c>
      <c r="E467">
        <v>4559</v>
      </c>
      <c r="F467">
        <v>642</v>
      </c>
      <c r="G467" t="s">
        <v>2224</v>
      </c>
    </row>
    <row r="468" spans="1:7">
      <c r="A468" t="s">
        <v>2225</v>
      </c>
      <c r="B468" t="s">
        <v>150</v>
      </c>
      <c r="C468" t="s">
        <v>1341</v>
      </c>
      <c r="D468" t="s">
        <v>3391</v>
      </c>
      <c r="E468">
        <v>4513</v>
      </c>
      <c r="F468">
        <v>628</v>
      </c>
      <c r="G468" t="s">
        <v>2226</v>
      </c>
    </row>
    <row r="469" spans="1:7">
      <c r="A469" t="s">
        <v>2227</v>
      </c>
      <c r="B469" t="s">
        <v>150</v>
      </c>
      <c r="C469" t="s">
        <v>1341</v>
      </c>
      <c r="D469" t="s">
        <v>3392</v>
      </c>
      <c r="E469">
        <v>4575</v>
      </c>
      <c r="F469">
        <v>635</v>
      </c>
      <c r="G469" t="s">
        <v>2228</v>
      </c>
    </row>
    <row r="470" spans="1:7">
      <c r="A470" t="s">
        <v>2229</v>
      </c>
      <c r="B470" t="s">
        <v>150</v>
      </c>
      <c r="C470" t="s">
        <v>1341</v>
      </c>
      <c r="D470" t="s">
        <v>3393</v>
      </c>
      <c r="E470">
        <v>4627</v>
      </c>
      <c r="F470">
        <v>656</v>
      </c>
      <c r="G470" t="s">
        <v>2230</v>
      </c>
    </row>
    <row r="471" spans="1:7">
      <c r="A471" t="s">
        <v>2231</v>
      </c>
      <c r="B471" t="s">
        <v>150</v>
      </c>
      <c r="C471" t="s">
        <v>1341</v>
      </c>
      <c r="D471" t="s">
        <v>3394</v>
      </c>
      <c r="E471">
        <v>4703</v>
      </c>
      <c r="F471">
        <v>649</v>
      </c>
      <c r="G471" t="s">
        <v>2232</v>
      </c>
    </row>
    <row r="472" spans="1:7">
      <c r="A472" t="s">
        <v>2233</v>
      </c>
      <c r="B472" t="s">
        <v>150</v>
      </c>
      <c r="C472" t="s">
        <v>1341</v>
      </c>
      <c r="D472" t="s">
        <v>3395</v>
      </c>
      <c r="E472">
        <v>4652</v>
      </c>
      <c r="F472">
        <v>642</v>
      </c>
      <c r="G472" t="s">
        <v>2234</v>
      </c>
    </row>
    <row r="473" spans="1:7">
      <c r="A473" t="s">
        <v>2235</v>
      </c>
      <c r="B473" t="s">
        <v>150</v>
      </c>
      <c r="C473" t="s">
        <v>1341</v>
      </c>
      <c r="D473" t="s">
        <v>3396</v>
      </c>
      <c r="E473">
        <v>4430</v>
      </c>
      <c r="F473">
        <v>607</v>
      </c>
      <c r="G473" t="s">
        <v>2236</v>
      </c>
    </row>
    <row r="474" spans="1:7">
      <c r="A474" t="s">
        <v>2237</v>
      </c>
      <c r="B474" t="s">
        <v>150</v>
      </c>
      <c r="C474" t="s">
        <v>1341</v>
      </c>
      <c r="D474" t="s">
        <v>3397</v>
      </c>
      <c r="E474">
        <v>4607</v>
      </c>
      <c r="F474">
        <v>635</v>
      </c>
      <c r="G474" t="s">
        <v>2238</v>
      </c>
    </row>
    <row r="475" spans="1:7">
      <c r="A475" t="s">
        <v>2239</v>
      </c>
      <c r="B475" t="s">
        <v>150</v>
      </c>
      <c r="C475" t="s">
        <v>1341</v>
      </c>
      <c r="D475" t="s">
        <v>3398</v>
      </c>
      <c r="E475">
        <v>4599</v>
      </c>
      <c r="F475">
        <v>635</v>
      </c>
      <c r="G475" t="s">
        <v>2240</v>
      </c>
    </row>
    <row r="476" spans="1:7">
      <c r="A476" t="s">
        <v>2241</v>
      </c>
      <c r="B476" t="s">
        <v>150</v>
      </c>
      <c r="C476" t="s">
        <v>1341</v>
      </c>
      <c r="D476" t="s">
        <v>3399</v>
      </c>
      <c r="E476">
        <v>4555</v>
      </c>
      <c r="F476">
        <v>642</v>
      </c>
      <c r="G476" t="s">
        <v>2242</v>
      </c>
    </row>
    <row r="477" spans="1:7">
      <c r="A477" t="s">
        <v>2243</v>
      </c>
      <c r="B477" t="s">
        <v>150</v>
      </c>
      <c r="C477" t="s">
        <v>1341</v>
      </c>
      <c r="D477" t="s">
        <v>3400</v>
      </c>
      <c r="E477">
        <v>4509</v>
      </c>
      <c r="F477">
        <v>628</v>
      </c>
      <c r="G477" t="s">
        <v>2244</v>
      </c>
    </row>
    <row r="478" spans="1:7">
      <c r="A478" t="s">
        <v>2245</v>
      </c>
      <c r="B478" t="s">
        <v>150</v>
      </c>
      <c r="C478" t="s">
        <v>1341</v>
      </c>
      <c r="D478" t="s">
        <v>3401</v>
      </c>
      <c r="E478">
        <v>4571</v>
      </c>
      <c r="F478">
        <v>635</v>
      </c>
      <c r="G478" t="s">
        <v>2246</v>
      </c>
    </row>
    <row r="479" spans="1:7">
      <c r="A479" t="s">
        <v>2247</v>
      </c>
      <c r="B479" t="s">
        <v>150</v>
      </c>
      <c r="C479" t="s">
        <v>1341</v>
      </c>
      <c r="D479" t="s">
        <v>3402</v>
      </c>
      <c r="E479">
        <v>4565</v>
      </c>
      <c r="F479">
        <v>641</v>
      </c>
      <c r="G479" t="s">
        <v>2248</v>
      </c>
    </row>
    <row r="480" spans="1:7">
      <c r="A480" t="s">
        <v>2249</v>
      </c>
      <c r="B480" t="s">
        <v>150</v>
      </c>
      <c r="C480" t="s">
        <v>1341</v>
      </c>
      <c r="D480" t="s">
        <v>3403</v>
      </c>
      <c r="E480">
        <v>4557</v>
      </c>
      <c r="F480">
        <v>634</v>
      </c>
      <c r="G480" t="s">
        <v>2250</v>
      </c>
    </row>
    <row r="481" spans="1:7">
      <c r="A481" t="s">
        <v>2251</v>
      </c>
      <c r="B481" t="s">
        <v>150</v>
      </c>
      <c r="C481" t="s">
        <v>1341</v>
      </c>
      <c r="D481" t="s">
        <v>3404</v>
      </c>
      <c r="E481">
        <v>4667</v>
      </c>
      <c r="F481">
        <v>634</v>
      </c>
      <c r="G481" t="s">
        <v>2252</v>
      </c>
    </row>
    <row r="482" spans="1:7">
      <c r="A482" t="s">
        <v>2253</v>
      </c>
      <c r="B482" t="s">
        <v>150</v>
      </c>
      <c r="C482" t="s">
        <v>1341</v>
      </c>
      <c r="D482" t="s">
        <v>3405</v>
      </c>
      <c r="E482">
        <v>4480</v>
      </c>
      <c r="F482">
        <v>620</v>
      </c>
      <c r="G482" t="s">
        <v>2254</v>
      </c>
    </row>
    <row r="483" spans="1:7">
      <c r="A483" t="s">
        <v>2255</v>
      </c>
      <c r="B483" t="s">
        <v>150</v>
      </c>
      <c r="C483" t="s">
        <v>1341</v>
      </c>
      <c r="D483" t="s">
        <v>3406</v>
      </c>
      <c r="E483">
        <v>4650</v>
      </c>
      <c r="F483">
        <v>641</v>
      </c>
      <c r="G483" t="s">
        <v>2256</v>
      </c>
    </row>
    <row r="484" spans="1:7">
      <c r="A484" t="s">
        <v>2257</v>
      </c>
      <c r="B484" t="s">
        <v>150</v>
      </c>
      <c r="C484" t="s">
        <v>1341</v>
      </c>
      <c r="D484" t="s">
        <v>3407</v>
      </c>
      <c r="E484">
        <v>4789</v>
      </c>
      <c r="F484">
        <v>662</v>
      </c>
      <c r="G484" t="s">
        <v>2258</v>
      </c>
    </row>
    <row r="485" spans="1:7">
      <c r="A485" t="s">
        <v>2259</v>
      </c>
      <c r="B485" t="s">
        <v>150</v>
      </c>
      <c r="C485" t="s">
        <v>1341</v>
      </c>
      <c r="D485" t="s">
        <v>3408</v>
      </c>
      <c r="E485">
        <v>4528</v>
      </c>
      <c r="F485">
        <v>634</v>
      </c>
      <c r="G485" t="s">
        <v>2260</v>
      </c>
    </row>
    <row r="486" spans="1:7">
      <c r="A486" t="s">
        <v>2261</v>
      </c>
      <c r="B486" t="s">
        <v>150</v>
      </c>
      <c r="C486" t="s">
        <v>1341</v>
      </c>
      <c r="D486" t="s">
        <v>3409</v>
      </c>
      <c r="E486">
        <v>4601</v>
      </c>
      <c r="F486">
        <v>634</v>
      </c>
      <c r="G486" t="s">
        <v>2262</v>
      </c>
    </row>
    <row r="487" spans="1:7">
      <c r="A487" t="s">
        <v>2263</v>
      </c>
      <c r="B487" t="s">
        <v>150</v>
      </c>
      <c r="C487" t="s">
        <v>1341</v>
      </c>
      <c r="D487" t="s">
        <v>3410</v>
      </c>
      <c r="E487">
        <v>4670</v>
      </c>
      <c r="F487">
        <v>641</v>
      </c>
      <c r="G487" t="s">
        <v>2264</v>
      </c>
    </row>
    <row r="488" spans="1:7">
      <c r="A488" t="s">
        <v>2265</v>
      </c>
      <c r="B488" t="s">
        <v>150</v>
      </c>
      <c r="C488" t="s">
        <v>1341</v>
      </c>
      <c r="D488" t="s">
        <v>3411</v>
      </c>
      <c r="E488">
        <v>4524</v>
      </c>
      <c r="F488">
        <v>641</v>
      </c>
      <c r="G488" t="s">
        <v>2266</v>
      </c>
    </row>
    <row r="489" spans="1:7">
      <c r="A489" t="s">
        <v>2267</v>
      </c>
      <c r="B489" t="s">
        <v>150</v>
      </c>
      <c r="C489" t="s">
        <v>1341</v>
      </c>
      <c r="D489" t="s">
        <v>3412</v>
      </c>
      <c r="E489">
        <v>4593</v>
      </c>
      <c r="F489">
        <v>634</v>
      </c>
      <c r="G489" t="s">
        <v>2268</v>
      </c>
    </row>
    <row r="490" spans="1:7">
      <c r="A490" t="s">
        <v>2269</v>
      </c>
      <c r="B490" t="s">
        <v>150</v>
      </c>
      <c r="C490" t="s">
        <v>1341</v>
      </c>
      <c r="D490" t="s">
        <v>3413</v>
      </c>
      <c r="E490">
        <v>4598</v>
      </c>
      <c r="F490">
        <v>634</v>
      </c>
      <c r="G490" t="s">
        <v>2270</v>
      </c>
    </row>
    <row r="491" spans="1:7">
      <c r="A491" t="s">
        <v>2271</v>
      </c>
      <c r="B491" t="s">
        <v>150</v>
      </c>
      <c r="C491" t="s">
        <v>1341</v>
      </c>
      <c r="D491" t="s">
        <v>3414</v>
      </c>
      <c r="E491">
        <v>4397</v>
      </c>
      <c r="F491">
        <v>613</v>
      </c>
      <c r="G491" t="s">
        <v>2272</v>
      </c>
    </row>
    <row r="492" spans="1:7">
      <c r="A492" t="s">
        <v>2273</v>
      </c>
      <c r="B492" t="s">
        <v>150</v>
      </c>
      <c r="C492" t="s">
        <v>1341</v>
      </c>
      <c r="D492" t="s">
        <v>3415</v>
      </c>
      <c r="E492">
        <v>4595</v>
      </c>
      <c r="F492">
        <v>634</v>
      </c>
      <c r="G492" t="s">
        <v>2274</v>
      </c>
    </row>
    <row r="493" spans="1:7">
      <c r="A493" t="s">
        <v>2275</v>
      </c>
      <c r="B493" t="s">
        <v>150</v>
      </c>
      <c r="C493" t="s">
        <v>1341</v>
      </c>
      <c r="D493" t="s">
        <v>3416</v>
      </c>
      <c r="E493">
        <v>4629</v>
      </c>
      <c r="F493">
        <v>634</v>
      </c>
      <c r="G493" t="s">
        <v>2276</v>
      </c>
    </row>
    <row r="494" spans="1:7">
      <c r="A494" t="s">
        <v>2277</v>
      </c>
      <c r="B494" t="s">
        <v>150</v>
      </c>
      <c r="C494" t="s">
        <v>1341</v>
      </c>
      <c r="D494" t="s">
        <v>3417</v>
      </c>
      <c r="E494">
        <v>4557</v>
      </c>
      <c r="F494">
        <v>641</v>
      </c>
      <c r="G494" t="s">
        <v>2278</v>
      </c>
    </row>
    <row r="495" spans="1:7">
      <c r="A495" t="s">
        <v>2279</v>
      </c>
      <c r="B495" t="s">
        <v>150</v>
      </c>
      <c r="C495" t="s">
        <v>1341</v>
      </c>
      <c r="D495" t="s">
        <v>3418</v>
      </c>
      <c r="E495">
        <v>4504</v>
      </c>
      <c r="F495">
        <v>627</v>
      </c>
      <c r="G495" t="s">
        <v>2280</v>
      </c>
    </row>
    <row r="496" spans="1:7">
      <c r="A496" t="s">
        <v>2281</v>
      </c>
      <c r="B496" t="s">
        <v>150</v>
      </c>
      <c r="C496" t="s">
        <v>1341</v>
      </c>
      <c r="D496" t="s">
        <v>3419</v>
      </c>
      <c r="E496">
        <v>4601</v>
      </c>
      <c r="F496">
        <v>641</v>
      </c>
      <c r="G496" t="s">
        <v>2282</v>
      </c>
    </row>
    <row r="497" spans="1:7">
      <c r="A497" t="s">
        <v>2283</v>
      </c>
      <c r="B497" t="s">
        <v>150</v>
      </c>
      <c r="C497" t="s">
        <v>1341</v>
      </c>
      <c r="D497" t="s">
        <v>3420</v>
      </c>
      <c r="E497">
        <v>4654</v>
      </c>
      <c r="F497">
        <v>662</v>
      </c>
      <c r="G497" t="s">
        <v>2284</v>
      </c>
    </row>
    <row r="498" spans="1:7">
      <c r="A498" t="s">
        <v>2285</v>
      </c>
      <c r="B498" t="s">
        <v>150</v>
      </c>
      <c r="C498" t="s">
        <v>1341</v>
      </c>
      <c r="D498" t="s">
        <v>3421</v>
      </c>
      <c r="E498">
        <v>4716</v>
      </c>
      <c r="F498">
        <v>648</v>
      </c>
      <c r="G498" t="s">
        <v>2286</v>
      </c>
    </row>
    <row r="499" spans="1:7">
      <c r="A499" t="s">
        <v>2287</v>
      </c>
      <c r="B499" t="s">
        <v>150</v>
      </c>
      <c r="C499" t="s">
        <v>1341</v>
      </c>
      <c r="D499" t="s">
        <v>3422</v>
      </c>
      <c r="E499">
        <v>4742</v>
      </c>
      <c r="F499">
        <v>648</v>
      </c>
      <c r="G499" t="s">
        <v>2288</v>
      </c>
    </row>
    <row r="500" spans="1:7">
      <c r="A500" t="s">
        <v>2289</v>
      </c>
      <c r="B500" t="s">
        <v>150</v>
      </c>
      <c r="C500" t="s">
        <v>1341</v>
      </c>
      <c r="D500" t="s">
        <v>3423</v>
      </c>
      <c r="E500">
        <v>4541</v>
      </c>
      <c r="F500">
        <v>627</v>
      </c>
      <c r="G500" t="s">
        <v>2290</v>
      </c>
    </row>
    <row r="501" spans="1:7">
      <c r="A501" t="s">
        <v>2291</v>
      </c>
      <c r="B501" t="s">
        <v>150</v>
      </c>
      <c r="C501" t="s">
        <v>1341</v>
      </c>
      <c r="D501" t="s">
        <v>3424</v>
      </c>
      <c r="E501">
        <v>4711</v>
      </c>
      <c r="F501">
        <v>648</v>
      </c>
      <c r="G501" t="s">
        <v>2292</v>
      </c>
    </row>
    <row r="502" spans="1:7">
      <c r="A502" t="s">
        <v>2293</v>
      </c>
      <c r="B502" t="s">
        <v>150</v>
      </c>
      <c r="C502" t="s">
        <v>1341</v>
      </c>
      <c r="D502" t="s">
        <v>3425</v>
      </c>
      <c r="E502">
        <v>4731</v>
      </c>
      <c r="F502">
        <v>648</v>
      </c>
      <c r="G502" t="s">
        <v>2294</v>
      </c>
    </row>
    <row r="503" spans="1:7">
      <c r="A503" t="s">
        <v>2295</v>
      </c>
      <c r="B503" t="s">
        <v>150</v>
      </c>
      <c r="C503" t="s">
        <v>1341</v>
      </c>
      <c r="D503" t="s">
        <v>3426</v>
      </c>
      <c r="E503">
        <v>4659</v>
      </c>
      <c r="F503">
        <v>655</v>
      </c>
      <c r="G503" t="s">
        <v>2296</v>
      </c>
    </row>
    <row r="504" spans="1:7">
      <c r="A504" t="s">
        <v>2297</v>
      </c>
      <c r="B504" t="s">
        <v>150</v>
      </c>
      <c r="C504" t="s">
        <v>1341</v>
      </c>
      <c r="D504" t="s">
        <v>3427</v>
      </c>
      <c r="E504">
        <v>4599</v>
      </c>
      <c r="F504">
        <v>641</v>
      </c>
      <c r="G504" t="s">
        <v>2298</v>
      </c>
    </row>
    <row r="505" spans="1:7">
      <c r="A505" t="s">
        <v>2299</v>
      </c>
      <c r="B505" t="s">
        <v>150</v>
      </c>
      <c r="C505" t="s">
        <v>1341</v>
      </c>
      <c r="D505" t="s">
        <v>3428</v>
      </c>
      <c r="E505">
        <v>4703</v>
      </c>
      <c r="F505">
        <v>655</v>
      </c>
      <c r="G505" t="s">
        <v>2300</v>
      </c>
    </row>
    <row r="506" spans="1:7">
      <c r="A506" t="s">
        <v>2301</v>
      </c>
      <c r="B506" t="s">
        <v>150</v>
      </c>
      <c r="C506" t="s">
        <v>1341</v>
      </c>
      <c r="D506" t="s">
        <v>3429</v>
      </c>
      <c r="E506">
        <v>4435</v>
      </c>
      <c r="F506">
        <v>620</v>
      </c>
      <c r="G506" t="s">
        <v>2302</v>
      </c>
    </row>
    <row r="507" spans="1:7">
      <c r="A507" t="s">
        <v>2303</v>
      </c>
      <c r="B507" t="s">
        <v>150</v>
      </c>
      <c r="C507" t="s">
        <v>1341</v>
      </c>
      <c r="D507" t="s">
        <v>3430</v>
      </c>
      <c r="E507">
        <v>4434</v>
      </c>
      <c r="F507">
        <v>620</v>
      </c>
      <c r="G507" t="s">
        <v>2304</v>
      </c>
    </row>
    <row r="508" spans="1:7">
      <c r="A508" t="s">
        <v>2305</v>
      </c>
      <c r="B508" t="s">
        <v>150</v>
      </c>
      <c r="C508" t="s">
        <v>1341</v>
      </c>
      <c r="D508" t="s">
        <v>3431</v>
      </c>
      <c r="E508">
        <v>4523</v>
      </c>
      <c r="F508">
        <v>620</v>
      </c>
      <c r="G508" t="s">
        <v>2306</v>
      </c>
    </row>
    <row r="509" spans="1:7">
      <c r="A509" t="s">
        <v>2307</v>
      </c>
      <c r="B509" t="s">
        <v>150</v>
      </c>
      <c r="C509" t="s">
        <v>1341</v>
      </c>
      <c r="D509" t="s">
        <v>3432</v>
      </c>
      <c r="E509">
        <v>4336</v>
      </c>
      <c r="F509">
        <v>606</v>
      </c>
      <c r="G509" t="s">
        <v>2308</v>
      </c>
    </row>
    <row r="510" spans="1:7">
      <c r="A510" t="s">
        <v>2309</v>
      </c>
      <c r="B510" t="s">
        <v>150</v>
      </c>
      <c r="C510" t="s">
        <v>1341</v>
      </c>
      <c r="D510" t="s">
        <v>3433</v>
      </c>
      <c r="E510">
        <v>4534</v>
      </c>
      <c r="F510">
        <v>627</v>
      </c>
      <c r="G510" t="s">
        <v>2310</v>
      </c>
    </row>
    <row r="511" spans="1:7">
      <c r="A511" t="s">
        <v>2311</v>
      </c>
      <c r="B511" t="s">
        <v>150</v>
      </c>
      <c r="C511" t="s">
        <v>1341</v>
      </c>
      <c r="D511" t="s">
        <v>3434</v>
      </c>
      <c r="E511">
        <v>4687</v>
      </c>
      <c r="F511">
        <v>648</v>
      </c>
      <c r="G511" t="s">
        <v>2312</v>
      </c>
    </row>
    <row r="512" spans="1:7">
      <c r="A512" t="s">
        <v>2313</v>
      </c>
      <c r="B512" t="s">
        <v>150</v>
      </c>
      <c r="C512" t="s">
        <v>1341</v>
      </c>
      <c r="D512" t="s">
        <v>3435</v>
      </c>
      <c r="E512">
        <v>4426</v>
      </c>
      <c r="F512">
        <v>620</v>
      </c>
      <c r="G512" t="s">
        <v>2314</v>
      </c>
    </row>
    <row r="513" spans="1:7">
      <c r="A513" t="s">
        <v>2315</v>
      </c>
      <c r="B513" t="s">
        <v>150</v>
      </c>
      <c r="C513" t="s">
        <v>1341</v>
      </c>
      <c r="D513" t="s">
        <v>3436</v>
      </c>
      <c r="E513">
        <v>4506</v>
      </c>
      <c r="F513">
        <v>620</v>
      </c>
      <c r="G513" t="s">
        <v>2316</v>
      </c>
    </row>
    <row r="514" spans="1:7">
      <c r="A514" t="s">
        <v>2317</v>
      </c>
      <c r="B514" t="s">
        <v>150</v>
      </c>
      <c r="C514" t="s">
        <v>1341</v>
      </c>
      <c r="D514" t="s">
        <v>3437</v>
      </c>
      <c r="E514">
        <v>4568</v>
      </c>
      <c r="F514">
        <v>627</v>
      </c>
      <c r="G514" t="s">
        <v>2318</v>
      </c>
    </row>
    <row r="515" spans="1:7">
      <c r="A515" t="s">
        <v>2319</v>
      </c>
      <c r="B515" t="s">
        <v>150</v>
      </c>
      <c r="C515" t="s">
        <v>1341</v>
      </c>
      <c r="D515" t="s">
        <v>3438</v>
      </c>
      <c r="E515">
        <v>4666</v>
      </c>
      <c r="F515">
        <v>663</v>
      </c>
      <c r="G515" t="s">
        <v>2320</v>
      </c>
    </row>
    <row r="516" spans="1:7">
      <c r="A516" t="s">
        <v>2321</v>
      </c>
      <c r="B516" t="s">
        <v>150</v>
      </c>
      <c r="C516" t="s">
        <v>1341</v>
      </c>
      <c r="D516" t="s">
        <v>3439</v>
      </c>
      <c r="E516">
        <v>4728</v>
      </c>
      <c r="F516">
        <v>649</v>
      </c>
      <c r="G516" t="s">
        <v>2322</v>
      </c>
    </row>
    <row r="517" spans="1:7">
      <c r="A517" t="s">
        <v>2323</v>
      </c>
      <c r="B517" t="s">
        <v>150</v>
      </c>
      <c r="C517" t="s">
        <v>1341</v>
      </c>
      <c r="D517" t="s">
        <v>3440</v>
      </c>
      <c r="E517">
        <v>4754</v>
      </c>
      <c r="F517">
        <v>649</v>
      </c>
      <c r="G517" t="s">
        <v>2324</v>
      </c>
    </row>
    <row r="518" spans="1:7">
      <c r="A518" t="s">
        <v>2325</v>
      </c>
      <c r="B518" t="s">
        <v>150</v>
      </c>
      <c r="C518" t="s">
        <v>1341</v>
      </c>
      <c r="D518" t="s">
        <v>3441</v>
      </c>
      <c r="E518">
        <v>4553</v>
      </c>
      <c r="F518">
        <v>628</v>
      </c>
      <c r="G518" t="s">
        <v>2326</v>
      </c>
    </row>
    <row r="519" spans="1:7">
      <c r="A519" t="s">
        <v>2327</v>
      </c>
      <c r="B519" t="s">
        <v>150</v>
      </c>
      <c r="C519" t="s">
        <v>1341</v>
      </c>
      <c r="D519" t="s">
        <v>3442</v>
      </c>
      <c r="E519">
        <v>4723</v>
      </c>
      <c r="F519">
        <v>649</v>
      </c>
      <c r="G519" t="s">
        <v>2328</v>
      </c>
    </row>
    <row r="520" spans="1:7">
      <c r="A520" t="s">
        <v>2329</v>
      </c>
      <c r="B520" t="s">
        <v>150</v>
      </c>
      <c r="C520" t="s">
        <v>1341</v>
      </c>
      <c r="D520" t="s">
        <v>3443</v>
      </c>
      <c r="E520">
        <v>4743</v>
      </c>
      <c r="F520">
        <v>649</v>
      </c>
      <c r="G520" t="s">
        <v>2330</v>
      </c>
    </row>
    <row r="521" spans="1:7">
      <c r="A521" t="s">
        <v>2331</v>
      </c>
      <c r="B521" t="s">
        <v>150</v>
      </c>
      <c r="C521" t="s">
        <v>1341</v>
      </c>
      <c r="D521" t="s">
        <v>3444</v>
      </c>
      <c r="E521">
        <v>4671</v>
      </c>
      <c r="F521">
        <v>656</v>
      </c>
      <c r="G521" t="s">
        <v>2332</v>
      </c>
    </row>
    <row r="522" spans="1:7">
      <c r="A522" t="s">
        <v>2333</v>
      </c>
      <c r="B522" t="s">
        <v>150</v>
      </c>
      <c r="C522" t="s">
        <v>1341</v>
      </c>
      <c r="D522" t="s">
        <v>3445</v>
      </c>
      <c r="E522">
        <v>4611</v>
      </c>
      <c r="F522">
        <v>642</v>
      </c>
      <c r="G522" t="s">
        <v>2334</v>
      </c>
    </row>
    <row r="523" spans="1:7">
      <c r="A523" t="s">
        <v>2335</v>
      </c>
      <c r="B523" t="s">
        <v>150</v>
      </c>
      <c r="C523" t="s">
        <v>1341</v>
      </c>
      <c r="D523" t="s">
        <v>3446</v>
      </c>
      <c r="E523">
        <v>4715</v>
      </c>
      <c r="F523">
        <v>656</v>
      </c>
      <c r="G523" t="s">
        <v>2336</v>
      </c>
    </row>
    <row r="524" spans="1:7">
      <c r="A524" t="s">
        <v>2337</v>
      </c>
      <c r="B524" t="s">
        <v>2338</v>
      </c>
      <c r="C524" t="s">
        <v>1316</v>
      </c>
      <c r="D524" t="s">
        <v>3447</v>
      </c>
      <c r="E524">
        <v>2029</v>
      </c>
      <c r="F524">
        <v>272</v>
      </c>
      <c r="G524" t="s">
        <v>2339</v>
      </c>
    </row>
    <row r="525" spans="1:7">
      <c r="A525" t="s">
        <v>2340</v>
      </c>
      <c r="B525" t="s">
        <v>2338</v>
      </c>
      <c r="C525" t="s">
        <v>1316</v>
      </c>
      <c r="D525" t="s">
        <v>3448</v>
      </c>
      <c r="E525">
        <v>2086</v>
      </c>
      <c r="F525">
        <v>278</v>
      </c>
      <c r="G525" t="s">
        <v>2341</v>
      </c>
    </row>
    <row r="526" spans="1:7">
      <c r="A526" t="s">
        <v>2342</v>
      </c>
      <c r="B526" t="s">
        <v>2338</v>
      </c>
      <c r="C526" t="s">
        <v>1316</v>
      </c>
      <c r="D526" t="s">
        <v>3449</v>
      </c>
      <c r="E526">
        <v>2079</v>
      </c>
      <c r="F526">
        <v>281</v>
      </c>
      <c r="G526" t="s">
        <v>2343</v>
      </c>
    </row>
    <row r="527" spans="1:7">
      <c r="A527" t="s">
        <v>2344</v>
      </c>
      <c r="B527" t="s">
        <v>2338</v>
      </c>
      <c r="C527" t="s">
        <v>9</v>
      </c>
      <c r="D527" t="s">
        <v>3450</v>
      </c>
      <c r="E527">
        <v>2414</v>
      </c>
      <c r="F527">
        <v>315</v>
      </c>
      <c r="G527" t="s">
        <v>2345</v>
      </c>
    </row>
    <row r="528" spans="1:7">
      <c r="A528" t="s">
        <v>2346</v>
      </c>
      <c r="B528" t="s">
        <v>2338</v>
      </c>
      <c r="C528" t="s">
        <v>9</v>
      </c>
      <c r="D528" t="s">
        <v>3451</v>
      </c>
      <c r="E528">
        <v>2407</v>
      </c>
      <c r="F528">
        <v>311</v>
      </c>
      <c r="G528" t="s">
        <v>2347</v>
      </c>
    </row>
    <row r="529" spans="1:7">
      <c r="A529" t="s">
        <v>2348</v>
      </c>
      <c r="B529" t="s">
        <v>2338</v>
      </c>
      <c r="C529" t="s">
        <v>9</v>
      </c>
      <c r="D529" t="s">
        <v>3452</v>
      </c>
      <c r="E529">
        <v>2415</v>
      </c>
      <c r="F529">
        <v>312</v>
      </c>
      <c r="G529" t="s">
        <v>2349</v>
      </c>
    </row>
    <row r="530" spans="1:7">
      <c r="A530" t="s">
        <v>2350</v>
      </c>
      <c r="B530" t="s">
        <v>2338</v>
      </c>
      <c r="C530" t="s">
        <v>9</v>
      </c>
      <c r="D530" t="s">
        <v>3453</v>
      </c>
      <c r="E530">
        <v>2448</v>
      </c>
      <c r="F530">
        <v>317</v>
      </c>
      <c r="G530" t="s">
        <v>2351</v>
      </c>
    </row>
    <row r="531" spans="1:7">
      <c r="A531" t="s">
        <v>2352</v>
      </c>
      <c r="B531" t="s">
        <v>2338</v>
      </c>
      <c r="C531" t="s">
        <v>9</v>
      </c>
      <c r="D531" t="s">
        <v>3454</v>
      </c>
      <c r="E531">
        <v>2421</v>
      </c>
      <c r="F531">
        <v>314</v>
      </c>
      <c r="G531" t="s">
        <v>2353</v>
      </c>
    </row>
    <row r="532" spans="1:7">
      <c r="A532" t="s">
        <v>2354</v>
      </c>
      <c r="B532" t="s">
        <v>2338</v>
      </c>
      <c r="C532" t="s">
        <v>9</v>
      </c>
      <c r="D532" t="s">
        <v>3455</v>
      </c>
      <c r="E532">
        <v>2421</v>
      </c>
      <c r="F532">
        <v>315</v>
      </c>
      <c r="G532" t="s">
        <v>2355</v>
      </c>
    </row>
    <row r="533" spans="1:7">
      <c r="A533" t="s">
        <v>2356</v>
      </c>
      <c r="B533" t="s">
        <v>2338</v>
      </c>
      <c r="C533" t="s">
        <v>9</v>
      </c>
      <c r="D533" t="s">
        <v>3456</v>
      </c>
      <c r="E533">
        <v>2406</v>
      </c>
      <c r="F533">
        <v>315</v>
      </c>
      <c r="G533" t="s">
        <v>2357</v>
      </c>
    </row>
    <row r="534" spans="1:7">
      <c r="A534" t="s">
        <v>2358</v>
      </c>
      <c r="B534" t="s">
        <v>2338</v>
      </c>
      <c r="C534" t="s">
        <v>9</v>
      </c>
      <c r="D534" t="s">
        <v>3457</v>
      </c>
      <c r="E534">
        <v>2393</v>
      </c>
      <c r="F534">
        <v>309</v>
      </c>
      <c r="G534" t="s">
        <v>2359</v>
      </c>
    </row>
    <row r="535" spans="1:7">
      <c r="A535" t="s">
        <v>2360</v>
      </c>
      <c r="B535" t="s">
        <v>2338</v>
      </c>
      <c r="C535" t="s">
        <v>9</v>
      </c>
      <c r="D535" t="s">
        <v>3458</v>
      </c>
      <c r="E535">
        <v>2389</v>
      </c>
      <c r="F535">
        <v>310</v>
      </c>
      <c r="G535" t="s">
        <v>2361</v>
      </c>
    </row>
    <row r="536" spans="1:7">
      <c r="A536" t="s">
        <v>2362</v>
      </c>
      <c r="B536" t="s">
        <v>2338</v>
      </c>
      <c r="C536" t="s">
        <v>9</v>
      </c>
      <c r="D536" t="s">
        <v>3459</v>
      </c>
      <c r="E536">
        <v>2395</v>
      </c>
      <c r="F536">
        <v>312</v>
      </c>
      <c r="G536" t="s">
        <v>2363</v>
      </c>
    </row>
    <row r="537" spans="1:7">
      <c r="A537" t="s">
        <v>2364</v>
      </c>
      <c r="B537" t="s">
        <v>2338</v>
      </c>
      <c r="C537" t="s">
        <v>9</v>
      </c>
      <c r="D537" t="s">
        <v>3460</v>
      </c>
      <c r="E537">
        <v>2400</v>
      </c>
      <c r="F537">
        <v>312</v>
      </c>
      <c r="G537" t="s">
        <v>2365</v>
      </c>
    </row>
    <row r="538" spans="1:7">
      <c r="A538" t="s">
        <v>2366</v>
      </c>
      <c r="B538" t="s">
        <v>2338</v>
      </c>
      <c r="C538" t="s">
        <v>9</v>
      </c>
      <c r="D538" t="s">
        <v>3461</v>
      </c>
      <c r="E538">
        <v>2402</v>
      </c>
      <c r="F538">
        <v>311</v>
      </c>
      <c r="G538" t="s">
        <v>2367</v>
      </c>
    </row>
    <row r="539" spans="1:7">
      <c r="A539" t="s">
        <v>2368</v>
      </c>
      <c r="B539" t="s">
        <v>2338</v>
      </c>
      <c r="C539" t="s">
        <v>9</v>
      </c>
      <c r="D539" t="s">
        <v>3462</v>
      </c>
      <c r="E539">
        <v>2404</v>
      </c>
      <c r="F539">
        <v>312</v>
      </c>
      <c r="G539" t="s">
        <v>2369</v>
      </c>
    </row>
    <row r="540" spans="1:7">
      <c r="A540" t="s">
        <v>2370</v>
      </c>
      <c r="B540" t="s">
        <v>2338</v>
      </c>
      <c r="C540" t="s">
        <v>9</v>
      </c>
      <c r="D540" t="s">
        <v>3463</v>
      </c>
      <c r="E540">
        <v>2390</v>
      </c>
      <c r="F540">
        <v>312</v>
      </c>
      <c r="G540" t="s">
        <v>2371</v>
      </c>
    </row>
    <row r="541" spans="1:7">
      <c r="A541" t="s">
        <v>2372</v>
      </c>
      <c r="B541" t="s">
        <v>2338</v>
      </c>
      <c r="C541" t="s">
        <v>9</v>
      </c>
      <c r="D541" t="s">
        <v>3464</v>
      </c>
      <c r="E541">
        <v>2416</v>
      </c>
      <c r="F541">
        <v>313</v>
      </c>
      <c r="G541" t="s">
        <v>2373</v>
      </c>
    </row>
    <row r="542" spans="1:7">
      <c r="A542" t="s">
        <v>2374</v>
      </c>
      <c r="B542" t="s">
        <v>2338</v>
      </c>
      <c r="C542" t="s">
        <v>9</v>
      </c>
      <c r="D542" t="s">
        <v>3465</v>
      </c>
      <c r="E542">
        <v>2427</v>
      </c>
      <c r="F542">
        <v>314</v>
      </c>
      <c r="G542" t="s">
        <v>2375</v>
      </c>
    </row>
    <row r="543" spans="1:7">
      <c r="A543" t="s">
        <v>2376</v>
      </c>
      <c r="B543" t="s">
        <v>2338</v>
      </c>
      <c r="C543" t="s">
        <v>9</v>
      </c>
      <c r="D543" t="s">
        <v>3466</v>
      </c>
      <c r="E543">
        <v>2395</v>
      </c>
      <c r="F543">
        <v>310</v>
      </c>
      <c r="G543" t="s">
        <v>2377</v>
      </c>
    </row>
    <row r="544" spans="1:7">
      <c r="A544" t="s">
        <v>2378</v>
      </c>
      <c r="B544" t="s">
        <v>2338</v>
      </c>
      <c r="C544" t="s">
        <v>9</v>
      </c>
      <c r="D544" t="s">
        <v>3467</v>
      </c>
      <c r="E544">
        <v>2410</v>
      </c>
      <c r="F544">
        <v>310</v>
      </c>
      <c r="G544" t="s">
        <v>2379</v>
      </c>
    </row>
    <row r="545" spans="1:7">
      <c r="A545" t="s">
        <v>2380</v>
      </c>
      <c r="B545" t="s">
        <v>2338</v>
      </c>
      <c r="C545" t="s">
        <v>9</v>
      </c>
      <c r="D545" t="s">
        <v>3468</v>
      </c>
      <c r="E545">
        <v>2403</v>
      </c>
      <c r="F545">
        <v>311</v>
      </c>
      <c r="G545" t="s">
        <v>2381</v>
      </c>
    </row>
    <row r="546" spans="1:7">
      <c r="A546" t="s">
        <v>2382</v>
      </c>
      <c r="B546" t="s">
        <v>2338</v>
      </c>
      <c r="C546" t="s">
        <v>9</v>
      </c>
      <c r="D546" t="s">
        <v>3469</v>
      </c>
      <c r="E546">
        <v>2399</v>
      </c>
      <c r="F546">
        <v>314</v>
      </c>
      <c r="G546" t="s">
        <v>2383</v>
      </c>
    </row>
    <row r="547" spans="1:7">
      <c r="A547" t="s">
        <v>2384</v>
      </c>
      <c r="B547" t="s">
        <v>2338</v>
      </c>
      <c r="C547" t="s">
        <v>9</v>
      </c>
      <c r="D547" t="s">
        <v>3470</v>
      </c>
      <c r="E547">
        <v>2479</v>
      </c>
      <c r="F547">
        <v>322</v>
      </c>
      <c r="G547" t="s">
        <v>2385</v>
      </c>
    </row>
    <row r="548" spans="1:7">
      <c r="A548" t="s">
        <v>2386</v>
      </c>
      <c r="B548" t="s">
        <v>2338</v>
      </c>
      <c r="C548" t="s">
        <v>9</v>
      </c>
      <c r="D548" t="s">
        <v>3471</v>
      </c>
      <c r="E548">
        <v>2499</v>
      </c>
      <c r="F548">
        <v>323</v>
      </c>
      <c r="G548" t="s">
        <v>2387</v>
      </c>
    </row>
    <row r="549" spans="1:7">
      <c r="A549" t="s">
        <v>2388</v>
      </c>
      <c r="B549" t="s">
        <v>2338</v>
      </c>
      <c r="C549" t="s">
        <v>9</v>
      </c>
      <c r="D549" t="s">
        <v>3472</v>
      </c>
      <c r="E549">
        <v>2474</v>
      </c>
      <c r="F549">
        <v>318</v>
      </c>
      <c r="G549" t="s">
        <v>2389</v>
      </c>
    </row>
    <row r="550" spans="1:7">
      <c r="A550" t="s">
        <v>2390</v>
      </c>
      <c r="B550" t="s">
        <v>2338</v>
      </c>
      <c r="C550" t="s">
        <v>9</v>
      </c>
      <c r="D550" t="s">
        <v>3473</v>
      </c>
      <c r="E550">
        <v>2453</v>
      </c>
      <c r="F550">
        <v>315</v>
      </c>
      <c r="G550" t="s">
        <v>2391</v>
      </c>
    </row>
    <row r="551" spans="1:7">
      <c r="A551" t="s">
        <v>2392</v>
      </c>
      <c r="B551" t="s">
        <v>2338</v>
      </c>
      <c r="C551" t="s">
        <v>9</v>
      </c>
      <c r="D551" t="s">
        <v>3474</v>
      </c>
      <c r="E551">
        <v>2447</v>
      </c>
      <c r="F551">
        <v>316</v>
      </c>
      <c r="G551" t="s">
        <v>2393</v>
      </c>
    </row>
    <row r="552" spans="1:7">
      <c r="A552" t="s">
        <v>2394</v>
      </c>
      <c r="B552" t="s">
        <v>2338</v>
      </c>
      <c r="C552" t="s">
        <v>9</v>
      </c>
      <c r="D552" t="s">
        <v>3475</v>
      </c>
      <c r="E552">
        <v>2480</v>
      </c>
      <c r="F552">
        <v>320</v>
      </c>
      <c r="G552" t="s">
        <v>2395</v>
      </c>
    </row>
    <row r="553" spans="1:7">
      <c r="A553" t="s">
        <v>2396</v>
      </c>
      <c r="B553" t="s">
        <v>2338</v>
      </c>
      <c r="C553" t="s">
        <v>9</v>
      </c>
      <c r="D553" t="s">
        <v>3476</v>
      </c>
      <c r="E553">
        <v>2451</v>
      </c>
      <c r="F553">
        <v>313</v>
      </c>
      <c r="G553" t="s">
        <v>2397</v>
      </c>
    </row>
    <row r="554" spans="1:7">
      <c r="A554" t="s">
        <v>2398</v>
      </c>
      <c r="B554" t="s">
        <v>2338</v>
      </c>
      <c r="C554" t="s">
        <v>9</v>
      </c>
      <c r="D554" t="s">
        <v>3477</v>
      </c>
      <c r="E554">
        <v>2449</v>
      </c>
      <c r="F554">
        <v>314</v>
      </c>
      <c r="G554" t="s">
        <v>2399</v>
      </c>
    </row>
    <row r="555" spans="1:7">
      <c r="A555" t="s">
        <v>2400</v>
      </c>
      <c r="B555" t="s">
        <v>2338</v>
      </c>
      <c r="C555" t="s">
        <v>9</v>
      </c>
      <c r="D555" t="s">
        <v>3478</v>
      </c>
      <c r="E555">
        <v>2455</v>
      </c>
      <c r="F555">
        <v>315</v>
      </c>
      <c r="G555" t="s">
        <v>2401</v>
      </c>
    </row>
    <row r="556" spans="1:7">
      <c r="A556" t="s">
        <v>2402</v>
      </c>
      <c r="B556" t="s">
        <v>2338</v>
      </c>
      <c r="C556" t="s">
        <v>9</v>
      </c>
      <c r="D556" t="s">
        <v>3479</v>
      </c>
      <c r="E556">
        <v>2466</v>
      </c>
      <c r="F556">
        <v>316</v>
      </c>
      <c r="G556" t="s">
        <v>2403</v>
      </c>
    </row>
    <row r="557" spans="1:7">
      <c r="A557" t="s">
        <v>2404</v>
      </c>
      <c r="B557" t="s">
        <v>2338</v>
      </c>
      <c r="C557" t="s">
        <v>9</v>
      </c>
      <c r="D557" t="s">
        <v>3480</v>
      </c>
      <c r="E557">
        <v>2464</v>
      </c>
      <c r="F557">
        <v>316</v>
      </c>
      <c r="G557" t="s">
        <v>2405</v>
      </c>
    </row>
    <row r="558" spans="1:7">
      <c r="A558" t="s">
        <v>2406</v>
      </c>
      <c r="B558" t="s">
        <v>2338</v>
      </c>
      <c r="C558" t="s">
        <v>9</v>
      </c>
      <c r="D558" t="s">
        <v>3481</v>
      </c>
      <c r="E558">
        <v>2463</v>
      </c>
      <c r="F558">
        <v>320</v>
      </c>
      <c r="G558" t="s">
        <v>2407</v>
      </c>
    </row>
    <row r="559" spans="1:7">
      <c r="A559" t="s">
        <v>2408</v>
      </c>
      <c r="B559" t="s">
        <v>2338</v>
      </c>
      <c r="C559" t="s">
        <v>9</v>
      </c>
      <c r="D559" t="s">
        <v>3482</v>
      </c>
      <c r="E559">
        <v>2462</v>
      </c>
      <c r="F559">
        <v>315</v>
      </c>
      <c r="G559" t="s">
        <v>2409</v>
      </c>
    </row>
    <row r="560" spans="1:7">
      <c r="A560" t="s">
        <v>2410</v>
      </c>
      <c r="B560" t="s">
        <v>2338</v>
      </c>
      <c r="C560" t="s">
        <v>9</v>
      </c>
      <c r="D560" t="s">
        <v>3483</v>
      </c>
      <c r="E560">
        <v>2478</v>
      </c>
      <c r="F560">
        <v>317</v>
      </c>
      <c r="G560" t="s">
        <v>2411</v>
      </c>
    </row>
    <row r="561" spans="1:7">
      <c r="A561" t="s">
        <v>2412</v>
      </c>
      <c r="B561" t="s">
        <v>2338</v>
      </c>
      <c r="C561" t="s">
        <v>9</v>
      </c>
      <c r="D561" t="s">
        <v>3484</v>
      </c>
      <c r="E561">
        <v>2467</v>
      </c>
      <c r="F561">
        <v>319</v>
      </c>
      <c r="G561" t="s">
        <v>2413</v>
      </c>
    </row>
    <row r="562" spans="1:7">
      <c r="A562" t="s">
        <v>2414</v>
      </c>
      <c r="B562" t="s">
        <v>2338</v>
      </c>
      <c r="C562" t="s">
        <v>9</v>
      </c>
      <c r="D562" t="s">
        <v>3485</v>
      </c>
      <c r="E562">
        <v>2462</v>
      </c>
      <c r="F562">
        <v>316</v>
      </c>
      <c r="G562" t="s">
        <v>2415</v>
      </c>
    </row>
    <row r="563" spans="1:7">
      <c r="A563" t="s">
        <v>2416</v>
      </c>
      <c r="B563" t="s">
        <v>2338</v>
      </c>
      <c r="C563" t="s">
        <v>9</v>
      </c>
      <c r="D563" t="s">
        <v>3486</v>
      </c>
      <c r="E563">
        <v>2472</v>
      </c>
      <c r="F563">
        <v>321</v>
      </c>
      <c r="G563" t="s">
        <v>2417</v>
      </c>
    </row>
    <row r="564" spans="1:7">
      <c r="A564" t="s">
        <v>2418</v>
      </c>
      <c r="B564" t="s">
        <v>2338</v>
      </c>
      <c r="C564" t="s">
        <v>9</v>
      </c>
      <c r="D564" t="s">
        <v>3487</v>
      </c>
      <c r="E564">
        <v>2479</v>
      </c>
      <c r="F564">
        <v>321</v>
      </c>
      <c r="G564" t="s">
        <v>2419</v>
      </c>
    </row>
    <row r="565" spans="1:7">
      <c r="A565" t="s">
        <v>2420</v>
      </c>
      <c r="B565" t="s">
        <v>2338</v>
      </c>
      <c r="C565" t="s">
        <v>9</v>
      </c>
      <c r="D565" t="s">
        <v>3488</v>
      </c>
      <c r="E565">
        <v>2483</v>
      </c>
      <c r="F565">
        <v>324</v>
      </c>
      <c r="G565" t="s">
        <v>2421</v>
      </c>
    </row>
    <row r="566" spans="1:7">
      <c r="A566" t="s">
        <v>2422</v>
      </c>
      <c r="B566" t="s">
        <v>2338</v>
      </c>
      <c r="C566" t="s">
        <v>9</v>
      </c>
      <c r="D566" t="s">
        <v>3489</v>
      </c>
      <c r="E566">
        <v>2468</v>
      </c>
      <c r="F566">
        <v>315</v>
      </c>
      <c r="G566" t="s">
        <v>2423</v>
      </c>
    </row>
    <row r="567" spans="1:7">
      <c r="A567" t="s">
        <v>2424</v>
      </c>
      <c r="B567" t="s">
        <v>2338</v>
      </c>
      <c r="C567" t="s">
        <v>9</v>
      </c>
      <c r="D567" t="s">
        <v>3490</v>
      </c>
      <c r="E567">
        <v>2466</v>
      </c>
      <c r="F567">
        <v>322</v>
      </c>
      <c r="G567" t="s">
        <v>2425</v>
      </c>
    </row>
    <row r="568" spans="1:7">
      <c r="A568" t="s">
        <v>2426</v>
      </c>
      <c r="B568" t="s">
        <v>2338</v>
      </c>
      <c r="C568" t="s">
        <v>9</v>
      </c>
      <c r="D568" t="s">
        <v>3491</v>
      </c>
      <c r="E568">
        <v>2458</v>
      </c>
      <c r="F568">
        <v>319</v>
      </c>
      <c r="G568" t="s">
        <v>2427</v>
      </c>
    </row>
    <row r="569" spans="1:7">
      <c r="A569" t="s">
        <v>2428</v>
      </c>
      <c r="B569" t="s">
        <v>2338</v>
      </c>
      <c r="C569" t="s">
        <v>9</v>
      </c>
      <c r="D569" t="s">
        <v>3492</v>
      </c>
      <c r="E569">
        <v>2436</v>
      </c>
      <c r="F569">
        <v>317</v>
      </c>
      <c r="G569" t="s">
        <v>2429</v>
      </c>
    </row>
    <row r="570" spans="1:7">
      <c r="A570" t="s">
        <v>2430</v>
      </c>
      <c r="B570" t="s">
        <v>2338</v>
      </c>
      <c r="C570" t="s">
        <v>9</v>
      </c>
      <c r="D570" t="s">
        <v>3493</v>
      </c>
      <c r="E570">
        <v>2428</v>
      </c>
      <c r="F570">
        <v>318</v>
      </c>
      <c r="G570" t="s">
        <v>2431</v>
      </c>
    </row>
    <row r="571" spans="1:7">
      <c r="A571" t="s">
        <v>2432</v>
      </c>
      <c r="B571" t="s">
        <v>2338</v>
      </c>
      <c r="C571" t="s">
        <v>9</v>
      </c>
      <c r="D571" t="s">
        <v>3494</v>
      </c>
      <c r="E571">
        <v>2423</v>
      </c>
      <c r="F571">
        <v>316</v>
      </c>
      <c r="G571" t="s">
        <v>2433</v>
      </c>
    </row>
    <row r="572" spans="1:7">
      <c r="A572" t="s">
        <v>2434</v>
      </c>
      <c r="B572" t="s">
        <v>2338</v>
      </c>
      <c r="C572" t="s">
        <v>9</v>
      </c>
      <c r="D572" t="s">
        <v>3495</v>
      </c>
      <c r="E572">
        <v>2428</v>
      </c>
      <c r="F572">
        <v>317</v>
      </c>
      <c r="G572" t="s">
        <v>2435</v>
      </c>
    </row>
    <row r="573" spans="1:7">
      <c r="A573" t="s">
        <v>2436</v>
      </c>
      <c r="B573" t="s">
        <v>2338</v>
      </c>
      <c r="C573" t="s">
        <v>9</v>
      </c>
      <c r="D573" t="s">
        <v>3496</v>
      </c>
      <c r="E573">
        <v>2452</v>
      </c>
      <c r="F573">
        <v>323</v>
      </c>
      <c r="G573" t="s">
        <v>2437</v>
      </c>
    </row>
    <row r="574" spans="1:7">
      <c r="A574" t="s">
        <v>2438</v>
      </c>
      <c r="B574" t="s">
        <v>2338</v>
      </c>
      <c r="C574" t="s">
        <v>9</v>
      </c>
      <c r="D574" t="s">
        <v>3497</v>
      </c>
      <c r="E574">
        <v>2430</v>
      </c>
      <c r="F574">
        <v>318</v>
      </c>
      <c r="G574" t="s">
        <v>2439</v>
      </c>
    </row>
    <row r="575" spans="1:7">
      <c r="A575" t="s">
        <v>2440</v>
      </c>
      <c r="B575" t="s">
        <v>2338</v>
      </c>
      <c r="C575" t="s">
        <v>9</v>
      </c>
      <c r="D575" t="s">
        <v>3498</v>
      </c>
      <c r="E575">
        <v>2440</v>
      </c>
      <c r="F575">
        <v>319</v>
      </c>
      <c r="G575" t="s">
        <v>2441</v>
      </c>
    </row>
    <row r="576" spans="1:7">
      <c r="A576" t="s">
        <v>2442</v>
      </c>
      <c r="B576" t="s">
        <v>2338</v>
      </c>
      <c r="C576" t="s">
        <v>9</v>
      </c>
      <c r="D576" t="s">
        <v>3499</v>
      </c>
      <c r="E576">
        <v>2432</v>
      </c>
      <c r="F576">
        <v>317</v>
      </c>
      <c r="G576" t="s">
        <v>2443</v>
      </c>
    </row>
    <row r="577" spans="1:7">
      <c r="A577" t="s">
        <v>2444</v>
      </c>
      <c r="B577" t="s">
        <v>2338</v>
      </c>
      <c r="C577" t="s">
        <v>9</v>
      </c>
      <c r="D577" t="s">
        <v>3500</v>
      </c>
      <c r="E577">
        <v>2452</v>
      </c>
      <c r="F577">
        <v>319</v>
      </c>
      <c r="G577" t="s">
        <v>2445</v>
      </c>
    </row>
    <row r="578" spans="1:7">
      <c r="A578" t="s">
        <v>2446</v>
      </c>
      <c r="B578" t="s">
        <v>2338</v>
      </c>
      <c r="C578" t="s">
        <v>9</v>
      </c>
      <c r="D578" t="s">
        <v>3501</v>
      </c>
      <c r="E578">
        <v>2462</v>
      </c>
      <c r="F578">
        <v>322</v>
      </c>
      <c r="G578" t="s">
        <v>2447</v>
      </c>
    </row>
    <row r="579" spans="1:7">
      <c r="A579" t="s">
        <v>2448</v>
      </c>
      <c r="B579" t="s">
        <v>2338</v>
      </c>
      <c r="C579" t="s">
        <v>9</v>
      </c>
      <c r="D579" t="s">
        <v>3502</v>
      </c>
      <c r="E579">
        <v>2469</v>
      </c>
      <c r="F579">
        <v>322</v>
      </c>
      <c r="G579" t="s">
        <v>2449</v>
      </c>
    </row>
    <row r="580" spans="1:7">
      <c r="A580" t="s">
        <v>2450</v>
      </c>
      <c r="B580" t="s">
        <v>2338</v>
      </c>
      <c r="C580" t="s">
        <v>9</v>
      </c>
      <c r="D580" t="s">
        <v>3503</v>
      </c>
      <c r="E580">
        <v>2468</v>
      </c>
      <c r="F580">
        <v>318</v>
      </c>
      <c r="G580" t="s">
        <v>2451</v>
      </c>
    </row>
    <row r="581" spans="1:7">
      <c r="A581" t="s">
        <v>2452</v>
      </c>
      <c r="B581" t="s">
        <v>2338</v>
      </c>
      <c r="C581" t="s">
        <v>9</v>
      </c>
      <c r="D581" t="s">
        <v>3504</v>
      </c>
      <c r="E581">
        <v>2470</v>
      </c>
      <c r="F581">
        <v>322</v>
      </c>
      <c r="G581" t="s">
        <v>2453</v>
      </c>
    </row>
    <row r="582" spans="1:7">
      <c r="A582" t="s">
        <v>2454</v>
      </c>
      <c r="B582" t="s">
        <v>2338</v>
      </c>
      <c r="C582" t="s">
        <v>9</v>
      </c>
      <c r="D582" t="s">
        <v>3505</v>
      </c>
      <c r="E582">
        <v>2457</v>
      </c>
      <c r="F582">
        <v>316</v>
      </c>
      <c r="G582" t="s">
        <v>2455</v>
      </c>
    </row>
    <row r="583" spans="1:7">
      <c r="A583" t="s">
        <v>2456</v>
      </c>
      <c r="B583" t="s">
        <v>2338</v>
      </c>
      <c r="C583" t="s">
        <v>9</v>
      </c>
      <c r="D583" t="s">
        <v>3506</v>
      </c>
      <c r="E583">
        <v>2464</v>
      </c>
      <c r="F583">
        <v>320</v>
      </c>
      <c r="G583" t="s">
        <v>2457</v>
      </c>
    </row>
    <row r="584" spans="1:7">
      <c r="A584" t="s">
        <v>2458</v>
      </c>
      <c r="B584" t="s">
        <v>2338</v>
      </c>
      <c r="C584" t="s">
        <v>9</v>
      </c>
      <c r="D584" t="s">
        <v>3507</v>
      </c>
      <c r="E584">
        <v>2460</v>
      </c>
      <c r="F584">
        <v>319</v>
      </c>
      <c r="G584" t="s">
        <v>2459</v>
      </c>
    </row>
    <row r="585" spans="1:7">
      <c r="A585" t="s">
        <v>2460</v>
      </c>
      <c r="B585" t="s">
        <v>2338</v>
      </c>
      <c r="C585" t="s">
        <v>9</v>
      </c>
      <c r="D585" t="s">
        <v>3508</v>
      </c>
      <c r="E585">
        <v>2471</v>
      </c>
      <c r="F585">
        <v>321</v>
      </c>
      <c r="G585" t="s">
        <v>2461</v>
      </c>
    </row>
    <row r="586" spans="1:7">
      <c r="A586" t="s">
        <v>2462</v>
      </c>
      <c r="B586" t="s">
        <v>2338</v>
      </c>
      <c r="C586" t="s">
        <v>9</v>
      </c>
      <c r="D586" t="s">
        <v>3509</v>
      </c>
      <c r="E586">
        <v>2458</v>
      </c>
      <c r="F586">
        <v>320</v>
      </c>
      <c r="G586" t="s">
        <v>2463</v>
      </c>
    </row>
    <row r="587" spans="1:7">
      <c r="A587" t="s">
        <v>2464</v>
      </c>
      <c r="B587" t="s">
        <v>2338</v>
      </c>
      <c r="C587" t="s">
        <v>9</v>
      </c>
      <c r="D587" t="s">
        <v>3510</v>
      </c>
      <c r="E587">
        <v>2243</v>
      </c>
      <c r="F587">
        <v>298</v>
      </c>
      <c r="G587" t="s">
        <v>2465</v>
      </c>
    </row>
    <row r="588" spans="1:7">
      <c r="A588" t="s">
        <v>2466</v>
      </c>
      <c r="B588" t="s">
        <v>2338</v>
      </c>
      <c r="C588" t="s">
        <v>9</v>
      </c>
      <c r="D588" t="s">
        <v>3511</v>
      </c>
      <c r="E588">
        <v>2337</v>
      </c>
      <c r="F588">
        <v>307</v>
      </c>
      <c r="G588" t="s">
        <v>2467</v>
      </c>
    </row>
    <row r="589" spans="1:7">
      <c r="A589" t="s">
        <v>2468</v>
      </c>
      <c r="B589" t="s">
        <v>2338</v>
      </c>
      <c r="C589" t="s">
        <v>9</v>
      </c>
      <c r="D589" t="s">
        <v>3512</v>
      </c>
      <c r="E589">
        <v>2350</v>
      </c>
      <c r="F589">
        <v>307</v>
      </c>
      <c r="G589" t="s">
        <v>2469</v>
      </c>
    </row>
    <row r="590" spans="1:7">
      <c r="A590" t="s">
        <v>2470</v>
      </c>
      <c r="B590" t="s">
        <v>2338</v>
      </c>
      <c r="C590" t="s">
        <v>9</v>
      </c>
      <c r="D590" t="s">
        <v>3513</v>
      </c>
      <c r="E590">
        <v>2350</v>
      </c>
      <c r="F590">
        <v>305</v>
      </c>
      <c r="G590" t="s">
        <v>2471</v>
      </c>
    </row>
    <row r="591" spans="1:7">
      <c r="A591" t="s">
        <v>2472</v>
      </c>
      <c r="B591" t="s">
        <v>2338</v>
      </c>
      <c r="C591" t="s">
        <v>9</v>
      </c>
      <c r="D591" t="s">
        <v>3514</v>
      </c>
      <c r="E591">
        <v>2353</v>
      </c>
      <c r="F591">
        <v>307</v>
      </c>
      <c r="G591" t="s">
        <v>2473</v>
      </c>
    </row>
    <row r="592" spans="1:7">
      <c r="A592" t="s">
        <v>2474</v>
      </c>
      <c r="B592" t="s">
        <v>2338</v>
      </c>
      <c r="C592" t="s">
        <v>9</v>
      </c>
      <c r="D592" t="s">
        <v>3515</v>
      </c>
      <c r="E592">
        <v>2216</v>
      </c>
      <c r="F592">
        <v>299</v>
      </c>
      <c r="G592" t="s">
        <v>2475</v>
      </c>
    </row>
    <row r="593" spans="1:7">
      <c r="A593" t="s">
        <v>2476</v>
      </c>
      <c r="B593" t="s">
        <v>2338</v>
      </c>
      <c r="C593" t="s">
        <v>9</v>
      </c>
      <c r="D593" t="s">
        <v>3516</v>
      </c>
      <c r="E593">
        <v>2310</v>
      </c>
      <c r="F593">
        <v>308</v>
      </c>
      <c r="G593" t="s">
        <v>2477</v>
      </c>
    </row>
    <row r="594" spans="1:7">
      <c r="A594" t="s">
        <v>2478</v>
      </c>
      <c r="B594" t="s">
        <v>2338</v>
      </c>
      <c r="C594" t="s">
        <v>9</v>
      </c>
      <c r="D594" t="s">
        <v>3517</v>
      </c>
      <c r="E594">
        <v>2323</v>
      </c>
      <c r="F594">
        <v>308</v>
      </c>
      <c r="G594" t="s">
        <v>2479</v>
      </c>
    </row>
    <row r="595" spans="1:7">
      <c r="A595" t="s">
        <v>2480</v>
      </c>
      <c r="B595" t="s">
        <v>2338</v>
      </c>
      <c r="C595" t="s">
        <v>9</v>
      </c>
      <c r="D595" t="s">
        <v>3518</v>
      </c>
      <c r="E595">
        <v>2323</v>
      </c>
      <c r="F595">
        <v>306</v>
      </c>
      <c r="G595" t="s">
        <v>2481</v>
      </c>
    </row>
    <row r="596" spans="1:7">
      <c r="A596" t="s">
        <v>2482</v>
      </c>
      <c r="B596" t="s">
        <v>2338</v>
      </c>
      <c r="C596" t="s">
        <v>9</v>
      </c>
      <c r="D596" t="s">
        <v>3519</v>
      </c>
      <c r="E596">
        <v>2326</v>
      </c>
      <c r="F596">
        <v>308</v>
      </c>
      <c r="G596" t="s">
        <v>2483</v>
      </c>
    </row>
    <row r="597" spans="1:7">
      <c r="A597" t="s">
        <v>2484</v>
      </c>
      <c r="B597" t="s">
        <v>2338</v>
      </c>
      <c r="C597" t="s">
        <v>9</v>
      </c>
      <c r="D597" t="s">
        <v>3520</v>
      </c>
      <c r="E597">
        <v>2285</v>
      </c>
      <c r="F597">
        <v>302</v>
      </c>
      <c r="G597" t="s">
        <v>2485</v>
      </c>
    </row>
    <row r="598" spans="1:7">
      <c r="A598" t="s">
        <v>2486</v>
      </c>
      <c r="B598" t="s">
        <v>2338</v>
      </c>
      <c r="C598" t="s">
        <v>9</v>
      </c>
      <c r="D598" t="s">
        <v>3521</v>
      </c>
      <c r="E598">
        <v>2379</v>
      </c>
      <c r="F598">
        <v>311</v>
      </c>
      <c r="G598" t="s">
        <v>2487</v>
      </c>
    </row>
    <row r="599" spans="1:7">
      <c r="A599" t="s">
        <v>2488</v>
      </c>
      <c r="B599" t="s">
        <v>2338</v>
      </c>
      <c r="C599" t="s">
        <v>9</v>
      </c>
      <c r="D599" t="s">
        <v>3522</v>
      </c>
      <c r="E599">
        <v>2392</v>
      </c>
      <c r="F599">
        <v>311</v>
      </c>
      <c r="G599" t="s">
        <v>2489</v>
      </c>
    </row>
    <row r="600" spans="1:7">
      <c r="A600" t="s">
        <v>2490</v>
      </c>
      <c r="B600" t="s">
        <v>2338</v>
      </c>
      <c r="C600" t="s">
        <v>9</v>
      </c>
      <c r="D600" t="s">
        <v>3523</v>
      </c>
      <c r="E600">
        <v>2392</v>
      </c>
      <c r="F600">
        <v>309</v>
      </c>
      <c r="G600" t="s">
        <v>2491</v>
      </c>
    </row>
    <row r="601" spans="1:7">
      <c r="A601" t="s">
        <v>2492</v>
      </c>
      <c r="B601" t="s">
        <v>2338</v>
      </c>
      <c r="C601" t="s">
        <v>9</v>
      </c>
      <c r="D601" t="s">
        <v>3524</v>
      </c>
      <c r="E601">
        <v>2395</v>
      </c>
      <c r="F601">
        <v>311</v>
      </c>
      <c r="G601" t="s">
        <v>2493</v>
      </c>
    </row>
    <row r="602" spans="1:7">
      <c r="A602" t="s">
        <v>2494</v>
      </c>
      <c r="B602" t="s">
        <v>2338</v>
      </c>
      <c r="C602" t="s">
        <v>9</v>
      </c>
      <c r="D602" t="s">
        <v>3525</v>
      </c>
      <c r="E602">
        <v>2261</v>
      </c>
      <c r="F602">
        <v>301</v>
      </c>
      <c r="G602" t="s">
        <v>2495</v>
      </c>
    </row>
    <row r="603" spans="1:7">
      <c r="A603" t="s">
        <v>2496</v>
      </c>
      <c r="B603" t="s">
        <v>2338</v>
      </c>
      <c r="C603" t="s">
        <v>9</v>
      </c>
      <c r="D603" t="s">
        <v>3526</v>
      </c>
      <c r="E603">
        <v>2355</v>
      </c>
      <c r="F603">
        <v>310</v>
      </c>
      <c r="G603" t="s">
        <v>2497</v>
      </c>
    </row>
    <row r="604" spans="1:7">
      <c r="A604" t="s">
        <v>2498</v>
      </c>
      <c r="B604" t="s">
        <v>2338</v>
      </c>
      <c r="C604" t="s">
        <v>9</v>
      </c>
      <c r="D604" t="s">
        <v>3527</v>
      </c>
      <c r="E604">
        <v>2368</v>
      </c>
      <c r="F604">
        <v>310</v>
      </c>
      <c r="G604" t="s">
        <v>2499</v>
      </c>
    </row>
    <row r="605" spans="1:7">
      <c r="A605" t="s">
        <v>2500</v>
      </c>
      <c r="B605" t="s">
        <v>2338</v>
      </c>
      <c r="C605" t="s">
        <v>9</v>
      </c>
      <c r="D605" t="s">
        <v>3528</v>
      </c>
      <c r="E605">
        <v>2368</v>
      </c>
      <c r="F605">
        <v>308</v>
      </c>
      <c r="G605" t="s">
        <v>2501</v>
      </c>
    </row>
    <row r="606" spans="1:7">
      <c r="A606" t="s">
        <v>2502</v>
      </c>
      <c r="B606" t="s">
        <v>2338</v>
      </c>
      <c r="C606" t="s">
        <v>9</v>
      </c>
      <c r="D606" t="s">
        <v>3529</v>
      </c>
      <c r="E606">
        <v>2371</v>
      </c>
      <c r="F606">
        <v>310</v>
      </c>
      <c r="G606" t="s">
        <v>2503</v>
      </c>
    </row>
    <row r="607" spans="1:7">
      <c r="A607" t="s">
        <v>2504</v>
      </c>
      <c r="B607" t="s">
        <v>2338</v>
      </c>
      <c r="C607" t="s">
        <v>9</v>
      </c>
      <c r="D607" t="s">
        <v>3530</v>
      </c>
      <c r="E607">
        <v>2266</v>
      </c>
      <c r="F607">
        <v>301</v>
      </c>
      <c r="G607" t="s">
        <v>2505</v>
      </c>
    </row>
    <row r="608" spans="1:7">
      <c r="A608" t="s">
        <v>2506</v>
      </c>
      <c r="B608" t="s">
        <v>2338</v>
      </c>
      <c r="C608" t="s">
        <v>9</v>
      </c>
      <c r="D608" t="s">
        <v>3531</v>
      </c>
      <c r="E608">
        <v>2360</v>
      </c>
      <c r="F608">
        <v>310</v>
      </c>
      <c r="G608" t="s">
        <v>2507</v>
      </c>
    </row>
    <row r="609" spans="1:7">
      <c r="A609" t="s">
        <v>2508</v>
      </c>
      <c r="B609" t="s">
        <v>2338</v>
      </c>
      <c r="C609" t="s">
        <v>9</v>
      </c>
      <c r="D609" t="s">
        <v>3532</v>
      </c>
      <c r="E609">
        <v>2373</v>
      </c>
      <c r="F609">
        <v>310</v>
      </c>
      <c r="G609" t="s">
        <v>2509</v>
      </c>
    </row>
    <row r="610" spans="1:7">
      <c r="A610" t="s">
        <v>2510</v>
      </c>
      <c r="B610" t="s">
        <v>2338</v>
      </c>
      <c r="C610" t="s">
        <v>9</v>
      </c>
      <c r="D610" t="s">
        <v>3533</v>
      </c>
      <c r="E610">
        <v>2373</v>
      </c>
      <c r="F610">
        <v>308</v>
      </c>
      <c r="G610" t="s">
        <v>2511</v>
      </c>
    </row>
    <row r="611" spans="1:7">
      <c r="A611" t="s">
        <v>2512</v>
      </c>
      <c r="B611" t="s">
        <v>2338</v>
      </c>
      <c r="C611" t="s">
        <v>9</v>
      </c>
      <c r="D611" t="s">
        <v>3534</v>
      </c>
      <c r="E611">
        <v>2376</v>
      </c>
      <c r="F611">
        <v>310</v>
      </c>
      <c r="G611" t="s">
        <v>2513</v>
      </c>
    </row>
    <row r="612" spans="1:7">
      <c r="A612" t="s">
        <v>2514</v>
      </c>
      <c r="B612" t="s">
        <v>2338</v>
      </c>
      <c r="C612" t="s">
        <v>1316</v>
      </c>
      <c r="D612" t="s">
        <v>3535</v>
      </c>
      <c r="E612">
        <v>2642</v>
      </c>
      <c r="F612">
        <v>355</v>
      </c>
      <c r="G612" t="s">
        <v>2515</v>
      </c>
    </row>
    <row r="613" spans="1:7">
      <c r="A613" t="s">
        <v>2516</v>
      </c>
      <c r="B613" t="s">
        <v>2338</v>
      </c>
      <c r="C613" t="s">
        <v>1316</v>
      </c>
      <c r="D613" t="s">
        <v>3536</v>
      </c>
      <c r="E613">
        <v>2570</v>
      </c>
      <c r="F613">
        <v>345</v>
      </c>
      <c r="G613" t="s">
        <v>2517</v>
      </c>
    </row>
    <row r="614" spans="1:7">
      <c r="A614" t="s">
        <v>2518</v>
      </c>
      <c r="B614" t="s">
        <v>2338</v>
      </c>
      <c r="C614" t="s">
        <v>1316</v>
      </c>
      <c r="D614" t="s">
        <v>3537</v>
      </c>
      <c r="E614">
        <v>2578</v>
      </c>
      <c r="F614">
        <v>346</v>
      </c>
      <c r="G614" t="s">
        <v>2519</v>
      </c>
    </row>
    <row r="615" spans="1:7">
      <c r="A615" t="s">
        <v>2520</v>
      </c>
      <c r="B615" t="s">
        <v>2338</v>
      </c>
      <c r="C615" t="s">
        <v>1316</v>
      </c>
      <c r="D615" t="s">
        <v>3538</v>
      </c>
      <c r="E615">
        <v>2627</v>
      </c>
      <c r="F615">
        <v>352</v>
      </c>
      <c r="G615" t="s">
        <v>2521</v>
      </c>
    </row>
    <row r="616" spans="1:7">
      <c r="A616" t="s">
        <v>2522</v>
      </c>
      <c r="B616" t="s">
        <v>2338</v>
      </c>
      <c r="C616" t="s">
        <v>1316</v>
      </c>
      <c r="D616" t="s">
        <v>3539</v>
      </c>
      <c r="E616">
        <v>2583</v>
      </c>
      <c r="F616">
        <v>348</v>
      </c>
      <c r="G616" t="s">
        <v>2523</v>
      </c>
    </row>
    <row r="617" spans="1:7">
      <c r="A617" t="s">
        <v>2524</v>
      </c>
      <c r="B617" t="s">
        <v>2338</v>
      </c>
      <c r="C617" t="s">
        <v>1316</v>
      </c>
      <c r="D617" t="s">
        <v>3540</v>
      </c>
      <c r="E617">
        <v>2610</v>
      </c>
      <c r="F617">
        <v>352</v>
      </c>
      <c r="G617" t="s">
        <v>2525</v>
      </c>
    </row>
    <row r="618" spans="1:7">
      <c r="A618" t="s">
        <v>2526</v>
      </c>
      <c r="B618" t="s">
        <v>2338</v>
      </c>
      <c r="C618" t="s">
        <v>1316</v>
      </c>
      <c r="D618" t="s">
        <v>3541</v>
      </c>
      <c r="E618">
        <v>2595</v>
      </c>
      <c r="F618">
        <v>352</v>
      </c>
      <c r="G618" t="s">
        <v>2527</v>
      </c>
    </row>
    <row r="619" spans="1:7">
      <c r="A619" t="s">
        <v>2528</v>
      </c>
      <c r="B619" t="s">
        <v>2338</v>
      </c>
      <c r="C619" t="s">
        <v>1316</v>
      </c>
      <c r="D619" t="s">
        <v>3542</v>
      </c>
      <c r="E619">
        <v>2588</v>
      </c>
      <c r="F619">
        <v>346</v>
      </c>
      <c r="G619" t="s">
        <v>2529</v>
      </c>
    </row>
    <row r="620" spans="1:7">
      <c r="A620" t="s">
        <v>2530</v>
      </c>
      <c r="B620" t="s">
        <v>2338</v>
      </c>
      <c r="C620" t="s">
        <v>1316</v>
      </c>
      <c r="D620" t="s">
        <v>3543</v>
      </c>
      <c r="E620">
        <v>2549</v>
      </c>
      <c r="F620">
        <v>343</v>
      </c>
      <c r="G620" t="s">
        <v>2531</v>
      </c>
    </row>
    <row r="621" spans="1:7">
      <c r="A621" t="s">
        <v>2532</v>
      </c>
      <c r="B621" t="s">
        <v>2338</v>
      </c>
      <c r="C621" t="s">
        <v>1316</v>
      </c>
      <c r="D621" t="s">
        <v>3544</v>
      </c>
      <c r="E621">
        <v>2592</v>
      </c>
      <c r="F621">
        <v>350</v>
      </c>
      <c r="G621" t="s">
        <v>2533</v>
      </c>
    </row>
    <row r="622" spans="1:7">
      <c r="A622" t="s">
        <v>2534</v>
      </c>
      <c r="B622" t="s">
        <v>2338</v>
      </c>
      <c r="C622" t="s">
        <v>1316</v>
      </c>
      <c r="D622" t="s">
        <v>3545</v>
      </c>
      <c r="E622">
        <v>2597</v>
      </c>
      <c r="F622">
        <v>350</v>
      </c>
      <c r="G622" t="s">
        <v>2535</v>
      </c>
    </row>
    <row r="623" spans="1:7">
      <c r="A623" t="s">
        <v>2536</v>
      </c>
      <c r="B623" t="s">
        <v>2338</v>
      </c>
      <c r="C623" t="s">
        <v>1316</v>
      </c>
      <c r="D623" t="s">
        <v>3546</v>
      </c>
      <c r="E623">
        <v>2592</v>
      </c>
      <c r="F623">
        <v>348</v>
      </c>
      <c r="G623" t="s">
        <v>2537</v>
      </c>
    </row>
    <row r="624" spans="1:7">
      <c r="A624" t="s">
        <v>2538</v>
      </c>
      <c r="B624" t="s">
        <v>2338</v>
      </c>
      <c r="C624" t="s">
        <v>1316</v>
      </c>
      <c r="D624" t="s">
        <v>3547</v>
      </c>
      <c r="E624">
        <v>2594</v>
      </c>
      <c r="F624">
        <v>349</v>
      </c>
      <c r="G624" t="s">
        <v>2539</v>
      </c>
    </row>
    <row r="625" spans="1:7">
      <c r="A625" t="s">
        <v>2540</v>
      </c>
      <c r="B625" t="s">
        <v>2338</v>
      </c>
      <c r="C625" t="s">
        <v>1316</v>
      </c>
      <c r="D625" t="s">
        <v>3548</v>
      </c>
      <c r="E625">
        <v>2554</v>
      </c>
      <c r="F625">
        <v>346</v>
      </c>
      <c r="G625" t="s">
        <v>2541</v>
      </c>
    </row>
    <row r="626" spans="1:7">
      <c r="A626" t="s">
        <v>2542</v>
      </c>
      <c r="B626" t="s">
        <v>2338</v>
      </c>
      <c r="C626" t="s">
        <v>1316</v>
      </c>
      <c r="D626" t="s">
        <v>3549</v>
      </c>
      <c r="E626">
        <v>2626</v>
      </c>
      <c r="F626">
        <v>352</v>
      </c>
      <c r="G626" t="s">
        <v>2543</v>
      </c>
    </row>
    <row r="627" spans="1:7">
      <c r="A627" t="s">
        <v>2544</v>
      </c>
      <c r="B627" t="s">
        <v>2338</v>
      </c>
      <c r="C627" t="s">
        <v>1316</v>
      </c>
      <c r="D627" t="s">
        <v>3550</v>
      </c>
      <c r="E627">
        <v>2591</v>
      </c>
      <c r="F627">
        <v>348</v>
      </c>
      <c r="G627" t="s">
        <v>2545</v>
      </c>
    </row>
    <row r="628" spans="1:7">
      <c r="A628" t="s">
        <v>2546</v>
      </c>
      <c r="B628" t="s">
        <v>2338</v>
      </c>
      <c r="C628" t="s">
        <v>1316</v>
      </c>
      <c r="D628" t="s">
        <v>3551</v>
      </c>
      <c r="E628">
        <v>2546</v>
      </c>
      <c r="F628">
        <v>343</v>
      </c>
      <c r="G628" t="s">
        <v>2547</v>
      </c>
    </row>
    <row r="629" spans="1:7">
      <c r="A629" t="s">
        <v>2548</v>
      </c>
      <c r="B629" t="s">
        <v>2338</v>
      </c>
      <c r="C629" t="s">
        <v>1316</v>
      </c>
      <c r="D629" t="s">
        <v>3552</v>
      </c>
      <c r="E629">
        <v>2572</v>
      </c>
      <c r="F629">
        <v>344</v>
      </c>
      <c r="G629" t="s">
        <v>2549</v>
      </c>
    </row>
    <row r="630" spans="1:7">
      <c r="A630" t="s">
        <v>2550</v>
      </c>
      <c r="B630" t="s">
        <v>2338</v>
      </c>
      <c r="C630" t="s">
        <v>1316</v>
      </c>
      <c r="D630" t="s">
        <v>3553</v>
      </c>
      <c r="E630">
        <v>2562</v>
      </c>
      <c r="F630">
        <v>344</v>
      </c>
      <c r="G630" t="s">
        <v>2551</v>
      </c>
    </row>
    <row r="631" spans="1:7">
      <c r="A631" t="s">
        <v>2552</v>
      </c>
      <c r="B631" t="s">
        <v>2338</v>
      </c>
      <c r="C631" t="s">
        <v>1316</v>
      </c>
      <c r="D631" t="s">
        <v>3554</v>
      </c>
      <c r="E631">
        <v>2593</v>
      </c>
      <c r="F631">
        <v>351</v>
      </c>
      <c r="G631" t="s">
        <v>2553</v>
      </c>
    </row>
    <row r="632" spans="1:7">
      <c r="A632" t="s">
        <v>2554</v>
      </c>
      <c r="B632" t="s">
        <v>2338</v>
      </c>
      <c r="C632" t="s">
        <v>1316</v>
      </c>
      <c r="D632" t="s">
        <v>3555</v>
      </c>
      <c r="E632">
        <v>2669</v>
      </c>
      <c r="F632">
        <v>357</v>
      </c>
      <c r="G632" t="s">
        <v>2555</v>
      </c>
    </row>
    <row r="633" spans="1:7">
      <c r="A633" t="s">
        <v>2556</v>
      </c>
      <c r="B633" t="s">
        <v>2338</v>
      </c>
      <c r="C633" t="s">
        <v>1316</v>
      </c>
      <c r="D633" t="s">
        <v>3556</v>
      </c>
      <c r="E633">
        <v>2679</v>
      </c>
      <c r="F633">
        <v>356</v>
      </c>
      <c r="G633" t="s">
        <v>2557</v>
      </c>
    </row>
    <row r="634" spans="1:7">
      <c r="A634" t="s">
        <v>2558</v>
      </c>
      <c r="B634" t="s">
        <v>2338</v>
      </c>
      <c r="C634" t="s">
        <v>1316</v>
      </c>
      <c r="D634" t="s">
        <v>3557</v>
      </c>
      <c r="E634">
        <v>2640</v>
      </c>
      <c r="F634">
        <v>350</v>
      </c>
      <c r="G634" t="s">
        <v>2559</v>
      </c>
    </row>
    <row r="635" spans="1:7">
      <c r="A635" t="s">
        <v>2560</v>
      </c>
      <c r="B635" t="s">
        <v>2338</v>
      </c>
      <c r="C635" t="s">
        <v>1316</v>
      </c>
      <c r="D635" t="s">
        <v>3558</v>
      </c>
      <c r="E635">
        <v>2649</v>
      </c>
      <c r="F635">
        <v>350</v>
      </c>
      <c r="G635" t="s">
        <v>2561</v>
      </c>
    </row>
    <row r="636" spans="1:7">
      <c r="A636" t="s">
        <v>2562</v>
      </c>
      <c r="B636" t="s">
        <v>2338</v>
      </c>
      <c r="C636" t="s">
        <v>1316</v>
      </c>
      <c r="D636" t="s">
        <v>3559</v>
      </c>
      <c r="E636">
        <v>2643</v>
      </c>
      <c r="F636">
        <v>351</v>
      </c>
      <c r="G636" t="s">
        <v>2563</v>
      </c>
    </row>
    <row r="637" spans="1:7">
      <c r="A637" t="s">
        <v>2564</v>
      </c>
      <c r="B637" t="s">
        <v>2338</v>
      </c>
      <c r="C637" t="s">
        <v>1316</v>
      </c>
      <c r="D637" t="s">
        <v>3560</v>
      </c>
      <c r="E637">
        <v>2691</v>
      </c>
      <c r="F637">
        <v>357</v>
      </c>
      <c r="G637" t="s">
        <v>2565</v>
      </c>
    </row>
    <row r="638" spans="1:7">
      <c r="A638" t="s">
        <v>2566</v>
      </c>
      <c r="B638" t="s">
        <v>2338</v>
      </c>
      <c r="C638" t="s">
        <v>1316</v>
      </c>
      <c r="D638" t="s">
        <v>3561</v>
      </c>
      <c r="E638">
        <v>2604</v>
      </c>
      <c r="F638">
        <v>344</v>
      </c>
      <c r="G638" t="s">
        <v>2567</v>
      </c>
    </row>
    <row r="639" spans="1:7">
      <c r="A639" t="s">
        <v>2568</v>
      </c>
      <c r="B639" t="s">
        <v>2338</v>
      </c>
      <c r="C639" t="s">
        <v>1316</v>
      </c>
      <c r="D639" t="s">
        <v>3562</v>
      </c>
      <c r="E639">
        <v>2660</v>
      </c>
      <c r="F639">
        <v>351</v>
      </c>
      <c r="G639" t="s">
        <v>2569</v>
      </c>
    </row>
    <row r="640" spans="1:7">
      <c r="A640" t="s">
        <v>2570</v>
      </c>
      <c r="B640" t="s">
        <v>2338</v>
      </c>
      <c r="C640" t="s">
        <v>1316</v>
      </c>
      <c r="D640" t="s">
        <v>3563</v>
      </c>
      <c r="E640">
        <v>2616</v>
      </c>
      <c r="F640">
        <v>346</v>
      </c>
      <c r="G640" t="s">
        <v>2571</v>
      </c>
    </row>
    <row r="641" spans="1:7">
      <c r="A641" t="s">
        <v>2572</v>
      </c>
      <c r="B641" t="s">
        <v>2338</v>
      </c>
      <c r="C641" t="s">
        <v>1316</v>
      </c>
      <c r="D641" t="s">
        <v>3564</v>
      </c>
      <c r="E641">
        <v>2631</v>
      </c>
      <c r="F641">
        <v>348</v>
      </c>
      <c r="G641" t="s">
        <v>2573</v>
      </c>
    </row>
    <row r="642" spans="1:7">
      <c r="A642" t="s">
        <v>2574</v>
      </c>
      <c r="B642" t="s">
        <v>2338</v>
      </c>
      <c r="C642" t="s">
        <v>1316</v>
      </c>
      <c r="D642" t="s">
        <v>3565</v>
      </c>
      <c r="E642">
        <v>2624</v>
      </c>
      <c r="F642">
        <v>347</v>
      </c>
      <c r="G642" t="s">
        <v>2575</v>
      </c>
    </row>
    <row r="643" spans="1:7">
      <c r="A643" t="s">
        <v>2576</v>
      </c>
      <c r="B643" t="s">
        <v>2338</v>
      </c>
      <c r="C643" t="s">
        <v>1316</v>
      </c>
      <c r="D643" t="s">
        <v>3566</v>
      </c>
      <c r="E643">
        <v>2692</v>
      </c>
      <c r="F643">
        <v>358</v>
      </c>
      <c r="G643" t="s">
        <v>2577</v>
      </c>
    </row>
    <row r="644" spans="1:7">
      <c r="A644" t="s">
        <v>2578</v>
      </c>
      <c r="B644" t="s">
        <v>2338</v>
      </c>
      <c r="C644" t="s">
        <v>1316</v>
      </c>
      <c r="D644" t="s">
        <v>3567</v>
      </c>
      <c r="E644">
        <v>2673</v>
      </c>
      <c r="F644">
        <v>352</v>
      </c>
      <c r="G644" t="s">
        <v>2579</v>
      </c>
    </row>
    <row r="645" spans="1:7">
      <c r="A645" t="s">
        <v>2580</v>
      </c>
      <c r="B645" t="s">
        <v>2338</v>
      </c>
      <c r="C645" t="s">
        <v>1316</v>
      </c>
      <c r="D645" t="s">
        <v>3568</v>
      </c>
      <c r="E645">
        <v>2675</v>
      </c>
      <c r="F645">
        <v>351</v>
      </c>
      <c r="G645" t="s">
        <v>2581</v>
      </c>
    </row>
    <row r="646" spans="1:7">
      <c r="A646" t="s">
        <v>2582</v>
      </c>
      <c r="B646" t="s">
        <v>2338</v>
      </c>
      <c r="C646" t="s">
        <v>1316</v>
      </c>
      <c r="D646" t="s">
        <v>3569</v>
      </c>
      <c r="E646">
        <v>2658</v>
      </c>
      <c r="F646">
        <v>354</v>
      </c>
      <c r="G646" t="s">
        <v>2583</v>
      </c>
    </row>
    <row r="647" spans="1:7">
      <c r="A647" t="s">
        <v>2584</v>
      </c>
      <c r="B647" t="s">
        <v>2338</v>
      </c>
      <c r="C647" t="s">
        <v>1316</v>
      </c>
      <c r="D647" t="s">
        <v>3570</v>
      </c>
      <c r="E647">
        <v>2653</v>
      </c>
      <c r="F647">
        <v>351</v>
      </c>
      <c r="G647" t="s">
        <v>2585</v>
      </c>
    </row>
    <row r="648" spans="1:7">
      <c r="A648" t="s">
        <v>2586</v>
      </c>
      <c r="B648" t="s">
        <v>2338</v>
      </c>
      <c r="C648" t="s">
        <v>1316</v>
      </c>
      <c r="D648" t="s">
        <v>3571</v>
      </c>
      <c r="E648">
        <v>2672</v>
      </c>
      <c r="F648">
        <v>357</v>
      </c>
      <c r="G648" t="s">
        <v>2587</v>
      </c>
    </row>
    <row r="649" spans="1:7">
      <c r="A649" t="s">
        <v>2588</v>
      </c>
      <c r="B649" t="s">
        <v>2338</v>
      </c>
      <c r="C649" t="s">
        <v>1316</v>
      </c>
      <c r="D649" t="s">
        <v>3572</v>
      </c>
      <c r="E649">
        <v>2679</v>
      </c>
      <c r="F649">
        <v>357</v>
      </c>
      <c r="G649" t="s">
        <v>2589</v>
      </c>
    </row>
    <row r="650" spans="1:7">
      <c r="A650" t="s">
        <v>2590</v>
      </c>
      <c r="B650" t="s">
        <v>2338</v>
      </c>
      <c r="C650" t="s">
        <v>1316</v>
      </c>
      <c r="D650" t="s">
        <v>3573</v>
      </c>
      <c r="E650">
        <v>2655</v>
      </c>
      <c r="F650">
        <v>357</v>
      </c>
      <c r="G650" t="s">
        <v>2591</v>
      </c>
    </row>
    <row r="651" spans="1:7">
      <c r="A651" t="s">
        <v>2592</v>
      </c>
      <c r="B651" t="s">
        <v>2338</v>
      </c>
      <c r="C651" t="s">
        <v>1316</v>
      </c>
      <c r="D651" t="s">
        <v>3574</v>
      </c>
      <c r="E651">
        <v>2634</v>
      </c>
      <c r="F651">
        <v>347</v>
      </c>
      <c r="G651" t="s">
        <v>2593</v>
      </c>
    </row>
    <row r="652" spans="1:7">
      <c r="A652" t="s">
        <v>2594</v>
      </c>
      <c r="B652" t="s">
        <v>2338</v>
      </c>
      <c r="C652" t="s">
        <v>1316</v>
      </c>
      <c r="D652" t="s">
        <v>3575</v>
      </c>
      <c r="E652">
        <v>2624</v>
      </c>
      <c r="F652">
        <v>354</v>
      </c>
      <c r="G652" t="s">
        <v>2595</v>
      </c>
    </row>
    <row r="653" spans="1:7">
      <c r="A653" t="s">
        <v>2596</v>
      </c>
      <c r="B653" t="s">
        <v>2338</v>
      </c>
      <c r="C653" t="s">
        <v>1316</v>
      </c>
      <c r="D653" t="s">
        <v>3576</v>
      </c>
      <c r="E653">
        <v>2617</v>
      </c>
      <c r="F653">
        <v>351</v>
      </c>
      <c r="G653" t="s">
        <v>2597</v>
      </c>
    </row>
    <row r="654" spans="1:7">
      <c r="A654" t="s">
        <v>2598</v>
      </c>
      <c r="B654" t="s">
        <v>2338</v>
      </c>
      <c r="C654" t="s">
        <v>1316</v>
      </c>
      <c r="D654" t="s">
        <v>3577</v>
      </c>
      <c r="E654">
        <v>2589</v>
      </c>
      <c r="F654">
        <v>348</v>
      </c>
      <c r="G654" t="s">
        <v>2599</v>
      </c>
    </row>
    <row r="655" spans="1:7">
      <c r="A655" t="s">
        <v>2600</v>
      </c>
      <c r="B655" t="s">
        <v>2338</v>
      </c>
      <c r="C655" t="s">
        <v>1316</v>
      </c>
      <c r="D655" t="s">
        <v>3578</v>
      </c>
      <c r="E655">
        <v>2617</v>
      </c>
      <c r="F655">
        <v>353</v>
      </c>
      <c r="G655" t="s">
        <v>2601</v>
      </c>
    </row>
    <row r="656" spans="1:7">
      <c r="A656" t="s">
        <v>2602</v>
      </c>
      <c r="B656" t="s">
        <v>2338</v>
      </c>
      <c r="C656" t="s">
        <v>1316</v>
      </c>
      <c r="D656" t="s">
        <v>3579</v>
      </c>
      <c r="E656">
        <v>2611</v>
      </c>
      <c r="F656">
        <v>351</v>
      </c>
      <c r="G656" t="s">
        <v>2603</v>
      </c>
    </row>
    <row r="657" spans="1:7">
      <c r="A657" t="s">
        <v>2604</v>
      </c>
      <c r="B657" t="s">
        <v>2338</v>
      </c>
      <c r="C657" t="s">
        <v>1316</v>
      </c>
      <c r="D657" t="s">
        <v>3580</v>
      </c>
      <c r="E657">
        <v>2635</v>
      </c>
      <c r="F657">
        <v>353</v>
      </c>
      <c r="G657" t="s">
        <v>2605</v>
      </c>
    </row>
    <row r="658" spans="1:7">
      <c r="A658" t="s">
        <v>2606</v>
      </c>
      <c r="B658" t="s">
        <v>2338</v>
      </c>
      <c r="C658" t="s">
        <v>1316</v>
      </c>
      <c r="D658" t="s">
        <v>3581</v>
      </c>
      <c r="E658">
        <v>2635</v>
      </c>
      <c r="F658">
        <v>358</v>
      </c>
      <c r="G658" t="s">
        <v>2607</v>
      </c>
    </row>
    <row r="659" spans="1:7">
      <c r="A659" t="s">
        <v>2608</v>
      </c>
      <c r="B659" t="s">
        <v>2338</v>
      </c>
      <c r="C659" t="s">
        <v>1316</v>
      </c>
      <c r="D659" t="s">
        <v>3582</v>
      </c>
      <c r="E659">
        <v>2631</v>
      </c>
      <c r="F659">
        <v>354</v>
      </c>
      <c r="G659" t="s">
        <v>2609</v>
      </c>
    </row>
    <row r="660" spans="1:7">
      <c r="A660" t="s">
        <v>2610</v>
      </c>
      <c r="B660" t="s">
        <v>2338</v>
      </c>
      <c r="C660" t="s">
        <v>1316</v>
      </c>
      <c r="D660" t="s">
        <v>3583</v>
      </c>
      <c r="E660">
        <v>2624</v>
      </c>
      <c r="F660">
        <v>354</v>
      </c>
      <c r="G660" t="s">
        <v>2611</v>
      </c>
    </row>
    <row r="661" spans="1:7">
      <c r="A661" t="s">
        <v>2612</v>
      </c>
      <c r="B661" t="s">
        <v>2338</v>
      </c>
      <c r="C661" t="s">
        <v>1316</v>
      </c>
      <c r="D661" t="s">
        <v>3584</v>
      </c>
      <c r="E661">
        <v>2616</v>
      </c>
      <c r="F661">
        <v>352</v>
      </c>
      <c r="G661" t="s">
        <v>2613</v>
      </c>
    </row>
    <row r="662" spans="1:7">
      <c r="A662" t="s">
        <v>2614</v>
      </c>
      <c r="B662" t="s">
        <v>2338</v>
      </c>
      <c r="C662" t="s">
        <v>1316</v>
      </c>
      <c r="D662" t="s">
        <v>3585</v>
      </c>
      <c r="E662">
        <v>2610</v>
      </c>
      <c r="F662">
        <v>351</v>
      </c>
      <c r="G662" t="s">
        <v>2615</v>
      </c>
    </row>
    <row r="663" spans="1:7">
      <c r="A663" t="s">
        <v>2616</v>
      </c>
      <c r="B663" t="s">
        <v>2338</v>
      </c>
      <c r="C663" t="s">
        <v>1316</v>
      </c>
      <c r="D663" t="s">
        <v>3586</v>
      </c>
      <c r="E663">
        <v>2619</v>
      </c>
      <c r="F663">
        <v>354</v>
      </c>
      <c r="G663" t="s">
        <v>2617</v>
      </c>
    </row>
    <row r="664" spans="1:7">
      <c r="A664" t="s">
        <v>2618</v>
      </c>
      <c r="B664" t="s">
        <v>2338</v>
      </c>
      <c r="C664" t="s">
        <v>1316</v>
      </c>
      <c r="D664" t="s">
        <v>3587</v>
      </c>
      <c r="E664">
        <v>2642</v>
      </c>
      <c r="F664">
        <v>355</v>
      </c>
      <c r="G664" t="s">
        <v>2619</v>
      </c>
    </row>
    <row r="665" spans="1:7">
      <c r="A665" t="s">
        <v>2620</v>
      </c>
      <c r="B665" t="s">
        <v>2338</v>
      </c>
      <c r="C665" t="s">
        <v>1316</v>
      </c>
      <c r="D665" t="s">
        <v>3588</v>
      </c>
      <c r="E665">
        <v>2621</v>
      </c>
      <c r="F665">
        <v>349</v>
      </c>
      <c r="G665" t="s">
        <v>2621</v>
      </c>
    </row>
    <row r="666" spans="1:7">
      <c r="A666" t="s">
        <v>2622</v>
      </c>
      <c r="B666" t="s">
        <v>2338</v>
      </c>
      <c r="C666" t="s">
        <v>1316</v>
      </c>
      <c r="D666" t="s">
        <v>3589</v>
      </c>
      <c r="E666">
        <v>2660</v>
      </c>
      <c r="F666">
        <v>356</v>
      </c>
      <c r="G666" t="s">
        <v>2623</v>
      </c>
    </row>
    <row r="667" spans="1:7">
      <c r="A667" t="s">
        <v>2624</v>
      </c>
      <c r="B667" t="s">
        <v>2338</v>
      </c>
      <c r="C667" t="s">
        <v>1316</v>
      </c>
      <c r="D667" t="s">
        <v>3590</v>
      </c>
      <c r="E667">
        <v>2616</v>
      </c>
      <c r="F667">
        <v>348</v>
      </c>
      <c r="G667" t="s">
        <v>2625</v>
      </c>
    </row>
    <row r="668" spans="1:7">
      <c r="A668" t="s">
        <v>2626</v>
      </c>
      <c r="B668" t="s">
        <v>2338</v>
      </c>
      <c r="C668" t="s">
        <v>1316</v>
      </c>
      <c r="D668" t="s">
        <v>3591</v>
      </c>
      <c r="E668">
        <v>2637</v>
      </c>
      <c r="F668">
        <v>353</v>
      </c>
      <c r="G668" t="s">
        <v>2627</v>
      </c>
    </row>
    <row r="669" spans="1:7">
      <c r="A669" t="s">
        <v>2628</v>
      </c>
      <c r="B669" t="s">
        <v>2338</v>
      </c>
      <c r="C669" t="s">
        <v>1316</v>
      </c>
      <c r="D669" t="s">
        <v>3592</v>
      </c>
      <c r="E669">
        <v>2614</v>
      </c>
      <c r="F669">
        <v>350</v>
      </c>
      <c r="G669" t="s">
        <v>2629</v>
      </c>
    </row>
    <row r="670" spans="1:7">
      <c r="A670" t="s">
        <v>2630</v>
      </c>
      <c r="B670" t="s">
        <v>2338</v>
      </c>
      <c r="C670" t="s">
        <v>1316</v>
      </c>
      <c r="D670" t="s">
        <v>3593</v>
      </c>
      <c r="E670">
        <v>2617</v>
      </c>
      <c r="F670">
        <v>352</v>
      </c>
      <c r="G670" t="s">
        <v>2631</v>
      </c>
    </row>
    <row r="671" spans="1:7">
      <c r="A671" t="s">
        <v>2632</v>
      </c>
      <c r="B671" t="s">
        <v>2338</v>
      </c>
      <c r="C671" t="s">
        <v>1316</v>
      </c>
      <c r="D671" t="s">
        <v>3594</v>
      </c>
      <c r="E671">
        <v>2603</v>
      </c>
      <c r="F671">
        <v>351</v>
      </c>
      <c r="G671" t="s">
        <v>2633</v>
      </c>
    </row>
    <row r="672" spans="1:7">
      <c r="A672" t="s">
        <v>2634</v>
      </c>
      <c r="B672" t="s">
        <v>2338</v>
      </c>
      <c r="C672" t="s">
        <v>1316</v>
      </c>
      <c r="D672" t="s">
        <v>3595</v>
      </c>
      <c r="E672">
        <v>2632</v>
      </c>
      <c r="F672">
        <v>358</v>
      </c>
      <c r="G672" t="s">
        <v>2635</v>
      </c>
    </row>
    <row r="673" spans="1:7">
      <c r="A673" t="s">
        <v>2636</v>
      </c>
      <c r="B673" t="s">
        <v>2338</v>
      </c>
      <c r="C673" t="s">
        <v>1316</v>
      </c>
      <c r="D673" t="s">
        <v>3596</v>
      </c>
      <c r="E673">
        <v>2714</v>
      </c>
      <c r="F673">
        <v>364</v>
      </c>
      <c r="G673" t="s">
        <v>2637</v>
      </c>
    </row>
    <row r="674" spans="1:7">
      <c r="A674" t="s">
        <v>2638</v>
      </c>
      <c r="B674" t="s">
        <v>2338</v>
      </c>
      <c r="C674" t="s">
        <v>1316</v>
      </c>
      <c r="D674" t="s">
        <v>3597</v>
      </c>
      <c r="E674">
        <v>2716</v>
      </c>
      <c r="F674">
        <v>363</v>
      </c>
      <c r="G674" t="s">
        <v>2639</v>
      </c>
    </row>
    <row r="675" spans="1:7">
      <c r="A675" t="s">
        <v>2640</v>
      </c>
      <c r="B675" t="s">
        <v>2338</v>
      </c>
      <c r="C675" t="s">
        <v>1316</v>
      </c>
      <c r="D675" t="s">
        <v>3598</v>
      </c>
      <c r="E675">
        <v>2736</v>
      </c>
      <c r="F675">
        <v>361</v>
      </c>
      <c r="G675" t="s">
        <v>2641</v>
      </c>
    </row>
    <row r="676" spans="1:7">
      <c r="A676" t="s">
        <v>2642</v>
      </c>
      <c r="B676" t="s">
        <v>2338</v>
      </c>
      <c r="C676" t="s">
        <v>1316</v>
      </c>
      <c r="D676" t="s">
        <v>3599</v>
      </c>
      <c r="E676">
        <v>2750</v>
      </c>
      <c r="F676">
        <v>366</v>
      </c>
      <c r="G676" t="s">
        <v>2643</v>
      </c>
    </row>
    <row r="677" spans="1:7">
      <c r="A677" t="s">
        <v>2644</v>
      </c>
      <c r="B677" t="s">
        <v>2338</v>
      </c>
      <c r="C677" t="s">
        <v>1316</v>
      </c>
      <c r="D677" t="s">
        <v>3600</v>
      </c>
      <c r="E677">
        <v>2609</v>
      </c>
      <c r="F677">
        <v>359</v>
      </c>
      <c r="G677" t="s">
        <v>2645</v>
      </c>
    </row>
    <row r="678" spans="1:7">
      <c r="A678" t="s">
        <v>2646</v>
      </c>
      <c r="B678" t="s">
        <v>2338</v>
      </c>
      <c r="C678" t="s">
        <v>1316</v>
      </c>
      <c r="D678" t="s">
        <v>3601</v>
      </c>
      <c r="E678">
        <v>2691</v>
      </c>
      <c r="F678">
        <v>365</v>
      </c>
      <c r="G678" t="s">
        <v>2647</v>
      </c>
    </row>
    <row r="679" spans="1:7">
      <c r="A679" t="s">
        <v>2648</v>
      </c>
      <c r="B679" t="s">
        <v>2338</v>
      </c>
      <c r="C679" t="s">
        <v>1316</v>
      </c>
      <c r="D679" t="s">
        <v>3602</v>
      </c>
      <c r="E679">
        <v>2693</v>
      </c>
      <c r="F679">
        <v>364</v>
      </c>
      <c r="G679" t="s">
        <v>2649</v>
      </c>
    </row>
    <row r="680" spans="1:7">
      <c r="A680" t="s">
        <v>2650</v>
      </c>
      <c r="B680" t="s">
        <v>2338</v>
      </c>
      <c r="C680" t="s">
        <v>1316</v>
      </c>
      <c r="D680" t="s">
        <v>3603</v>
      </c>
      <c r="E680">
        <v>2713</v>
      </c>
      <c r="F680">
        <v>362</v>
      </c>
      <c r="G680" t="s">
        <v>2651</v>
      </c>
    </row>
    <row r="681" spans="1:7">
      <c r="A681" t="s">
        <v>2652</v>
      </c>
      <c r="B681" t="s">
        <v>2338</v>
      </c>
      <c r="C681" t="s">
        <v>1316</v>
      </c>
      <c r="D681" t="s">
        <v>3604</v>
      </c>
      <c r="E681">
        <v>2727</v>
      </c>
      <c r="F681">
        <v>367</v>
      </c>
      <c r="G681" t="s">
        <v>2653</v>
      </c>
    </row>
    <row r="682" spans="1:7">
      <c r="A682" t="s">
        <v>2654</v>
      </c>
      <c r="B682" t="s">
        <v>2338</v>
      </c>
      <c r="C682" t="s">
        <v>1316</v>
      </c>
      <c r="D682" t="s">
        <v>3605</v>
      </c>
      <c r="E682">
        <v>2666</v>
      </c>
      <c r="F682">
        <v>361</v>
      </c>
      <c r="G682" t="s">
        <v>2655</v>
      </c>
    </row>
    <row r="683" spans="1:7">
      <c r="A683" t="s">
        <v>2656</v>
      </c>
      <c r="B683" t="s">
        <v>2338</v>
      </c>
      <c r="C683" t="s">
        <v>1316</v>
      </c>
      <c r="D683" t="s">
        <v>3606</v>
      </c>
      <c r="E683">
        <v>2748</v>
      </c>
      <c r="F683">
        <v>367</v>
      </c>
      <c r="G683" t="s">
        <v>2657</v>
      </c>
    </row>
    <row r="684" spans="1:7">
      <c r="A684" t="s">
        <v>2658</v>
      </c>
      <c r="B684" t="s">
        <v>2338</v>
      </c>
      <c r="C684" t="s">
        <v>1316</v>
      </c>
      <c r="D684" t="s">
        <v>3607</v>
      </c>
      <c r="E684">
        <v>2750</v>
      </c>
      <c r="F684">
        <v>366</v>
      </c>
      <c r="G684" t="s">
        <v>2659</v>
      </c>
    </row>
    <row r="685" spans="1:7">
      <c r="A685" t="s">
        <v>2660</v>
      </c>
      <c r="B685" t="s">
        <v>2338</v>
      </c>
      <c r="C685" t="s">
        <v>1316</v>
      </c>
      <c r="D685" t="s">
        <v>3608</v>
      </c>
      <c r="E685">
        <v>2770</v>
      </c>
      <c r="F685">
        <v>364</v>
      </c>
      <c r="G685" t="s">
        <v>2661</v>
      </c>
    </row>
    <row r="686" spans="1:7">
      <c r="A686" t="s">
        <v>2662</v>
      </c>
      <c r="B686" t="s">
        <v>2338</v>
      </c>
      <c r="C686" t="s">
        <v>1316</v>
      </c>
      <c r="D686" t="s">
        <v>3609</v>
      </c>
      <c r="E686">
        <v>2784</v>
      </c>
      <c r="F686">
        <v>369</v>
      </c>
      <c r="G686" t="s">
        <v>2663</v>
      </c>
    </row>
    <row r="687" spans="1:7">
      <c r="A687" t="s">
        <v>2664</v>
      </c>
      <c r="B687" t="s">
        <v>2338</v>
      </c>
      <c r="C687" t="s">
        <v>1316</v>
      </c>
      <c r="D687" t="s">
        <v>3610</v>
      </c>
      <c r="E687">
        <v>2635</v>
      </c>
      <c r="F687">
        <v>359</v>
      </c>
      <c r="G687" t="s">
        <v>2665</v>
      </c>
    </row>
    <row r="688" spans="1:7">
      <c r="A688" t="s">
        <v>2666</v>
      </c>
      <c r="B688" t="s">
        <v>2338</v>
      </c>
      <c r="C688" t="s">
        <v>1316</v>
      </c>
      <c r="D688" t="s">
        <v>3611</v>
      </c>
      <c r="E688">
        <v>2717</v>
      </c>
      <c r="F688">
        <v>365</v>
      </c>
      <c r="G688" t="s">
        <v>2667</v>
      </c>
    </row>
    <row r="689" spans="1:7">
      <c r="A689" t="s">
        <v>2668</v>
      </c>
      <c r="B689" t="s">
        <v>2338</v>
      </c>
      <c r="C689" t="s">
        <v>1316</v>
      </c>
      <c r="D689" t="s">
        <v>3612</v>
      </c>
      <c r="E689">
        <v>2719</v>
      </c>
      <c r="F689">
        <v>364</v>
      </c>
      <c r="G689" t="s">
        <v>2669</v>
      </c>
    </row>
    <row r="690" spans="1:7">
      <c r="A690" t="s">
        <v>2670</v>
      </c>
      <c r="B690" t="s">
        <v>2338</v>
      </c>
      <c r="C690" t="s">
        <v>1316</v>
      </c>
      <c r="D690" t="s">
        <v>3613</v>
      </c>
      <c r="E690">
        <v>2739</v>
      </c>
      <c r="F690">
        <v>362</v>
      </c>
      <c r="G690" t="s">
        <v>2671</v>
      </c>
    </row>
    <row r="691" spans="1:7">
      <c r="A691" t="s">
        <v>2672</v>
      </c>
      <c r="B691" t="s">
        <v>2338</v>
      </c>
      <c r="C691" t="s">
        <v>1316</v>
      </c>
      <c r="D691" t="s">
        <v>3614</v>
      </c>
      <c r="E691">
        <v>2753</v>
      </c>
      <c r="F691">
        <v>367</v>
      </c>
      <c r="G691" t="s">
        <v>2673</v>
      </c>
    </row>
    <row r="692" spans="1:7">
      <c r="A692" t="s">
        <v>2674</v>
      </c>
      <c r="B692" t="s">
        <v>2338</v>
      </c>
      <c r="C692" t="s">
        <v>1316</v>
      </c>
      <c r="D692" t="s">
        <v>3615</v>
      </c>
      <c r="E692">
        <v>2651</v>
      </c>
      <c r="F692">
        <v>361</v>
      </c>
      <c r="G692" t="s">
        <v>2675</v>
      </c>
    </row>
    <row r="693" spans="1:7">
      <c r="A693" t="s">
        <v>2676</v>
      </c>
      <c r="B693" t="s">
        <v>2338</v>
      </c>
      <c r="C693" t="s">
        <v>1316</v>
      </c>
      <c r="D693" t="s">
        <v>3616</v>
      </c>
      <c r="E693">
        <v>2733</v>
      </c>
      <c r="F693">
        <v>367</v>
      </c>
      <c r="G693" t="s">
        <v>2677</v>
      </c>
    </row>
    <row r="694" spans="1:7">
      <c r="A694" t="s">
        <v>2678</v>
      </c>
      <c r="B694" t="s">
        <v>2338</v>
      </c>
      <c r="C694" t="s">
        <v>1316</v>
      </c>
      <c r="D694" t="s">
        <v>3617</v>
      </c>
      <c r="E694">
        <v>2735</v>
      </c>
      <c r="F694">
        <v>366</v>
      </c>
      <c r="G694" t="s">
        <v>2679</v>
      </c>
    </row>
    <row r="695" spans="1:7">
      <c r="A695" t="s">
        <v>2680</v>
      </c>
      <c r="B695" t="s">
        <v>2338</v>
      </c>
      <c r="C695" t="s">
        <v>1316</v>
      </c>
      <c r="D695" t="s">
        <v>3618</v>
      </c>
      <c r="E695">
        <v>2755</v>
      </c>
      <c r="F695">
        <v>364</v>
      </c>
      <c r="G695" t="s">
        <v>2681</v>
      </c>
    </row>
    <row r="696" spans="1:7">
      <c r="A696" t="s">
        <v>2682</v>
      </c>
      <c r="B696" t="s">
        <v>2338</v>
      </c>
      <c r="C696" t="s">
        <v>1316</v>
      </c>
      <c r="D696" t="s">
        <v>3619</v>
      </c>
      <c r="E696">
        <v>2769</v>
      </c>
      <c r="F696">
        <v>369</v>
      </c>
      <c r="G696" t="s">
        <v>2683</v>
      </c>
    </row>
    <row r="697" spans="1:7">
      <c r="A697" t="s">
        <v>2684</v>
      </c>
      <c r="B697" t="s">
        <v>2338</v>
      </c>
      <c r="C697" t="s">
        <v>1316</v>
      </c>
      <c r="D697" t="s">
        <v>3620</v>
      </c>
      <c r="E697">
        <v>2781</v>
      </c>
      <c r="F697">
        <v>357</v>
      </c>
      <c r="G697" t="s">
        <v>2685</v>
      </c>
    </row>
    <row r="698" spans="1:7">
      <c r="A698" t="s">
        <v>2686</v>
      </c>
      <c r="B698" t="s">
        <v>2338</v>
      </c>
      <c r="C698" t="s">
        <v>1316</v>
      </c>
      <c r="D698" t="s">
        <v>3621</v>
      </c>
      <c r="E698">
        <v>2760</v>
      </c>
      <c r="F698">
        <v>358</v>
      </c>
      <c r="G698" t="s">
        <v>2687</v>
      </c>
    </row>
    <row r="699" spans="1:7">
      <c r="A699" t="s">
        <v>2688</v>
      </c>
      <c r="B699" t="s">
        <v>2338</v>
      </c>
      <c r="C699" t="s">
        <v>1316</v>
      </c>
      <c r="D699" t="s">
        <v>3622</v>
      </c>
      <c r="E699">
        <v>2813</v>
      </c>
      <c r="F699">
        <v>360</v>
      </c>
      <c r="G699" t="s">
        <v>2689</v>
      </c>
    </row>
    <row r="700" spans="1:7">
      <c r="A700" t="s">
        <v>2690</v>
      </c>
      <c r="B700" t="s">
        <v>2338</v>
      </c>
      <c r="C700" t="s">
        <v>1316</v>
      </c>
      <c r="D700" t="s">
        <v>3623</v>
      </c>
      <c r="E700">
        <v>2784</v>
      </c>
      <c r="F700">
        <v>358</v>
      </c>
      <c r="G700" t="s">
        <v>2691</v>
      </c>
    </row>
    <row r="701" spans="1:7">
      <c r="A701" t="s">
        <v>2692</v>
      </c>
      <c r="B701" t="s">
        <v>2338</v>
      </c>
      <c r="C701" t="s">
        <v>1316</v>
      </c>
      <c r="D701" t="s">
        <v>3624</v>
      </c>
      <c r="E701">
        <v>2806</v>
      </c>
      <c r="F701">
        <v>360</v>
      </c>
      <c r="G701" t="s">
        <v>2693</v>
      </c>
    </row>
    <row r="702" spans="1:7">
      <c r="A702" t="s">
        <v>2694</v>
      </c>
      <c r="B702" t="s">
        <v>2338</v>
      </c>
      <c r="C702" t="s">
        <v>1341</v>
      </c>
      <c r="D702" t="s">
        <v>3625</v>
      </c>
      <c r="E702">
        <v>1713</v>
      </c>
      <c r="F702">
        <v>230</v>
      </c>
      <c r="G702" t="s">
        <v>2695</v>
      </c>
    </row>
    <row r="703" spans="1:7">
      <c r="A703" t="s">
        <v>2696</v>
      </c>
      <c r="B703" t="s">
        <v>2338</v>
      </c>
      <c r="C703" t="s">
        <v>1341</v>
      </c>
      <c r="D703" t="s">
        <v>3626</v>
      </c>
      <c r="E703">
        <v>1721</v>
      </c>
      <c r="F703">
        <v>230</v>
      </c>
      <c r="G703" t="s">
        <v>2697</v>
      </c>
    </row>
    <row r="704" spans="1:7">
      <c r="A704" t="s">
        <v>2698</v>
      </c>
      <c r="B704" t="s">
        <v>2338</v>
      </c>
      <c r="C704" t="s">
        <v>1341</v>
      </c>
      <c r="D704" t="s">
        <v>3627</v>
      </c>
      <c r="E704">
        <v>1719</v>
      </c>
      <c r="F704">
        <v>230</v>
      </c>
      <c r="G704" t="s">
        <v>2699</v>
      </c>
    </row>
    <row r="705" spans="1:7">
      <c r="A705" t="s">
        <v>2700</v>
      </c>
      <c r="B705" t="s">
        <v>2338</v>
      </c>
      <c r="C705" t="s">
        <v>1341</v>
      </c>
      <c r="D705" t="s">
        <v>3628</v>
      </c>
      <c r="E705">
        <v>1731</v>
      </c>
      <c r="F705">
        <v>231</v>
      </c>
      <c r="G705" t="s">
        <v>2701</v>
      </c>
    </row>
    <row r="706" spans="1:7">
      <c r="A706" t="s">
        <v>2702</v>
      </c>
      <c r="B706" t="s">
        <v>2338</v>
      </c>
      <c r="C706" t="s">
        <v>1341</v>
      </c>
      <c r="D706" t="s">
        <v>3629</v>
      </c>
      <c r="E706">
        <v>1717</v>
      </c>
      <c r="F706">
        <v>230</v>
      </c>
      <c r="G706" t="s">
        <v>2703</v>
      </c>
    </row>
    <row r="707" spans="1:7">
      <c r="A707" t="s">
        <v>2704</v>
      </c>
      <c r="B707" t="s">
        <v>2338</v>
      </c>
      <c r="C707" t="s">
        <v>1341</v>
      </c>
      <c r="D707" t="s">
        <v>3630</v>
      </c>
      <c r="E707">
        <v>1727</v>
      </c>
      <c r="F707">
        <v>231</v>
      </c>
      <c r="G707" t="s">
        <v>2705</v>
      </c>
    </row>
    <row r="708" spans="1:7">
      <c r="A708" t="s">
        <v>2706</v>
      </c>
      <c r="B708" t="s">
        <v>2338</v>
      </c>
      <c r="C708" t="s">
        <v>1341</v>
      </c>
      <c r="D708" t="s">
        <v>3631</v>
      </c>
      <c r="E708">
        <v>1729</v>
      </c>
      <c r="F708">
        <v>231</v>
      </c>
      <c r="G708" t="s">
        <v>2707</v>
      </c>
    </row>
    <row r="709" spans="1:7">
      <c r="A709" t="s">
        <v>2708</v>
      </c>
      <c r="B709" t="s">
        <v>2338</v>
      </c>
      <c r="C709" t="s">
        <v>1341</v>
      </c>
      <c r="D709" t="s">
        <v>3632</v>
      </c>
      <c r="E709">
        <v>1713</v>
      </c>
      <c r="F709">
        <v>230</v>
      </c>
      <c r="G709" t="s">
        <v>2709</v>
      </c>
    </row>
    <row r="710" spans="1:7">
      <c r="A710" t="s">
        <v>2710</v>
      </c>
      <c r="B710" t="s">
        <v>2338</v>
      </c>
      <c r="C710" t="s">
        <v>1341</v>
      </c>
      <c r="D710" t="s">
        <v>3633</v>
      </c>
      <c r="E710">
        <v>1713</v>
      </c>
      <c r="F710">
        <v>230</v>
      </c>
      <c r="G710" t="s">
        <v>2711</v>
      </c>
    </row>
    <row r="711" spans="1:7">
      <c r="A711" t="s">
        <v>2712</v>
      </c>
      <c r="B711" t="s">
        <v>2338</v>
      </c>
      <c r="C711" t="s">
        <v>1341</v>
      </c>
      <c r="D711" t="s">
        <v>3634</v>
      </c>
      <c r="E711">
        <v>1728</v>
      </c>
      <c r="F711">
        <v>231</v>
      </c>
      <c r="G711" t="s">
        <v>2713</v>
      </c>
    </row>
    <row r="712" spans="1:7">
      <c r="A712" t="s">
        <v>2714</v>
      </c>
      <c r="B712" t="s">
        <v>2338</v>
      </c>
      <c r="C712" t="s">
        <v>1341</v>
      </c>
      <c r="D712" t="s">
        <v>3635</v>
      </c>
      <c r="E712">
        <v>1733</v>
      </c>
      <c r="F712">
        <v>231</v>
      </c>
      <c r="G712" t="s">
        <v>2715</v>
      </c>
    </row>
    <row r="713" spans="1:7">
      <c r="A713" t="s">
        <v>2716</v>
      </c>
      <c r="B713" t="s">
        <v>2338</v>
      </c>
      <c r="C713" t="s">
        <v>1341</v>
      </c>
      <c r="D713" t="s">
        <v>3636</v>
      </c>
      <c r="E713">
        <v>1727</v>
      </c>
      <c r="F713">
        <v>231</v>
      </c>
      <c r="G713" t="s">
        <v>2717</v>
      </c>
    </row>
    <row r="714" spans="1:7">
      <c r="A714" t="s">
        <v>2718</v>
      </c>
      <c r="B714" t="s">
        <v>2338</v>
      </c>
      <c r="C714" t="s">
        <v>1341</v>
      </c>
      <c r="D714" t="s">
        <v>3637</v>
      </c>
      <c r="E714">
        <v>1731</v>
      </c>
      <c r="F714">
        <v>231</v>
      </c>
      <c r="G714" t="s">
        <v>2719</v>
      </c>
    </row>
    <row r="715" spans="1:7">
      <c r="A715" t="s">
        <v>2720</v>
      </c>
      <c r="B715" t="s">
        <v>2338</v>
      </c>
      <c r="C715" t="s">
        <v>1341</v>
      </c>
      <c r="D715" t="s">
        <v>3638</v>
      </c>
      <c r="E715">
        <v>1711</v>
      </c>
      <c r="F715">
        <v>230</v>
      </c>
      <c r="G715" t="s">
        <v>2721</v>
      </c>
    </row>
    <row r="716" spans="1:7">
      <c r="A716" t="s">
        <v>2722</v>
      </c>
      <c r="B716" t="s">
        <v>2338</v>
      </c>
      <c r="C716" t="s">
        <v>1341</v>
      </c>
      <c r="D716" t="s">
        <v>3639</v>
      </c>
      <c r="E716">
        <v>1717</v>
      </c>
      <c r="F716">
        <v>230</v>
      </c>
      <c r="G716" t="s">
        <v>2723</v>
      </c>
    </row>
    <row r="717" spans="1:7">
      <c r="A717" t="s">
        <v>2724</v>
      </c>
      <c r="B717" t="s">
        <v>2338</v>
      </c>
      <c r="C717" t="s">
        <v>1341</v>
      </c>
      <c r="D717" t="s">
        <v>3640</v>
      </c>
      <c r="E717">
        <v>1725</v>
      </c>
      <c r="F717">
        <v>230</v>
      </c>
      <c r="G717" t="s">
        <v>2725</v>
      </c>
    </row>
    <row r="718" spans="1:7">
      <c r="A718" t="s">
        <v>2726</v>
      </c>
      <c r="B718" t="s">
        <v>2338</v>
      </c>
      <c r="C718" t="s">
        <v>1341</v>
      </c>
      <c r="D718" t="s">
        <v>3641</v>
      </c>
      <c r="E718">
        <v>1715</v>
      </c>
      <c r="F718">
        <v>230</v>
      </c>
      <c r="G718" t="s">
        <v>2727</v>
      </c>
    </row>
    <row r="719" spans="1:7">
      <c r="A719" t="s">
        <v>2728</v>
      </c>
      <c r="B719" t="s">
        <v>2338</v>
      </c>
      <c r="C719" t="s">
        <v>1341</v>
      </c>
      <c r="D719" t="s">
        <v>3642</v>
      </c>
      <c r="E719">
        <v>1722</v>
      </c>
      <c r="F719">
        <v>230</v>
      </c>
      <c r="G719" t="s">
        <v>2729</v>
      </c>
    </row>
    <row r="720" spans="1:7">
      <c r="A720" t="s">
        <v>2730</v>
      </c>
      <c r="B720" t="s">
        <v>2338</v>
      </c>
      <c r="C720" t="s">
        <v>1341</v>
      </c>
      <c r="D720" t="s">
        <v>3643</v>
      </c>
      <c r="E720">
        <v>1715</v>
      </c>
      <c r="F720">
        <v>230</v>
      </c>
      <c r="G720" t="s">
        <v>2731</v>
      </c>
    </row>
    <row r="721" spans="1:7">
      <c r="A721" t="s">
        <v>2732</v>
      </c>
      <c r="B721" t="s">
        <v>2338</v>
      </c>
      <c r="C721" t="s">
        <v>1341</v>
      </c>
      <c r="D721" t="s">
        <v>3644</v>
      </c>
      <c r="E721">
        <v>1729</v>
      </c>
      <c r="F721">
        <v>231</v>
      </c>
      <c r="G721" t="s">
        <v>2733</v>
      </c>
    </row>
    <row r="722" spans="1:7">
      <c r="A722" t="s">
        <v>2734</v>
      </c>
      <c r="B722" t="s">
        <v>2338</v>
      </c>
      <c r="C722" t="s">
        <v>1341</v>
      </c>
      <c r="D722" t="s">
        <v>3645</v>
      </c>
      <c r="E722">
        <v>1750</v>
      </c>
      <c r="F722">
        <v>227</v>
      </c>
      <c r="G722" t="s">
        <v>2735</v>
      </c>
    </row>
    <row r="723" spans="1:7">
      <c r="A723" t="s">
        <v>2736</v>
      </c>
      <c r="B723" t="s">
        <v>2338</v>
      </c>
      <c r="C723" t="s">
        <v>1341</v>
      </c>
      <c r="D723" t="s">
        <v>3646</v>
      </c>
      <c r="E723">
        <v>1750</v>
      </c>
      <c r="F723">
        <v>227</v>
      </c>
      <c r="G723" t="s">
        <v>2737</v>
      </c>
    </row>
    <row r="724" spans="1:7">
      <c r="A724" t="s">
        <v>2738</v>
      </c>
      <c r="B724" t="s">
        <v>2338</v>
      </c>
      <c r="C724" t="s">
        <v>1341</v>
      </c>
      <c r="D724" t="s">
        <v>3647</v>
      </c>
      <c r="E724">
        <v>1750</v>
      </c>
      <c r="F724">
        <v>227</v>
      </c>
      <c r="G724" t="s">
        <v>2739</v>
      </c>
    </row>
    <row r="725" spans="1:7">
      <c r="A725" t="s">
        <v>2740</v>
      </c>
      <c r="B725" t="s">
        <v>2338</v>
      </c>
      <c r="C725" t="s">
        <v>1341</v>
      </c>
      <c r="D725" t="s">
        <v>3648</v>
      </c>
      <c r="E725">
        <v>1744</v>
      </c>
      <c r="F725">
        <v>226</v>
      </c>
      <c r="G725" t="s">
        <v>2741</v>
      </c>
    </row>
    <row r="726" spans="1:7">
      <c r="A726" t="s">
        <v>2742</v>
      </c>
      <c r="B726" t="s">
        <v>2338</v>
      </c>
      <c r="C726" t="s">
        <v>1341</v>
      </c>
      <c r="D726" t="s">
        <v>3649</v>
      </c>
      <c r="E726">
        <v>1742</v>
      </c>
      <c r="F726">
        <v>226</v>
      </c>
      <c r="G726" t="s">
        <v>2743</v>
      </c>
    </row>
    <row r="727" spans="1:7">
      <c r="A727" t="s">
        <v>2744</v>
      </c>
      <c r="B727" t="s">
        <v>2338</v>
      </c>
      <c r="C727" t="s">
        <v>1341</v>
      </c>
      <c r="D727" t="s">
        <v>3650</v>
      </c>
      <c r="E727">
        <v>1754</v>
      </c>
      <c r="F727">
        <v>227</v>
      </c>
      <c r="G727" t="s">
        <v>2745</v>
      </c>
    </row>
    <row r="728" spans="1:7">
      <c r="A728" t="s">
        <v>2746</v>
      </c>
      <c r="B728" t="s">
        <v>2338</v>
      </c>
      <c r="C728" t="s">
        <v>1341</v>
      </c>
      <c r="D728" t="s">
        <v>3651</v>
      </c>
      <c r="E728">
        <v>1748</v>
      </c>
      <c r="F728">
        <v>226</v>
      </c>
      <c r="G728" t="s">
        <v>2747</v>
      </c>
    </row>
    <row r="729" spans="1:7">
      <c r="A729" t="s">
        <v>2748</v>
      </c>
      <c r="B729" t="s">
        <v>2338</v>
      </c>
      <c r="C729" t="s">
        <v>1341</v>
      </c>
      <c r="D729" t="s">
        <v>3652</v>
      </c>
      <c r="E729">
        <v>1746</v>
      </c>
      <c r="F729">
        <v>226</v>
      </c>
      <c r="G729" t="s">
        <v>2749</v>
      </c>
    </row>
    <row r="730" spans="1:7">
      <c r="A730" t="s">
        <v>2750</v>
      </c>
      <c r="B730" t="s">
        <v>2338</v>
      </c>
      <c r="C730" t="s">
        <v>1341</v>
      </c>
      <c r="D730" t="s">
        <v>3653</v>
      </c>
      <c r="E730">
        <v>1742</v>
      </c>
      <c r="F730">
        <v>226</v>
      </c>
      <c r="G730" t="s">
        <v>2751</v>
      </c>
    </row>
    <row r="731" spans="1:7">
      <c r="A731" t="s">
        <v>2752</v>
      </c>
      <c r="B731" t="s">
        <v>2338</v>
      </c>
      <c r="C731" t="s">
        <v>1341</v>
      </c>
      <c r="D731" t="s">
        <v>3654</v>
      </c>
      <c r="E731">
        <v>1744</v>
      </c>
      <c r="F731">
        <v>226</v>
      </c>
      <c r="G731" t="s">
        <v>2753</v>
      </c>
    </row>
    <row r="732" spans="1:7">
      <c r="A732" t="s">
        <v>2754</v>
      </c>
      <c r="B732" t="s">
        <v>2338</v>
      </c>
      <c r="C732" t="s">
        <v>1341</v>
      </c>
      <c r="D732" t="s">
        <v>3655</v>
      </c>
      <c r="E732">
        <v>1748</v>
      </c>
      <c r="F732">
        <v>226</v>
      </c>
      <c r="G732" t="s">
        <v>2755</v>
      </c>
    </row>
    <row r="733" spans="1:7">
      <c r="A733" t="s">
        <v>2756</v>
      </c>
      <c r="B733" t="s">
        <v>2338</v>
      </c>
      <c r="C733" t="s">
        <v>1341</v>
      </c>
      <c r="D733" t="s">
        <v>3656</v>
      </c>
      <c r="E733">
        <v>1742</v>
      </c>
      <c r="F733">
        <v>226</v>
      </c>
      <c r="G733" t="s">
        <v>2757</v>
      </c>
    </row>
    <row r="734" spans="1:7">
      <c r="A734" t="s">
        <v>2758</v>
      </c>
      <c r="B734" t="s">
        <v>2338</v>
      </c>
      <c r="C734" t="s">
        <v>1341</v>
      </c>
      <c r="D734" t="s">
        <v>3657</v>
      </c>
      <c r="E734">
        <v>1750</v>
      </c>
      <c r="F734">
        <v>226</v>
      </c>
      <c r="G734" t="s">
        <v>2759</v>
      </c>
    </row>
    <row r="735" spans="1:7">
      <c r="A735" t="s">
        <v>2760</v>
      </c>
      <c r="B735" t="s">
        <v>2338</v>
      </c>
      <c r="C735" t="s">
        <v>1341</v>
      </c>
      <c r="D735" t="s">
        <v>3658</v>
      </c>
      <c r="E735">
        <v>1746</v>
      </c>
      <c r="F735">
        <v>226</v>
      </c>
      <c r="G735" t="s">
        <v>2761</v>
      </c>
    </row>
    <row r="736" spans="1:7">
      <c r="A736" t="s">
        <v>2762</v>
      </c>
      <c r="B736" t="s">
        <v>2338</v>
      </c>
      <c r="C736" t="s">
        <v>1341</v>
      </c>
      <c r="D736" t="s">
        <v>3659</v>
      </c>
      <c r="E736">
        <v>1756</v>
      </c>
      <c r="F736">
        <v>227</v>
      </c>
      <c r="G736" t="s">
        <v>2763</v>
      </c>
    </row>
    <row r="737" spans="1:7">
      <c r="A737" t="s">
        <v>2764</v>
      </c>
      <c r="B737" t="s">
        <v>2338</v>
      </c>
      <c r="C737" t="s">
        <v>1341</v>
      </c>
      <c r="D737" t="s">
        <v>3660</v>
      </c>
      <c r="E737">
        <v>1751</v>
      </c>
      <c r="F737">
        <v>226</v>
      </c>
      <c r="G737" t="s">
        <v>2765</v>
      </c>
    </row>
    <row r="738" spans="1:7">
      <c r="A738" t="s">
        <v>2766</v>
      </c>
      <c r="B738" t="s">
        <v>2338</v>
      </c>
      <c r="C738" t="s">
        <v>1341</v>
      </c>
      <c r="D738" t="s">
        <v>3661</v>
      </c>
      <c r="E738">
        <v>1750</v>
      </c>
      <c r="F738">
        <v>227</v>
      </c>
      <c r="G738" t="s">
        <v>2767</v>
      </c>
    </row>
    <row r="739" spans="1:7">
      <c r="A739" t="s">
        <v>2768</v>
      </c>
      <c r="B739" t="s">
        <v>2338</v>
      </c>
      <c r="C739" t="s">
        <v>1341</v>
      </c>
      <c r="D739" t="s">
        <v>3662</v>
      </c>
      <c r="E739">
        <v>1758</v>
      </c>
      <c r="F739">
        <v>227</v>
      </c>
      <c r="G739" t="s">
        <v>2769</v>
      </c>
    </row>
    <row r="740" spans="1:7">
      <c r="A740" t="s">
        <v>2770</v>
      </c>
      <c r="B740" t="s">
        <v>2338</v>
      </c>
      <c r="C740" t="s">
        <v>1341</v>
      </c>
      <c r="D740" t="s">
        <v>3663</v>
      </c>
      <c r="E740">
        <v>1734</v>
      </c>
      <c r="F740">
        <v>226</v>
      </c>
      <c r="G740" t="s">
        <v>2771</v>
      </c>
    </row>
    <row r="741" spans="1:7">
      <c r="A741" t="s">
        <v>2772</v>
      </c>
      <c r="B741" t="s">
        <v>2338</v>
      </c>
      <c r="C741" t="s">
        <v>1341</v>
      </c>
      <c r="D741" t="s">
        <v>3664</v>
      </c>
      <c r="E741">
        <v>1746</v>
      </c>
      <c r="F741">
        <v>226</v>
      </c>
      <c r="G741" t="s">
        <v>2773</v>
      </c>
    </row>
    <row r="742" spans="1:7">
      <c r="A742" t="s">
        <v>2774</v>
      </c>
      <c r="B742" t="s">
        <v>2338</v>
      </c>
      <c r="C742" t="s">
        <v>1341</v>
      </c>
      <c r="D742" t="s">
        <v>3665</v>
      </c>
      <c r="E742">
        <v>1735</v>
      </c>
      <c r="F742">
        <v>232</v>
      </c>
      <c r="G742" t="s">
        <v>2775</v>
      </c>
    </row>
    <row r="743" spans="1:7">
      <c r="A743" t="s">
        <v>2776</v>
      </c>
      <c r="B743" t="s">
        <v>2338</v>
      </c>
      <c r="C743" t="s">
        <v>1341</v>
      </c>
      <c r="D743" t="s">
        <v>3666</v>
      </c>
      <c r="E743">
        <v>1743</v>
      </c>
      <c r="F743">
        <v>232</v>
      </c>
      <c r="G743" t="s">
        <v>2777</v>
      </c>
    </row>
    <row r="744" spans="1:7">
      <c r="A744" t="s">
        <v>2778</v>
      </c>
      <c r="B744" t="s">
        <v>2338</v>
      </c>
      <c r="C744" t="s">
        <v>1341</v>
      </c>
      <c r="D744" t="s">
        <v>3667</v>
      </c>
      <c r="E744">
        <v>1729</v>
      </c>
      <c r="F744">
        <v>231</v>
      </c>
      <c r="G744" t="s">
        <v>2779</v>
      </c>
    </row>
    <row r="745" spans="1:7">
      <c r="A745" t="s">
        <v>2780</v>
      </c>
      <c r="B745" t="s">
        <v>2338</v>
      </c>
      <c r="C745" t="s">
        <v>1341</v>
      </c>
      <c r="D745" t="s">
        <v>3668</v>
      </c>
      <c r="E745">
        <v>1740</v>
      </c>
      <c r="F745">
        <v>232</v>
      </c>
      <c r="G745" t="s">
        <v>2781</v>
      </c>
    </row>
    <row r="746" spans="1:7">
      <c r="A746" t="s">
        <v>2782</v>
      </c>
      <c r="B746" t="s">
        <v>2338</v>
      </c>
      <c r="C746" t="s">
        <v>1341</v>
      </c>
      <c r="D746" t="s">
        <v>3669</v>
      </c>
      <c r="E746">
        <v>1741</v>
      </c>
      <c r="F746">
        <v>232</v>
      </c>
      <c r="G746" t="s">
        <v>2783</v>
      </c>
    </row>
    <row r="747" spans="1:7">
      <c r="A747" t="s">
        <v>2784</v>
      </c>
      <c r="B747" t="s">
        <v>2338</v>
      </c>
      <c r="C747" t="s">
        <v>1341</v>
      </c>
      <c r="D747" t="s">
        <v>3670</v>
      </c>
      <c r="E747">
        <v>1737</v>
      </c>
      <c r="F747">
        <v>232</v>
      </c>
      <c r="G747" t="s">
        <v>2785</v>
      </c>
    </row>
    <row r="748" spans="1:7">
      <c r="A748" t="s">
        <v>2786</v>
      </c>
      <c r="B748" t="s">
        <v>2338</v>
      </c>
      <c r="C748" t="s">
        <v>1341</v>
      </c>
      <c r="D748" t="s">
        <v>3671</v>
      </c>
      <c r="E748">
        <v>1749</v>
      </c>
      <c r="F748">
        <v>233</v>
      </c>
      <c r="G748" t="s">
        <v>2787</v>
      </c>
    </row>
    <row r="749" spans="1:7">
      <c r="A749" t="s">
        <v>2788</v>
      </c>
      <c r="B749" t="s">
        <v>2338</v>
      </c>
      <c r="C749" t="s">
        <v>1341</v>
      </c>
      <c r="D749" t="s">
        <v>3672</v>
      </c>
      <c r="E749">
        <v>1747</v>
      </c>
      <c r="F749">
        <v>233</v>
      </c>
      <c r="G749" t="s">
        <v>2789</v>
      </c>
    </row>
    <row r="750" spans="1:7">
      <c r="A750" t="s">
        <v>2790</v>
      </c>
      <c r="B750" t="s">
        <v>2338</v>
      </c>
      <c r="C750" t="s">
        <v>1341</v>
      </c>
      <c r="D750" t="s">
        <v>3673</v>
      </c>
      <c r="E750">
        <v>1751</v>
      </c>
      <c r="F750">
        <v>233</v>
      </c>
      <c r="G750" t="s">
        <v>2791</v>
      </c>
    </row>
    <row r="751" spans="1:7">
      <c r="A751" t="s">
        <v>2792</v>
      </c>
      <c r="B751" t="s">
        <v>2338</v>
      </c>
      <c r="C751" t="s">
        <v>1341</v>
      </c>
      <c r="D751" t="s">
        <v>3674</v>
      </c>
      <c r="E751">
        <v>1746</v>
      </c>
      <c r="F751">
        <v>232</v>
      </c>
      <c r="G751" t="s">
        <v>2793</v>
      </c>
    </row>
    <row r="752" spans="1:7">
      <c r="A752" t="s">
        <v>2794</v>
      </c>
      <c r="B752" t="s">
        <v>2338</v>
      </c>
      <c r="C752" t="s">
        <v>1341</v>
      </c>
      <c r="D752" t="s">
        <v>3675</v>
      </c>
      <c r="E752">
        <v>1741</v>
      </c>
      <c r="F752">
        <v>232</v>
      </c>
      <c r="G752" t="s">
        <v>2795</v>
      </c>
    </row>
    <row r="753" spans="1:7">
      <c r="A753" t="s">
        <v>2796</v>
      </c>
      <c r="B753" t="s">
        <v>2338</v>
      </c>
      <c r="C753" t="s">
        <v>1341</v>
      </c>
      <c r="D753" t="s">
        <v>3676</v>
      </c>
      <c r="E753">
        <v>1743</v>
      </c>
      <c r="F753">
        <v>232</v>
      </c>
      <c r="G753" t="s">
        <v>2797</v>
      </c>
    </row>
    <row r="754" spans="1:7">
      <c r="A754" t="s">
        <v>2798</v>
      </c>
      <c r="B754" t="s">
        <v>2338</v>
      </c>
      <c r="C754" t="s">
        <v>1341</v>
      </c>
      <c r="D754" t="s">
        <v>3677</v>
      </c>
      <c r="E754">
        <v>1739</v>
      </c>
      <c r="F754">
        <v>232</v>
      </c>
      <c r="G754" t="s">
        <v>2799</v>
      </c>
    </row>
    <row r="755" spans="1:7">
      <c r="A755" t="s">
        <v>2800</v>
      </c>
      <c r="B755" t="s">
        <v>2338</v>
      </c>
      <c r="C755" t="s">
        <v>1341</v>
      </c>
      <c r="D755" t="s">
        <v>3678</v>
      </c>
      <c r="E755">
        <v>1755</v>
      </c>
      <c r="F755">
        <v>232</v>
      </c>
      <c r="G755" t="s">
        <v>2801</v>
      </c>
    </row>
    <row r="756" spans="1:7">
      <c r="A756" t="s">
        <v>2802</v>
      </c>
      <c r="B756" t="s">
        <v>2338</v>
      </c>
      <c r="C756" t="s">
        <v>1341</v>
      </c>
      <c r="D756" t="s">
        <v>3679</v>
      </c>
      <c r="E756">
        <v>1753</v>
      </c>
      <c r="F756">
        <v>232</v>
      </c>
      <c r="G756" t="s">
        <v>2803</v>
      </c>
    </row>
    <row r="757" spans="1:7">
      <c r="A757" t="s">
        <v>2804</v>
      </c>
      <c r="B757" t="s">
        <v>2338</v>
      </c>
      <c r="C757" t="s">
        <v>1341</v>
      </c>
      <c r="D757" t="s">
        <v>3680</v>
      </c>
      <c r="E757">
        <v>1731</v>
      </c>
      <c r="F757">
        <v>231</v>
      </c>
      <c r="G757" t="s">
        <v>2805</v>
      </c>
    </row>
    <row r="758" spans="1:7">
      <c r="A758" t="s">
        <v>2806</v>
      </c>
      <c r="B758" t="s">
        <v>2338</v>
      </c>
      <c r="C758" t="s">
        <v>1341</v>
      </c>
      <c r="D758" t="s">
        <v>3681</v>
      </c>
      <c r="E758">
        <v>1741</v>
      </c>
      <c r="F758">
        <v>232</v>
      </c>
      <c r="G758" t="s">
        <v>2807</v>
      </c>
    </row>
    <row r="759" spans="1:7">
      <c r="A759" t="s">
        <v>2808</v>
      </c>
      <c r="B759" t="s">
        <v>2338</v>
      </c>
      <c r="C759" t="s">
        <v>1341</v>
      </c>
      <c r="D759" t="s">
        <v>3682</v>
      </c>
      <c r="E759">
        <v>1739</v>
      </c>
      <c r="F759">
        <v>231</v>
      </c>
      <c r="G759" t="s">
        <v>2809</v>
      </c>
    </row>
    <row r="760" spans="1:7">
      <c r="A760" t="s">
        <v>2810</v>
      </c>
      <c r="B760" t="s">
        <v>2338</v>
      </c>
      <c r="C760" t="s">
        <v>1341</v>
      </c>
      <c r="D760" t="s">
        <v>3683</v>
      </c>
      <c r="E760">
        <v>1749</v>
      </c>
      <c r="F760">
        <v>232</v>
      </c>
      <c r="G760" t="s">
        <v>2811</v>
      </c>
    </row>
    <row r="761" spans="1:7">
      <c r="A761" t="s">
        <v>2812</v>
      </c>
      <c r="B761" t="s">
        <v>2338</v>
      </c>
      <c r="C761" t="s">
        <v>1341</v>
      </c>
      <c r="D761" t="s">
        <v>3684</v>
      </c>
      <c r="E761">
        <v>1747</v>
      </c>
      <c r="F761">
        <v>232</v>
      </c>
      <c r="G761" t="s">
        <v>2813</v>
      </c>
    </row>
    <row r="762" spans="1:7">
      <c r="A762" t="s">
        <v>2814</v>
      </c>
      <c r="B762" t="s">
        <v>2338</v>
      </c>
      <c r="C762" t="s">
        <v>1341</v>
      </c>
      <c r="D762" t="s">
        <v>3685</v>
      </c>
      <c r="E762">
        <v>1471</v>
      </c>
      <c r="F762">
        <v>203</v>
      </c>
      <c r="G762" t="s">
        <v>2815</v>
      </c>
    </row>
    <row r="763" spans="1:7">
      <c r="A763" t="s">
        <v>2816</v>
      </c>
      <c r="B763" t="s">
        <v>2338</v>
      </c>
      <c r="C763" t="s">
        <v>1341</v>
      </c>
      <c r="D763" t="s">
        <v>3686</v>
      </c>
      <c r="E763">
        <v>1495</v>
      </c>
      <c r="F763">
        <v>201</v>
      </c>
      <c r="G763" t="s">
        <v>2817</v>
      </c>
    </row>
    <row r="764" spans="1:7">
      <c r="A764" t="s">
        <v>2818</v>
      </c>
      <c r="B764" t="s">
        <v>2338</v>
      </c>
      <c r="C764" t="s">
        <v>1341</v>
      </c>
      <c r="D764" t="s">
        <v>3687</v>
      </c>
      <c r="E764">
        <v>1464</v>
      </c>
      <c r="F764">
        <v>198</v>
      </c>
      <c r="G764" t="s">
        <v>2819</v>
      </c>
    </row>
    <row r="765" spans="1:7">
      <c r="A765" t="s">
        <v>2820</v>
      </c>
      <c r="B765" t="s">
        <v>2338</v>
      </c>
      <c r="C765" t="s">
        <v>1341</v>
      </c>
      <c r="D765" t="s">
        <v>3688</v>
      </c>
      <c r="E765">
        <v>1506</v>
      </c>
      <c r="F765">
        <v>195</v>
      </c>
      <c r="G765" t="s">
        <v>2821</v>
      </c>
    </row>
    <row r="766" spans="1:7">
      <c r="A766" t="s">
        <v>2822</v>
      </c>
      <c r="B766" t="s">
        <v>2338</v>
      </c>
      <c r="C766" t="s">
        <v>1341</v>
      </c>
      <c r="D766" t="s">
        <v>3689</v>
      </c>
      <c r="E766">
        <v>1515</v>
      </c>
      <c r="F766">
        <v>200</v>
      </c>
      <c r="G766" t="s">
        <v>2823</v>
      </c>
    </row>
    <row r="767" spans="1:7">
      <c r="A767" t="s">
        <v>2824</v>
      </c>
      <c r="B767" t="s">
        <v>2338</v>
      </c>
      <c r="C767" t="s">
        <v>1341</v>
      </c>
      <c r="D767" t="s">
        <v>3690</v>
      </c>
      <c r="E767">
        <v>1451</v>
      </c>
      <c r="F767">
        <v>201</v>
      </c>
      <c r="G767" t="s">
        <v>2825</v>
      </c>
    </row>
    <row r="768" spans="1:7">
      <c r="A768" t="s">
        <v>2826</v>
      </c>
      <c r="B768" t="s">
        <v>2338</v>
      </c>
      <c r="C768" t="s">
        <v>1341</v>
      </c>
      <c r="D768" t="s">
        <v>3691</v>
      </c>
      <c r="E768">
        <v>1475</v>
      </c>
      <c r="F768">
        <v>199</v>
      </c>
      <c r="G768" t="s">
        <v>2827</v>
      </c>
    </row>
    <row r="769" spans="1:7">
      <c r="A769" t="s">
        <v>2828</v>
      </c>
      <c r="B769" t="s">
        <v>2338</v>
      </c>
      <c r="C769" t="s">
        <v>1341</v>
      </c>
      <c r="D769" t="s">
        <v>3692</v>
      </c>
      <c r="E769">
        <v>1444</v>
      </c>
      <c r="F769">
        <v>196</v>
      </c>
      <c r="G769" t="s">
        <v>2829</v>
      </c>
    </row>
    <row r="770" spans="1:7">
      <c r="A770" t="s">
        <v>2830</v>
      </c>
      <c r="B770" t="s">
        <v>2338</v>
      </c>
      <c r="C770" t="s">
        <v>1341</v>
      </c>
      <c r="D770" t="s">
        <v>3693</v>
      </c>
      <c r="E770">
        <v>1486</v>
      </c>
      <c r="F770">
        <v>193</v>
      </c>
      <c r="G770" t="s">
        <v>2831</v>
      </c>
    </row>
    <row r="771" spans="1:7">
      <c r="A771" t="s">
        <v>2832</v>
      </c>
      <c r="B771" t="s">
        <v>2338</v>
      </c>
      <c r="C771" t="s">
        <v>1341</v>
      </c>
      <c r="D771" t="s">
        <v>3694</v>
      </c>
      <c r="E771">
        <v>1495</v>
      </c>
      <c r="F771">
        <v>198</v>
      </c>
      <c r="G771" t="s">
        <v>2833</v>
      </c>
    </row>
    <row r="772" spans="1:7">
      <c r="A772" t="s">
        <v>2834</v>
      </c>
      <c r="B772" t="s">
        <v>2338</v>
      </c>
      <c r="C772" t="s">
        <v>1341</v>
      </c>
      <c r="D772" t="s">
        <v>3695</v>
      </c>
      <c r="E772">
        <v>1473</v>
      </c>
      <c r="F772">
        <v>203</v>
      </c>
      <c r="G772" t="s">
        <v>2835</v>
      </c>
    </row>
    <row r="773" spans="1:7">
      <c r="A773" t="s">
        <v>2836</v>
      </c>
      <c r="B773" t="s">
        <v>2338</v>
      </c>
      <c r="C773" t="s">
        <v>1341</v>
      </c>
      <c r="D773" t="s">
        <v>3696</v>
      </c>
      <c r="E773">
        <v>1497</v>
      </c>
      <c r="F773">
        <v>201</v>
      </c>
      <c r="G773" t="s">
        <v>2837</v>
      </c>
    </row>
    <row r="774" spans="1:7">
      <c r="A774" t="s">
        <v>2838</v>
      </c>
      <c r="B774" t="s">
        <v>2338</v>
      </c>
      <c r="C774" t="s">
        <v>1341</v>
      </c>
      <c r="D774" t="s">
        <v>3697</v>
      </c>
      <c r="E774">
        <v>1466</v>
      </c>
      <c r="F774">
        <v>198</v>
      </c>
      <c r="G774" t="s">
        <v>2839</v>
      </c>
    </row>
    <row r="775" spans="1:7">
      <c r="A775" t="s">
        <v>2840</v>
      </c>
      <c r="B775" t="s">
        <v>2338</v>
      </c>
      <c r="C775" t="s">
        <v>1341</v>
      </c>
      <c r="D775" t="s">
        <v>3698</v>
      </c>
      <c r="E775">
        <v>1508</v>
      </c>
      <c r="F775">
        <v>195</v>
      </c>
      <c r="G775" t="s">
        <v>2841</v>
      </c>
    </row>
    <row r="776" spans="1:7">
      <c r="A776" t="s">
        <v>2842</v>
      </c>
      <c r="B776" t="s">
        <v>2338</v>
      </c>
      <c r="C776" t="s">
        <v>1341</v>
      </c>
      <c r="D776" t="s">
        <v>3699</v>
      </c>
      <c r="E776">
        <v>1517</v>
      </c>
      <c r="F776">
        <v>200</v>
      </c>
      <c r="G776" t="s">
        <v>2843</v>
      </c>
    </row>
    <row r="777" spans="1:7">
      <c r="A777" t="s">
        <v>2844</v>
      </c>
      <c r="B777" t="s">
        <v>2338</v>
      </c>
      <c r="C777" t="s">
        <v>1341</v>
      </c>
      <c r="D777" t="s">
        <v>3700</v>
      </c>
      <c r="E777">
        <v>1453</v>
      </c>
      <c r="F777">
        <v>201</v>
      </c>
      <c r="G777" t="s">
        <v>2845</v>
      </c>
    </row>
    <row r="778" spans="1:7">
      <c r="A778" t="s">
        <v>2846</v>
      </c>
      <c r="B778" t="s">
        <v>2338</v>
      </c>
      <c r="C778" t="s">
        <v>1341</v>
      </c>
      <c r="D778" t="s">
        <v>3701</v>
      </c>
      <c r="E778">
        <v>1477</v>
      </c>
      <c r="F778">
        <v>199</v>
      </c>
      <c r="G778" t="s">
        <v>2847</v>
      </c>
    </row>
    <row r="779" spans="1:7">
      <c r="A779" t="s">
        <v>2848</v>
      </c>
      <c r="B779" t="s">
        <v>2338</v>
      </c>
      <c r="C779" t="s">
        <v>1341</v>
      </c>
      <c r="D779" t="s">
        <v>3702</v>
      </c>
      <c r="E779">
        <v>1446</v>
      </c>
      <c r="F779">
        <v>196</v>
      </c>
      <c r="G779" t="s">
        <v>2849</v>
      </c>
    </row>
    <row r="780" spans="1:7">
      <c r="A780" t="s">
        <v>2850</v>
      </c>
      <c r="B780" t="s">
        <v>2338</v>
      </c>
      <c r="C780" t="s">
        <v>1341</v>
      </c>
      <c r="D780" t="s">
        <v>3703</v>
      </c>
      <c r="E780">
        <v>1488</v>
      </c>
      <c r="F780">
        <v>193</v>
      </c>
      <c r="G780" t="s">
        <v>2851</v>
      </c>
    </row>
    <row r="781" spans="1:7">
      <c r="A781" t="s">
        <v>2852</v>
      </c>
      <c r="B781" t="s">
        <v>2338</v>
      </c>
      <c r="C781" t="s">
        <v>1341</v>
      </c>
      <c r="D781" t="s">
        <v>3704</v>
      </c>
      <c r="E781">
        <v>1497</v>
      </c>
      <c r="F781">
        <v>198</v>
      </c>
      <c r="G781" t="s">
        <v>2853</v>
      </c>
    </row>
    <row r="782" spans="1:7">
      <c r="A782" t="s">
        <v>2854</v>
      </c>
      <c r="B782" t="s">
        <v>2338</v>
      </c>
      <c r="C782" t="s">
        <v>1341</v>
      </c>
      <c r="D782" t="s">
        <v>3705</v>
      </c>
      <c r="E782">
        <v>1462</v>
      </c>
      <c r="F782">
        <v>202</v>
      </c>
      <c r="G782" t="s">
        <v>2855</v>
      </c>
    </row>
    <row r="783" spans="1:7">
      <c r="A783" t="s">
        <v>2856</v>
      </c>
      <c r="B783" t="s">
        <v>2338</v>
      </c>
      <c r="C783" t="s">
        <v>1341</v>
      </c>
      <c r="D783" t="s">
        <v>3706</v>
      </c>
      <c r="E783">
        <v>1486</v>
      </c>
      <c r="F783">
        <v>200</v>
      </c>
      <c r="G783" t="s">
        <v>2857</v>
      </c>
    </row>
    <row r="784" spans="1:7">
      <c r="A784" t="s">
        <v>2858</v>
      </c>
      <c r="B784" t="s">
        <v>2338</v>
      </c>
      <c r="C784" t="s">
        <v>1341</v>
      </c>
      <c r="D784" t="s">
        <v>3707</v>
      </c>
      <c r="E784">
        <v>1455</v>
      </c>
      <c r="F784">
        <v>197</v>
      </c>
      <c r="G784" t="s">
        <v>2859</v>
      </c>
    </row>
    <row r="785" spans="1:7">
      <c r="A785" t="s">
        <v>2860</v>
      </c>
      <c r="B785" t="s">
        <v>2338</v>
      </c>
      <c r="C785" t="s">
        <v>1341</v>
      </c>
      <c r="D785" t="s">
        <v>3708</v>
      </c>
      <c r="E785">
        <v>1497</v>
      </c>
      <c r="F785">
        <v>194</v>
      </c>
      <c r="G785" t="s">
        <v>2861</v>
      </c>
    </row>
    <row r="786" spans="1:7">
      <c r="A786" t="s">
        <v>2862</v>
      </c>
      <c r="B786" t="s">
        <v>2338</v>
      </c>
      <c r="C786" t="s">
        <v>1341</v>
      </c>
      <c r="D786" t="s">
        <v>3709</v>
      </c>
      <c r="E786">
        <v>1506</v>
      </c>
      <c r="F786">
        <v>199</v>
      </c>
      <c r="G786" t="s">
        <v>2863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25"/>
  <cols>
    <col min="1" max="1" width="18" customWidth="1"/>
    <col min="2" max="2" width="24" customWidth="1"/>
    <col min="3" max="3" width="95" customWidth="1"/>
    <col min="4" max="4" width="16" customWidth="1"/>
  </cols>
  <sheetData>
    <row r="1" spans="1:4" ht="15">
      <c r="A1" s="1" t="s">
        <v>2864</v>
      </c>
      <c r="B1" s="1" t="s">
        <v>2865</v>
      </c>
      <c r="C1" s="1" t="s">
        <v>2866</v>
      </c>
      <c r="D1" s="1" t="s">
        <v>2867</v>
      </c>
    </row>
    <row r="2" spans="1:4">
      <c r="A2" t="s">
        <v>2868</v>
      </c>
      <c r="B2" t="s">
        <v>2869</v>
      </c>
      <c r="C2" t="s">
        <v>2870</v>
      </c>
      <c r="D2" t="s">
        <v>13</v>
      </c>
    </row>
    <row r="3" spans="1:4">
      <c r="A3" t="s">
        <v>2868</v>
      </c>
      <c r="B3" t="s">
        <v>2871</v>
      </c>
      <c r="C3" t="s">
        <v>2872</v>
      </c>
      <c r="D3" t="s">
        <v>13</v>
      </c>
    </row>
    <row r="4" spans="1:4">
      <c r="A4" t="s">
        <v>2868</v>
      </c>
      <c r="B4" t="s">
        <v>2873</v>
      </c>
      <c r="C4" t="s">
        <v>2874</v>
      </c>
      <c r="D4" t="s">
        <v>13</v>
      </c>
    </row>
    <row r="5" spans="1:4">
      <c r="A5" t="s">
        <v>2868</v>
      </c>
      <c r="B5" t="s">
        <v>2875</v>
      </c>
      <c r="C5" t="s">
        <v>2876</v>
      </c>
      <c r="D5" t="s">
        <v>13</v>
      </c>
    </row>
    <row r="6" spans="1:4">
      <c r="A6" t="s">
        <v>2868</v>
      </c>
      <c r="B6" t="s">
        <v>1316</v>
      </c>
      <c r="C6" t="s">
        <v>2877</v>
      </c>
      <c r="D6" t="s">
        <v>13</v>
      </c>
    </row>
    <row r="7" spans="1:4">
      <c r="A7" t="s">
        <v>2868</v>
      </c>
      <c r="B7" t="s">
        <v>2878</v>
      </c>
      <c r="C7" t="s">
        <v>2879</v>
      </c>
      <c r="D7" t="s">
        <v>13</v>
      </c>
    </row>
    <row r="8" spans="1:4">
      <c r="A8" t="s">
        <v>2868</v>
      </c>
      <c r="B8" t="s">
        <v>1341</v>
      </c>
      <c r="C8" t="s">
        <v>2880</v>
      </c>
      <c r="D8" t="s">
        <v>13</v>
      </c>
    </row>
    <row r="9" spans="1:4">
      <c r="A9" t="s">
        <v>123</v>
      </c>
      <c r="B9" t="s">
        <v>32</v>
      </c>
      <c r="C9" t="s">
        <v>2881</v>
      </c>
      <c r="D9" t="s">
        <v>13</v>
      </c>
    </row>
    <row r="10" spans="1:4">
      <c r="A10" t="s">
        <v>138</v>
      </c>
      <c r="B10" t="s">
        <v>2882</v>
      </c>
      <c r="C10" t="s">
        <v>2883</v>
      </c>
      <c r="D10" t="s">
        <v>13</v>
      </c>
    </row>
    <row r="11" spans="1:4">
      <c r="A11" t="s">
        <v>2868</v>
      </c>
      <c r="B11" t="s">
        <v>2884</v>
      </c>
      <c r="C11" t="s">
        <v>2885</v>
      </c>
      <c r="D11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defaultRowHeight="14.25"/>
  <cols>
    <col min="1" max="1" width="32" customWidth="1"/>
    <col min="2" max="2" width="95" customWidth="1"/>
  </cols>
  <sheetData>
    <row r="1" spans="1:2" ht="15">
      <c r="A1" s="1" t="s">
        <v>2886</v>
      </c>
      <c r="B1" s="1" t="s">
        <v>2887</v>
      </c>
    </row>
    <row r="2" spans="1:2">
      <c r="A2" t="s">
        <v>2888</v>
      </c>
      <c r="B2" t="s">
        <v>2889</v>
      </c>
    </row>
    <row r="3" spans="1:2">
      <c r="A3" t="s">
        <v>2890</v>
      </c>
      <c r="B3" t="s">
        <v>2891</v>
      </c>
    </row>
    <row r="4" spans="1:2">
      <c r="A4" t="s">
        <v>2892</v>
      </c>
      <c r="B4" t="s">
        <v>2893</v>
      </c>
    </row>
    <row r="5" spans="1:2">
      <c r="A5" t="s">
        <v>2894</v>
      </c>
      <c r="B5" t="s">
        <v>2895</v>
      </c>
    </row>
    <row r="6" spans="1:2">
      <c r="A6" t="s">
        <v>2896</v>
      </c>
      <c r="B6" t="s">
        <v>2897</v>
      </c>
    </row>
    <row r="7" spans="1:2">
      <c r="A7" t="s">
        <v>2898</v>
      </c>
      <c r="B7" t="s">
        <v>2899</v>
      </c>
    </row>
    <row r="8" spans="1:2">
      <c r="A8" t="s">
        <v>2900</v>
      </c>
      <c r="B8" t="s">
        <v>2901</v>
      </c>
    </row>
    <row r="9" spans="1:2">
      <c r="A9" t="s">
        <v>2902</v>
      </c>
      <c r="B9" t="s">
        <v>2903</v>
      </c>
    </row>
    <row r="10" spans="1:2">
      <c r="A10" t="s">
        <v>2904</v>
      </c>
      <c r="B10" t="s">
        <v>2905</v>
      </c>
    </row>
    <row r="11" spans="1:2">
      <c r="A11" t="s">
        <v>2906</v>
      </c>
      <c r="B11" t="s">
        <v>2907</v>
      </c>
    </row>
    <row r="12" spans="1:2">
      <c r="A12" t="s">
        <v>2908</v>
      </c>
      <c r="B12" t="s">
        <v>2909</v>
      </c>
    </row>
    <row r="13" spans="1:2">
      <c r="A13" t="s">
        <v>2910</v>
      </c>
      <c r="B13" t="s">
        <v>2911</v>
      </c>
    </row>
    <row r="14" spans="1:2">
      <c r="A14" t="s">
        <v>2912</v>
      </c>
      <c r="B14" t="s">
        <v>2913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/>
  </sheetViews>
  <sheetFormatPr defaultRowHeight="14.25"/>
  <cols>
    <col min="1" max="1" width="30" customWidth="1"/>
    <col min="2" max="2" width="18" customWidth="1"/>
    <col min="4" max="4" width="22" customWidth="1"/>
    <col min="5" max="5" width="14" customWidth="1"/>
  </cols>
  <sheetData>
    <row r="1" spans="1:12">
      <c r="A1" s="8" t="s">
        <v>2914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15">
      <c r="A4" s="1" t="s">
        <v>2915</v>
      </c>
      <c r="B4" s="1" t="s">
        <v>2916</v>
      </c>
      <c r="D4" s="1" t="s">
        <v>0</v>
      </c>
      <c r="E4" s="1" t="s">
        <v>2917</v>
      </c>
    </row>
    <row r="5" spans="1:12" ht="15.75">
      <c r="A5" s="5" t="s">
        <v>2917</v>
      </c>
      <c r="B5" s="6">
        <f>COUNTA('Asset Queue'!A2:A260)</f>
        <v>259</v>
      </c>
      <c r="D5" t="s">
        <v>7</v>
      </c>
      <c r="E5">
        <f>COUNTIF('Asset Queue'!AA2:AA260,D5)</f>
        <v>259</v>
      </c>
    </row>
    <row r="6" spans="1:12" ht="15.75">
      <c r="A6" s="5" t="s">
        <v>2918</v>
      </c>
      <c r="B6" s="6">
        <f>COUNTA('Prompt Manifest'!A2:A786)</f>
        <v>785</v>
      </c>
      <c r="D6" t="s">
        <v>9</v>
      </c>
      <c r="E6">
        <f>COUNTIF('Asset Queue'!AA2:AA260,D6)</f>
        <v>0</v>
      </c>
    </row>
    <row r="7" spans="1:12" ht="15.75">
      <c r="A7" s="5" t="s">
        <v>2919</v>
      </c>
      <c r="B7" s="6">
        <f>SUM('Asset Queue'!AC2:AC260)</f>
        <v>14945</v>
      </c>
      <c r="D7" t="s">
        <v>20</v>
      </c>
      <c r="E7">
        <f>COUNTIF('Asset Queue'!AA2:AA260,D7)</f>
        <v>0</v>
      </c>
    </row>
    <row r="8" spans="1:12" ht="15.75">
      <c r="A8" s="5" t="s">
        <v>2920</v>
      </c>
      <c r="B8" s="6">
        <f>SUM('Asset Queue'!AD2:AD260)</f>
        <v>0</v>
      </c>
      <c r="D8" t="s">
        <v>26</v>
      </c>
      <c r="E8">
        <f>COUNTIF('Asset Queue'!AA2:AA260,D8)</f>
        <v>0</v>
      </c>
    </row>
    <row r="9" spans="1:12" ht="15.75">
      <c r="A9" s="5" t="s">
        <v>2921</v>
      </c>
      <c r="B9" s="6">
        <f>COUNTIF('Asset Queue'!AB2:AB260,"Approved")</f>
        <v>0</v>
      </c>
      <c r="D9" t="s">
        <v>31</v>
      </c>
      <c r="E9">
        <f>COUNTIF('Asset Queue'!AA2:AA260,D9)</f>
        <v>0</v>
      </c>
    </row>
    <row r="10" spans="1:12" ht="15.75">
      <c r="A10" s="5" t="s">
        <v>2922</v>
      </c>
      <c r="B10" s="7">
        <f>IFERROR(B9/B5,0)</f>
        <v>0</v>
      </c>
      <c r="D10" t="s">
        <v>27</v>
      </c>
      <c r="E10">
        <f>COUNTIF('Asset Queue'!AA2:AA260,D10)</f>
        <v>0</v>
      </c>
    </row>
    <row r="11" spans="1:12" ht="15.75">
      <c r="A11" s="5" t="s">
        <v>2923</v>
      </c>
      <c r="B11" s="6">
        <f>COUNTA('Attempt Log'!A2:A101)</f>
        <v>0</v>
      </c>
      <c r="D11" t="s">
        <v>35</v>
      </c>
      <c r="E11">
        <f>COUNTIF('Asset Queue'!AA2:AA260,D11)</f>
        <v>0</v>
      </c>
    </row>
    <row r="12" spans="1:12" ht="15.75">
      <c r="A12" s="5" t="s">
        <v>2924</v>
      </c>
      <c r="B12" s="6">
        <f>IFERROR(B8/B9,0)</f>
        <v>0</v>
      </c>
    </row>
  </sheetData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Lists</vt:lpstr>
      <vt:lpstr>README</vt:lpstr>
      <vt:lpstr>Settings &amp; Rates</vt:lpstr>
      <vt:lpstr>Asset Queue</vt:lpstr>
      <vt:lpstr>Attempt Log</vt:lpstr>
      <vt:lpstr>Batch Plan</vt:lpstr>
      <vt:lpstr>Prompt Manifest</vt:lpstr>
      <vt:lpstr>QA Checklist</vt:lpstr>
      <vt:lpstr>Rejection Reasons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Araujo Froes</cp:lastModifiedBy>
  <dcterms:modified xsi:type="dcterms:W3CDTF">2026-07-25T13:51:32Z</dcterms:modified>
</cp:coreProperties>
</file>