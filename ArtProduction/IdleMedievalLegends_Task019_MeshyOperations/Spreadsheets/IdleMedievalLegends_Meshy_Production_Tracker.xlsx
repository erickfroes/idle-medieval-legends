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7fe85893f643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bdca91ee5a3d4392"/>
    <x:sheet xmlns:r="http://schemas.openxmlformats.org/officeDocument/2006/relationships" name="README" sheetId="2" r:id="R32aa930ab6ee4080"/>
    <x:sheet xmlns:r="http://schemas.openxmlformats.org/officeDocument/2006/relationships" name="Settings &amp; Rates" sheetId="3" r:id="R553ed80e708249db"/>
    <x:sheet xmlns:r="http://schemas.openxmlformats.org/officeDocument/2006/relationships" name="Asset Queue" sheetId="4" r:id="Ra2eda955fcf24651"/>
    <x:sheet xmlns:r="http://schemas.openxmlformats.org/officeDocument/2006/relationships" name="Attempt Log" sheetId="5" r:id="Rd2f35e3225e749b7"/>
    <x:sheet xmlns:r="http://schemas.openxmlformats.org/officeDocument/2006/relationships" name="Batch Plan" sheetId="6" r:id="Rd7d5b9efccc84470"/>
    <x:sheet xmlns:r="http://schemas.openxmlformats.org/officeDocument/2006/relationships" name="Prompt Manifest" sheetId="7" r:id="Re218f17d73994751"/>
    <x:sheet xmlns:r="http://schemas.openxmlformats.org/officeDocument/2006/relationships" name="QA Checklist" sheetId="8" r:id="R584326468d8d4918"/>
    <x:sheet xmlns:r="http://schemas.openxmlformats.org/officeDocument/2006/relationships" name="Rejection Reasons" sheetId="9" r:id="R334b3d537cd5463c"/>
    <x:sheet xmlns:r="http://schemas.openxmlformats.org/officeDocument/2006/relationships" name="Dashboard" sheetId="10" r:id="R41ab37dffce747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D7A64A"/>
      <x:name val="Carlito"/>
    </x:font>
    <x:font>
      <x:b/>
      <x:sz val="11"/>
      <x:name val="Carlito"/>
    </x:font>
    <x:font>
      <x:b/>
      <x:sz val="12"/>
      <x:color rgb="FF14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4212B"/>
      </x:patternFill>
    </x:fill>
    <x:fill>
      <x:patternFill patternType="solid">
        <x:fgColor rgb="FFEEF3F5"/>
      </x:patternFill>
    </x:fill>
    <x:fill>
      <x:patternFill patternType="solid">
        <x:fgColor rgb="FFFAF5E8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201" fontId="4" fillId="4" borderId="0" xfId="0" applyNumberFormat="1" applyFont="1" applyFill="1" applyBorder="1"/>
    <x:xf numFmtId="201" fontId="4" fillId="4" borderId="1" xfId="0" applyNumberFormat="1" applyFont="1" applyFill="1" applyBorder="1"/>
  </x:cellXfs>
  <x:cellStyles count="1">
    <x:cellStyle name="Normal" xfId="0"/>
  </x:cellStyles>
  <x:dxfs count="2">
    <x:dxf>
      <x:font>
        <x:b/>
        <x:color rgb="FF176B45"/>
      </x:font>
      <x:fill>
        <x:patternFill patternType="solid">
          <x:bgColor rgb="FFD9F2E6"/>
        </x:patternFill>
      </x:fill>
    </x:dxf>
    <x:dxf>
      <x:fill>
        <x:patternFill patternType="solid">
          <x:bgColor rgb="FFFDECC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03a1c8eb7b4378" /><Relationship Type="http://schemas.openxmlformats.org/officeDocument/2006/relationships/theme" Target="/xl/theme/theme1.xml" Id="R163a2970ce304bf5" /><Relationship Type="http://schemas.openxmlformats.org/officeDocument/2006/relationships/sharedStrings" Target="/xl/sharedStrings.xml" Id="R9f24b0caa3784f1d" /><Relationship Type="http://schemas.openxmlformats.org/officeDocument/2006/relationships/worksheet" Target="/xl/worksheets/sheet1.xml" Id="Rbdca91ee5a3d4392" /><Relationship Type="http://schemas.openxmlformats.org/officeDocument/2006/relationships/worksheet" Target="/xl/worksheets/sheet2.xml" Id="R32aa930ab6ee4080" /><Relationship Type="http://schemas.openxmlformats.org/officeDocument/2006/relationships/worksheet" Target="/xl/worksheets/sheet3.xml" Id="R553ed80e708249db" /><Relationship Type="http://schemas.openxmlformats.org/officeDocument/2006/relationships/worksheet" Target="/xl/worksheets/sheet4.xml" Id="Ra2eda955fcf24651" /><Relationship Type="http://schemas.openxmlformats.org/officeDocument/2006/relationships/worksheet" Target="/xl/worksheets/sheet5.xml" Id="Rd2f35e3225e749b7" /><Relationship Type="http://schemas.openxmlformats.org/officeDocument/2006/relationships/worksheet" Target="/xl/worksheets/sheet6.xml" Id="Rd7d5b9efccc84470" /><Relationship Type="http://schemas.openxmlformats.org/officeDocument/2006/relationships/worksheet" Target="/xl/worksheets/sheet7.xml" Id="Re218f17d73994751" /><Relationship Type="http://schemas.openxmlformats.org/officeDocument/2006/relationships/worksheet" Target="/xl/worksheets/sheet8.xml" Id="R584326468d8d4918" /><Relationship Type="http://schemas.openxmlformats.org/officeDocument/2006/relationships/worksheet" Target="/xl/worksheets/sheet9.xml" Id="R334b3d537cd5463c" /><Relationship Type="http://schemas.openxmlformats.org/officeDocument/2006/relationships/worksheet" Target="/xl/worksheets/sheet10.xml" Id="R41ab37dffce747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4b530b1a104b0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Assets por status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Assets</c:v>
          </c:tx>
          <c:cat>
            <c:strRef>
              <c:f>'Dashboard'!$D$5:$D$11</c:f>
              <c:strCache>
                <c:ptCount val="0"/>
              </c:strCache>
            </c:strRef>
          </c:cat>
          <c:val>
            <c:numRef>
              <c:f>'Dashboard'!$E$5:$E$11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12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4b530b1a104b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fficialRateCard" displayName="OfficialRateCard" ref="A13:G20" headerRowCount="1">
  <x:tableColumns count="7">
    <x:tableColumn id="1" name="rate_key"/>
    <x:tableColumn id="2" name="operation"/>
    <x:tableColumn id="3" name="profile"/>
    <x:tableColumn id="4" name="credits"/>
    <x:tableColumn id="5" name="unit"/>
    <x:tableColumn id="6" name="verified_at"/>
    <x:tableColumn id="7" name="source_url"/>
  </x:tableColumns>
  <x:tableStyleInfo name="TableStyleMedium2" showRowStripes="1"/>
</x:table>
</file>

<file path=xl/tables/table2.xml><?xml version="1.0" encoding="utf-8"?>
<x:table xmlns:x="http://schemas.openxmlformats.org/spreadsheetml/2006/main" id="2" name="AssetQueueTable" displayName="AssetQueueTable" ref="A1:AG260" headerRowCount="1">
  <x:tableColumns count="33">
    <x:tableColumn id="1" name="asset_id"/>
    <x:tableColumn id="2" name="display_name_pt"/>
    <x:tableColumn id="3" name="display_name_en"/>
    <x:tableColumn id="4" name="source_task"/>
    <x:tableColumn id="5" name="asset_group"/>
    <x:tableColumn id="6" name="category"/>
    <x:tableColumn id="7" name="subcategory"/>
    <x:tableColumn id="8" name="phase"/>
    <x:tableColumn id="9" name="priority"/>
    <x:tableColumn id="10" name="batch_id"/>
    <x:tableColumn id="11" name="generation_method"/>
    <x:tableColumn id="12" name="source_art_required"/>
    <x:tableColumn id="13" name="target_polycount"/>
    <x:tableColumn id="14" name="texture_resolution"/>
    <x:tableColumn id="15" name="rig_required"/>
    <x:tableColumn id="16" name="animation_set"/>
    <x:tableColumn id="17" name="concept_prompt"/>
    <x:tableColumn id="18" name="geometry_prompt"/>
    <x:tableColumn id="19" name="texture_prompt"/>
    <x:tableColumn id="20" name="concept_attempts_planned"/>
    <x:tableColumn id="21" name="geometry_attempts_planned"/>
    <x:tableColumn id="22" name="remesh_attempts_planned"/>
    <x:tableColumn id="23" name="retexture_attempts_planned"/>
    <x:tableColumn id="24" name="rig_attempts_planned"/>
    <x:tableColumn id="25" name="approval_criteria"/>
    <x:tableColumn id="26" name="unity_path"/>
    <x:tableColumn id="27" name="status"/>
    <x:tableColumn id="28" name="approval_status"/>
    <x:tableColumn id="29" name="planned_credits"/>
    <x:tableColumn id="30" name="actual_credits"/>
    <x:tableColumn id="31" name="variance"/>
    <x:tableColumn id="32" name="attempt_count"/>
    <x:tableColumn id="33" name="selected_score"/>
  </x:tableColumns>
  <x:tableStyleInfo name="TableStyleMedium2" showRowStripes="1"/>
</x:table>
</file>

<file path=xl/tables/table3.xml><?xml version="1.0" encoding="utf-8"?>
<x:table xmlns:x="http://schemas.openxmlformats.org/spreadsheetml/2006/main" id="3" name="AttemptLogTable" displayName="AttemptLogTable" ref="A1:X101" headerRowCount="1">
  <x:tableColumns count="24">
    <x:tableColumn id="1" name="attempt_id"/>
    <x:tableColumn id="2" name="asset_id"/>
    <x:tableColumn id="3" name="batch_id"/>
    <x:tableColumn id="4" name="operation"/>
    <x:tableColumn id="5" name="provider"/>
    <x:tableColumn id="6" name="model"/>
    <x:tableColumn id="7" name="candidate_index"/>
    <x:tableColumn id="8" name="task_id"/>
    <x:tableColumn id="9" name="started_at"/>
    <x:tableColumn id="10" name="completed_at"/>
    <x:tableColumn id="11" name="credits_used"/>
    <x:tableColumn id="12" name="status"/>
    <x:tableColumn id="13" name="output_path"/>
    <x:tableColumn id="14" name="selected"/>
    <x:tableColumn id="15" name="silhouette"/>
    <x:tableColumn id="16" name="style"/>
    <x:tableColumn id="17" name="geometry"/>
    <x:tableColumn id="18" name="texture"/>
    <x:tableColumn id="19" name="technical"/>
    <x:tableColumn id="20" name="mobile_readability"/>
    <x:tableColumn id="21" name="total_score"/>
    <x:tableColumn id="22" name="rejection_reason"/>
    <x:tableColumn id="23" name="reviewer"/>
    <x:tableColumn id="2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BatchPlanTable" displayName="BatchPlanTable" ref="A1:O26" headerRowCount="1">
  <x:tableColumns count="15">
    <x:tableColumn id="1" name="batch_id"/>
    <x:tableColumn id="2" name="sequence"/>
    <x:tableColumn id="3" name="batch_name"/>
    <x:tableColumn id="4" name="phase"/>
    <x:tableColumn id="5" name="priority"/>
    <x:tableColumn id="6" name="asset_count"/>
    <x:tableColumn id="7" name="manual_webapp_planned_credits"/>
    <x:tableColumn id="8" name="api_meshy6_high_quality_planned_credits"/>
    <x:tableColumn id="9" name="entry_gate"/>
    <x:tableColumn id="10" name="exit_gate"/>
    <x:tableColumn id="11" name="status"/>
    <x:tableColumn id="12" name="actual_credits"/>
    <x:tableColumn id="13" name="approved_assets"/>
    <x:tableColumn id="14" name="approval_rate"/>
    <x:tableColumn id="15" name="variance"/>
  </x:tableColumns>
  <x:tableStyleInfo name="TableStyleMedium2" showRowStripes="1"/>
</x:table>
</file>

<file path=xl/tables/table5.xml><?xml version="1.0" encoding="utf-8"?>
<x:table xmlns:x="http://schemas.openxmlformats.org/spreadsheetml/2006/main" id="5" name="PromptManifestTable" displayName="PromptManifestTable" ref="A1:G786" headerRowCount="1">
  <x:tableColumns count="7">
    <x:tableColumn id="1" name="prompt_id"/>
    <x:tableColumn id="2" name="domain"/>
    <x:tableColumn id="3" name="prompt_type"/>
    <x:tableColumn id="4" name="path"/>
    <x:tableColumn id="5" name="characters"/>
    <x:tableColumn id="6" name="words"/>
    <x:tableColumn id="7" name="sha256"/>
  </x:tableColumns>
  <x:tableStyleInfo name="TableStyleMedium2" showRowStripes="1"/>
</x:table>
</file>

<file path=xl/tables/table6.xml><?xml version="1.0" encoding="utf-8"?>
<x:table xmlns:x="http://schemas.openxmlformats.org/spreadsheetml/2006/main" id="6" name="QATable" displayName="QATable" ref="A1:D11" headerRowCount="1">
  <x:tableColumns count="4">
    <x:tableColumn id="1" name="applies_to"/>
    <x:tableColumn id="2" name="area"/>
    <x:tableColumn id="3" name="check"/>
    <x:tableColumn id="4" name="severity"/>
  </x:tableColumns>
  <x:tableStyleInfo name="TableStyleMedium2" showRowStripes="1"/>
</x:table>
</file>

<file path=xl/tables/table7.xml><?xml version="1.0" encoding="utf-8"?>
<x:table xmlns:x="http://schemas.openxmlformats.org/spreadsheetml/2006/main" id="7" name="RejectTable" displayName="RejectTable" ref="A1:B14" headerRowCount="1">
  <x:tableColumns count="2">
    <x:tableColumn id="1" name="reason_code"/>
    <x:tableColumn id="2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ddedd2af7684f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1263e5d852b48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a4c0ff9bf0641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f7d31b20b3a48d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0c755074377d416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0f23c10475f9481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cd1306710a6465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.xml" Id="R440ab3630a934c5f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6" t="str">
        <x:v>Status</x:v>
      </x:c>
      <x:c r="B1" s="6" t="str">
        <x:v>Approval</x:v>
      </x:c>
      <x:c r="C1" s="6" t="str">
        <x:v>Operation</x:v>
      </x:c>
      <x:c r="D1" s="6" t="str">
        <x:v>Attempt Status</x:v>
      </x:c>
      <x:c r="E1" s="6" t="str">
        <x:v>Selected</x:v>
      </x:c>
      <x:c r="F1" s="6" t="str">
        <x:v>Provider</x:v>
      </x:c>
      <x:c r="G1" s="6" t="str">
        <x:v>Severity</x:v>
      </x:c>
    </x:row>
    <x:row r="2">
      <x:c r="A2" t="str">
        <x:v>Not Started</x:v>
      </x:c>
      <x:c r="B2" t="str">
        <x:v>Pending</x:v>
      </x:c>
      <x:c r="C2" t="str">
        <x:v>Concept</x:v>
      </x:c>
      <x:c r="D2" t="str">
        <x:v>Queued</x:v>
      </x:c>
      <x:c r="E2" t="str">
        <x:v>No</x:v>
      </x:c>
      <x:c r="F2" t="str">
        <x:v>Manual Web App</x:v>
      </x:c>
      <x:c r="G2" t="str">
        <x:v>Critical</x:v>
      </x:c>
    </x:row>
    <x:row r="3">
      <x:c r="A3" t="str">
        <x:v>Concept</x:v>
      </x:c>
      <x:c r="B3" t="str">
        <x:v>Rejected</x:v>
      </x:c>
      <x:c r="C3" t="str">
        <x:v>3D Generation</x:v>
      </x:c>
      <x:c r="D3" t="str">
        <x:v>Running</x:v>
      </x:c>
      <x:c r="E3" t="str">
        <x:v>Yes</x:v>
      </x:c>
      <x:c r="F3" t="str">
        <x:v>API Meshy 6</x:v>
      </x:c>
      <x:c r="G3" t="str">
        <x:v>Major</x:v>
      </x:c>
    </x:row>
    <x:row r="4">
      <x:c r="A4" t="str">
        <x:v>Generating</x:v>
      </x:c>
      <x:c r="B4" t="str">
        <x:v>Rework</x:v>
      </x:c>
      <x:c r="C4" t="str">
        <x:v>Remesh</x:v>
      </x:c>
      <x:c r="D4" t="str">
        <x:v>Completed</x:v>
      </x:c>
      <x:c r="E4" t="str"/>
      <x:c r="F4" t="str">
        <x:v>API Smart Topology</x:v>
      </x:c>
      <x:c r="G4" t="str">
        <x:v>Minor</x:v>
      </x:c>
    </x:row>
    <x:row r="5">
      <x:c r="A5" t="str">
        <x:v>Post-processing</x:v>
      </x:c>
      <x:c r="B5" t="str">
        <x:v>Approved</x:v>
      </x:c>
      <x:c r="C5" t="str">
        <x:v>Retexture</x:v>
      </x:c>
      <x:c r="D5" t="str">
        <x:v>Failed</x:v>
      </x:c>
      <x:c r="E5" t="str"/>
      <x:c r="F5" t="str">
        <x:v>External Concept</x:v>
      </x:c>
      <x:c r="G5" t="str"/>
    </x:row>
    <x:row r="6">
      <x:c r="A6" t="str">
        <x:v>Unity QA</x:v>
      </x:c>
      <x:c r="B6" t="str"/>
      <x:c r="C6" t="str">
        <x:v>Rig</x:v>
      </x:c>
      <x:c r="D6" t="str">
        <x:v>Cancelled</x:v>
      </x:c>
      <x:c r="E6" t="str"/>
      <x:c r="F6" t="str"/>
      <x:c r="G6" t="str"/>
    </x:row>
    <x:row r="7">
      <x:c r="A7" t="str">
        <x:v>Approved</x:v>
      </x:c>
      <x:c r="B7" t="str"/>
      <x:c r="C7" t="str">
        <x:v>Animation</x:v>
      </x:c>
      <x:c r="D7" t="str"/>
      <x:c r="E7" t="str"/>
      <x:c r="F7" t="str"/>
      <x:c r="G7" t="str"/>
    </x:row>
    <x:row r="8">
      <x:c r="A8" t="str">
        <x:v>Blocked</x:v>
      </x:c>
      <x:c r="B8" t="str"/>
      <x:c r="C8" t="str">
        <x:v>Convert</x:v>
      </x:c>
      <x:c r="D8" t="str"/>
      <x:c r="E8" t="str"/>
      <x:c r="F8" t="str"/>
      <x:c r="G8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90" hidden="0" customWidth="1"/>
  </x:cols>
  <x:sheetData>
    <x:row r="1">
      <x:c r="A1" s="13" t="str">
        <x:v>IDLE MEDIEVAL LEGENDS — MESHY PRODUCTION TRACKER</x:v>
      </x:c>
      <x:c r="B1" s="13"/>
      <x:c r="C1" s="13"/>
      <x:c r="D1" s="13"/>
      <x:c r="E1" s="13"/>
      <x:c r="F1" s="13"/>
      <x:c r="G1" s="13"/>
      <x:c r="H1" s="13"/>
    </x:row>
    <x:row r="2">
      <x:c r="A2" s="13"/>
      <x:c r="B2" s="13"/>
      <x:c r="C2" s="13"/>
      <x:c r="D2" s="13"/>
      <x:c r="E2" s="13"/>
      <x:c r="F2" s="13"/>
      <x:c r="G2" s="13"/>
      <x:c r="H2" s="13"/>
    </x:row>
    <x:row r="4">
      <x:c r="A4" s="6" t="str">
        <x:v>Passo</x:v>
      </x:c>
      <x:c r="B4" s="6" t="str">
        <x:v>Ação</x:v>
      </x:c>
    </x:row>
    <x:row r="5">
      <x:c r="A5" s="16" t="n">
        <x:v>1</x:v>
      </x:c>
      <x:c r="B5" s="16" t="str">
        <x:v>Comece por B00_CALIBRATION.</x:v>
      </x:c>
    </x:row>
    <x:row r="6">
      <x:c r="A6" s="16" t="n">
        <x:v>2</x:v>
      </x:c>
      <x:c r="B6" s="16" t="str">
        <x:v>Registre cada operação no Attempt Log.</x:v>
      </x:c>
    </x:row>
    <x:row r="7">
      <x:c r="A7" s="16" t="n">
        <x:v>3</x:v>
      </x:c>
      <x:c r="B7" s="16" t="str">
        <x:v>Marque Selected = Yes apenas no candidato escolhido.</x:v>
      </x:c>
    </x:row>
    <x:row r="8">
      <x:c r="A8" s="16" t="n">
        <x:v>4</x:v>
      </x:c>
      <x:c r="B8" s="16" t="str">
        <x:v>Ajuste as tarifas antes de iniciar um lote.</x:v>
      </x:c>
    </x:row>
    <x:row r="9">
      <x:c r="A9" s="16" t="n">
        <x:v>5</x:v>
      </x:c>
      <x:c r="B9" s="16" t="str">
        <x:v>Não aplique pós-processamento em candidatos rejeitados.</x:v>
      </x:c>
    </x:row>
    <x:row r="10">
      <x:c r="A10" s="16" t="n">
        <x:v>6</x:v>
      </x:c>
      <x:c r="B10" s="16" t="str">
        <x:v>Use o arquivo combinado do asset como roteiro.</x:v>
      </x:c>
    </x:row>
    <x:row r="11">
      <x:c r="A11" s="16" t="n">
        <x:v>7</x:v>
      </x:c>
      <x:c r="B11" s="16" t="str">
        <x:v>Aprovação no Meshy não substitui QA no Unity.</x:v>
      </x:c>
    </x:row>
    <x:row r="12">
      <x:c r="A12" s="16" t="n">
        <x:v>8</x:v>
      </x:c>
      <x:c r="B12" s="16" t="str">
        <x:v>Amplie o Attempt Log quando as 100 linhas iniciais forem usadas.</x:v>
      </x:c>
    </x:row>
  </x:sheetData>
  <x:mergeCells>
    <x:mergeCell ref="A1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12" hidden="0" customWidth="1"/>
    <x:col min="5" max="5" width="18" hidden="0" customWidth="1"/>
    <x:col min="6" max="6" width="16" hidden="0" customWidth="1"/>
    <x:col min="7" max="7" width="62" hidden="0" customWidth="1"/>
  </x:cols>
  <x:sheetData>
    <x:row r="1">
      <x:c r="A1" s="13" t="str">
        <x:v>CONFIGURAÇÃO DE CRÉDITOS</x:v>
      </x:c>
      <x:c r="B1" s="13"/>
      <x:c r="C1" s="13"/>
      <x:c r="D1" s="13"/>
      <x:c r="E1" s="13"/>
      <x:c r="F1" s="13"/>
      <x:c r="G1" s="13"/>
      <x:c r="H1" s="13"/>
    </x:row>
    <x:row r="2">
      <x:c r="A2" s="13"/>
      <x:c r="B2" s="13"/>
      <x:c r="C2" s="13"/>
      <x:c r="D2" s="13"/>
      <x:c r="E2" s="13"/>
      <x:c r="F2" s="13"/>
      <x:c r="G2" s="13"/>
      <x:c r="H2" s="13"/>
    </x:row>
    <x:row r="4">
      <x:c r="A4" s="6" t="str">
        <x:v>Operação</x:v>
      </x:c>
      <x:c r="B4" s="6" t="str">
        <x:v>Créditos</x:v>
      </x:c>
      <x:c r="C4" s="6" t="str">
        <x:v>Uso</x:v>
      </x:c>
    </x:row>
    <x:row r="5">
      <x:c r="A5" t="str">
        <x:v>Concept</x:v>
      </x:c>
      <x:c r="B5" t="n">
        <x:v>0</x:v>
      </x:c>
      <x:c r="C5" t="str">
        <x:v>0 quando produzido fora do Meshy.</x:v>
      </x:c>
    </x:row>
    <x:row r="6">
      <x:c r="A6" t="str">
        <x:v>3D Generation</x:v>
      </x:c>
      <x:c r="B6" t="n">
        <x:v>20</x:v>
      </x:c>
      <x:c r="C6" t="str">
        <x:v>Manual; use 30 para API Meshy 6 texturizada.</x:v>
      </x:c>
    </x:row>
    <x:row r="7">
      <x:c r="A7" t="str">
        <x:v>Remesh</x:v>
      </x:c>
      <x:c r="B7" t="n">
        <x:v>5</x:v>
      </x:c>
      <x:c r="C7" t="str">
        <x:v>Somente candidato selecionado.</x:v>
      </x:c>
    </x:row>
    <x:row r="8">
      <x:c r="A8" t="str">
        <x:v>Retexture</x:v>
      </x:c>
      <x:c r="B8" t="n">
        <x:v>10</x:v>
      </x:c>
      <x:c r="C8" t="str">
        <x:v>Correção opcional.</x:v>
      </x:c>
    </x:row>
    <x:row r="9">
      <x:c r="A9" t="str">
        <x:v>Rig</x:v>
      </x:c>
      <x:c r="B9" t="n">
        <x:v>5</x:v>
      </x:c>
      <x:c r="C9" t="str">
        <x:v>Somente personagem aprovado.</x:v>
      </x:c>
    </x:row>
    <x:row r="10">
      <x:c r="A10" t="str">
        <x:v>Animation</x:v>
      </x:c>
      <x:c r="B10" t="n">
        <x:v>3</x:v>
      </x:c>
      <x:c r="C10" t="str">
        <x:v>Por animação; priorizar retargeting.</x:v>
      </x:c>
    </x:row>
    <x:row r="13">
      <x:c r="A13" s="6" t="str">
        <x:v>rate_key</x:v>
      </x:c>
      <x:c r="B13" s="6" t="str">
        <x:v>operation</x:v>
      </x:c>
      <x:c r="C13" s="6" t="str">
        <x:v>profile</x:v>
      </x:c>
      <x:c r="D13" s="6" t="str">
        <x:v>credits</x:v>
      </x:c>
      <x:c r="E13" s="6" t="str">
        <x:v>unit</x:v>
      </x:c>
      <x:c r="F13" s="6" t="str">
        <x:v>verified_at</x:v>
      </x:c>
      <x:c r="G13" s="6" t="str">
        <x:v>source_url</x:v>
      </x:c>
    </x:row>
    <x:row r="14">
      <x:c r="A14" t="str">
        <x:v>WEBAPP_FULL_3D</x:v>
      </x:c>
      <x:c r="B14" t="str">
        <x:v>Full Text/Image to 3D</x:v>
      </x:c>
      <x:c r="C14" t="str">
        <x:v>Manual Web App</x:v>
      </x:c>
      <x:c r="D14" t="n">
        <x:v>20</x:v>
      </x:c>
      <x:c r="E14" t="str">
        <x:v>per generation</x:v>
      </x:c>
      <x:c r="F14" t="str">
        <x:v>2026-07-24</x:v>
      </x:c>
      <x:c r="G14" t="str">
        <x:v>https://docs.meshy.ai/en/webapp/pricing</x:v>
      </x:c>
    </x:row>
    <x:row r="15">
      <x:c r="A15" t="str">
        <x:v>API_IMAGE3D_MESHY6_TEXTURED</x:v>
      </x:c>
      <x:c r="B15" t="str">
        <x:v>Image/Multi-Image to 3D with texture</x:v>
      </x:c>
      <x:c r="C15" t="str">
        <x:v>API Meshy 6</x:v>
      </x:c>
      <x:c r="D15" t="n">
        <x:v>30</x:v>
      </x:c>
      <x:c r="E15" t="str">
        <x:v>per call</x:v>
      </x:c>
      <x:c r="F15" t="str">
        <x:v>2026-07-24</x:v>
      </x:c>
      <x:c r="G15" t="str">
        <x:v>https://docs.meshy.ai/en/api/pricing</x:v>
      </x:c>
    </x:row>
    <x:row r="16">
      <x:c r="A16" t="str">
        <x:v>REMESH</x:v>
      </x:c>
      <x:c r="B16" t="str">
        <x:v>Remesh</x:v>
      </x:c>
      <x:c r="C16" t="str">
        <x:v>Post-processing</x:v>
      </x:c>
      <x:c r="D16" t="n">
        <x:v>5</x:v>
      </x:c>
      <x:c r="E16" t="str">
        <x:v>per task</x:v>
      </x:c>
      <x:c r="F16" t="str">
        <x:v>2026-07-24</x:v>
      </x:c>
      <x:c r="G16" t="str">
        <x:v>https://docs.meshy.ai/en/api/pricing</x:v>
      </x:c>
    </x:row>
    <x:row r="17">
      <x:c r="A17" t="str">
        <x:v>RETEXTURE</x:v>
      </x:c>
      <x:c r="B17" t="str">
        <x:v>Retexture</x:v>
      </x:c>
      <x:c r="C17" t="str">
        <x:v>Post-processing</x:v>
      </x:c>
      <x:c r="D17" t="n">
        <x:v>10</x:v>
      </x:c>
      <x:c r="E17" t="str">
        <x:v>per task</x:v>
      </x:c>
      <x:c r="F17" t="str">
        <x:v>2026-07-24</x:v>
      </x:c>
      <x:c r="G17" t="str">
        <x:v>https://docs.meshy.ai/en/api/pricing</x:v>
      </x:c>
    </x:row>
    <x:row r="18">
      <x:c r="A18" t="str">
        <x:v>AUTO_RIG</x:v>
      </x:c>
      <x:c r="B18" t="str">
        <x:v>Auto-Rigging</x:v>
      </x:c>
      <x:c r="C18" t="str">
        <x:v>Post-processing</x:v>
      </x:c>
      <x:c r="D18" t="n">
        <x:v>5</x:v>
      </x:c>
      <x:c r="E18" t="str">
        <x:v>per character</x:v>
      </x:c>
      <x:c r="F18" t="str">
        <x:v>2026-07-24</x:v>
      </x:c>
      <x:c r="G18" t="str">
        <x:v>https://docs.meshy.ai/en/api/pricing</x:v>
      </x:c>
    </x:row>
    <x:row r="19">
      <x:c r="A19" t="str">
        <x:v>ANIMATION</x:v>
      </x:c>
      <x:c r="B19" t="str">
        <x:v>Animation</x:v>
      </x:c>
      <x:c r="C19" t="str">
        <x:v>Post-processing</x:v>
      </x:c>
      <x:c r="D19" t="n">
        <x:v>3</x:v>
      </x:c>
      <x:c r="E19" t="str">
        <x:v>per animation</x:v>
      </x:c>
      <x:c r="F19" t="str">
        <x:v>2026-07-24</x:v>
      </x:c>
      <x:c r="G19" t="str">
        <x:v>https://docs.meshy.ai/en/api/pricing</x:v>
      </x:c>
    </x:row>
    <x:row r="20">
      <x:c r="A20" t="str">
        <x:v>TEXT_IMAGE_HIGH</x:v>
      </x:c>
      <x:c r="B20" t="str">
        <x:v>Text to Image high fidelity</x:v>
      </x:c>
      <x:c r="C20" t="str">
        <x:v>Concept art</x:v>
      </x:c>
      <x:c r="D20" t="n">
        <x:v>9</x:v>
      </x:c>
      <x:c r="E20" t="str">
        <x:v>per image</x:v>
      </x:c>
      <x:c r="F20" t="str">
        <x:v>2026-07-24</x:v>
      </x:c>
      <x:c r="G20" t="str">
        <x:v>https://docs.meshy.ai/en/api/pricing</x:v>
      </x:c>
    </x:row>
  </x:sheetData>
  <x:mergeCells>
    <x:mergeCell ref="A1:H2"/>
  </x:mergeCells>
  <x:pageMargins left="0.7" right="0.7" top="0.75" bottom="0.75" header="0.3" footer="0.3"/>
  <x:tableParts count="1">
    <x:tablePart xmlns:r="http://schemas.openxmlformats.org/officeDocument/2006/relationships" r:id="Raddedd2af7684f9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8" hidden="0" customWidth="1"/>
    <x:col min="3" max="3" width="28" hidden="0" customWidth="1"/>
    <x:col min="4" max="4" width="12" hidden="0" customWidth="1"/>
    <x:col min="5" max="5" width="16" hidden="0" customWidth="1"/>
    <x:col min="6" max="6" width="18" hidden="0" customWidth="1"/>
    <x:col min="7" max="7" width="22" hidden="0" customWidth="1"/>
    <x:col min="8" max="8" width="20" hidden="0" customWidth="1"/>
    <x:col min="9" max="9" width="10" hidden="0" customWidth="1"/>
    <x:col min="10" max="10" width="28" hidden="0" customWidth="1"/>
    <x:col min="11" max="11" width="24" hidden="0" customWidth="1"/>
    <x:col min="12" max="12" width="16" hidden="0" customWidth="1"/>
    <x:col min="13" max="13" width="15" hidden="0" customWidth="1"/>
    <x:col min="14" max="14" width="18" hidden="0" customWidth="1"/>
    <x:col min="15" max="15" width="12" hidden="0" customWidth="1"/>
    <x:col min="16" max="16" width="28" hidden="0" customWidth="1"/>
    <x:col min="17" max="17" width="50" hidden="0" customWidth="1"/>
    <x:col min="18" max="18" width="50" hidden="0" customWidth="1"/>
    <x:col min="19" max="19" width="50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60" hidden="0" customWidth="1"/>
    <x:col min="26" max="26" width="55" hidden="0" customWidth="1"/>
    <x:col min="27" max="27" width="18" hidden="0" customWidth="1"/>
    <x:col min="28" max="28" width="18" hidden="0" customWidth="1"/>
    <x:col min="29" max="29" width="16" hidden="0" customWidth="1"/>
    <x:col min="30" max="30" width="16" hidden="0" customWidth="1"/>
    <x:col min="31" max="31" width="14" hidden="0" customWidth="1"/>
    <x:col min="32" max="32" width="14" hidden="0" customWidth="1"/>
    <x:col min="33" max="33" width="14" hidden="0" customWidth="1"/>
  </x:cols>
  <x:sheetData>
    <x:row r="1">
      <x:c r="A1" s="6" t="str">
        <x:v>asset_id</x:v>
      </x:c>
      <x:c r="B1" s="6" t="str">
        <x:v>display_name_pt</x:v>
      </x:c>
      <x:c r="C1" s="6" t="str">
        <x:v>display_name_en</x:v>
      </x:c>
      <x:c r="D1" s="6" t="str">
        <x:v>source_task</x:v>
      </x:c>
      <x:c r="E1" s="6" t="str">
        <x:v>asset_group</x:v>
      </x:c>
      <x:c r="F1" s="6" t="str">
        <x:v>category</x:v>
      </x:c>
      <x:c r="G1" s="6" t="str">
        <x:v>subcategory</x:v>
      </x:c>
      <x:c r="H1" s="6" t="str">
        <x:v>phase</x:v>
      </x:c>
      <x:c r="I1" s="6" t="str">
        <x:v>priority</x:v>
      </x:c>
      <x:c r="J1" s="6" t="str">
        <x:v>batch_id</x:v>
      </x:c>
      <x:c r="K1" s="6" t="str">
        <x:v>generation_method</x:v>
      </x:c>
      <x:c r="L1" s="6" t="str">
        <x:v>source_art_required</x:v>
      </x:c>
      <x:c r="M1" s="6" t="str">
        <x:v>target_polycount</x:v>
      </x:c>
      <x:c r="N1" s="6" t="str">
        <x:v>texture_resolution</x:v>
      </x:c>
      <x:c r="O1" s="6" t="str">
        <x:v>rig_required</x:v>
      </x:c>
      <x:c r="P1" s="6" t="str">
        <x:v>animation_set</x:v>
      </x:c>
      <x:c r="Q1" s="6" t="str">
        <x:v>concept_prompt</x:v>
      </x:c>
      <x:c r="R1" s="6" t="str">
        <x:v>geometry_prompt</x:v>
      </x:c>
      <x:c r="S1" s="6" t="str">
        <x:v>texture_prompt</x:v>
      </x:c>
      <x:c r="T1" s="6" t="str">
        <x:v>concept_attempts_planned</x:v>
      </x:c>
      <x:c r="U1" s="6" t="str">
        <x:v>geometry_attempts_planned</x:v>
      </x:c>
      <x:c r="V1" s="6" t="str">
        <x:v>remesh_attempts_planned</x:v>
      </x:c>
      <x:c r="W1" s="6" t="str">
        <x:v>retexture_attempts_planned</x:v>
      </x:c>
      <x:c r="X1" s="6" t="str">
        <x:v>rig_attempts_planned</x:v>
      </x:c>
      <x:c r="Y1" s="6" t="str">
        <x:v>approval_criteria</x:v>
      </x:c>
      <x:c r="Z1" s="6" t="str">
        <x:v>unity_path</x:v>
      </x:c>
      <x:c r="AA1" s="6" t="str">
        <x:v>status</x:v>
      </x:c>
      <x:c r="AB1" s="6" t="str">
        <x:v>approval_status</x:v>
      </x:c>
      <x:c r="AC1" s="6" t="str">
        <x:v>planned_credits</x:v>
      </x:c>
      <x:c r="AD1" s="6" t="str">
        <x:v>actual_credits</x:v>
      </x:c>
      <x:c r="AE1" s="6" t="str">
        <x:v>variance</x:v>
      </x:c>
      <x:c r="AF1" s="6" t="str">
        <x:v>attempt_count</x:v>
      </x:c>
      <x:c r="AG1" s="6" t="str">
        <x:v>selected_score</x:v>
      </x:c>
    </x:row>
    <x:row r="2">
      <x:c r="A2" t="str">
        <x:v>enemy_goblin_scavenger_001</x:v>
      </x:c>
      <x:c r="B2" t="str">
        <x:v>Goblin Saqueador</x:v>
      </x:c>
      <x:c r="C2" t="str">
        <x:v>Goblin Scavenger</x:v>
      </x:c>
      <x:c r="D2" t="str">
        <x:v>Task016</x:v>
      </x:c>
      <x:c r="E2" t="str">
        <x:v>Character</x:v>
      </x:c>
      <x:c r="F2" t="str">
        <x:v>Common Enemy</x:v>
      </x:c>
      <x:c r="G2" t="str">
        <x:v>Common</x:v>
      </x:c>
      <x:c r="H2" t="str">
        <x:v>Vertical Slice</x:v>
      </x:c>
      <x:c r="I2" t="str">
        <x:v>P0</x:v>
      </x:c>
      <x:c r="J2" t="str">
        <x:v>B00_CALIBRATION</x:v>
      </x:c>
      <x:c r="K2" t="str">
        <x:v>Image to 3D</x:v>
      </x:c>
      <x:c r="L2" t="str">
        <x:v>Yes</x:v>
      </x:c>
      <x:c r="M2" t="n">
        <x:v>4000</x:v>
      </x:c>
      <x:c r="N2" t="str">
        <x:v>1024×1024</x:v>
      </x:c>
      <x:c r="O2" t="str">
        <x:v>Yes</x:v>
      </x:c>
      <x:c r="P2" t="str">
        <x:v>anim_enemy_goblin_melee</x:v>
      </x:c>
      <x:c r="Q2" t="str">
        <x:v>Task016/ConceptArt/enemy_goblin_scavenger_001_concept_sheet.txt</x:v>
      </x:c>
      <x:c r="R2" t="str">
        <x:v>Task016/Meshy/enemy_goblin_scavenger_001_meshy_character.txt</x:v>
      </x:c>
      <x:c r="S2" t="str">
        <x:v>Task016/Texture/enemy_goblin_scavenger_001_texture.txt</x:v>
      </x:c>
      <x:c r="T2" t="n">
        <x:v>2</x:v>
      </x:c>
      <x:c r="U2" t="n">
        <x:v>3</x:v>
      </x:c>
      <x:c r="V2" t="n">
        <x:v>1</x:v>
      </x:c>
      <x:c r="W2" t="n">
        <x:v>1</x:v>
      </x:c>
      <x:c r="X2" t="n">
        <x:v>1</x:v>
      </x:c>
      <x:c r="Y2" t="str">
        <x:v>Reads as lowest-tier scavenger; remains threatening rather than adorable; backpack and ears create silhouette; feet and hands are riggable; no prop intersects elbow range.</x:v>
      </x:c>
      <x:c r="Z2" t="str">
        <x:v>Assets/_Game/Art/Characters/enemy_goblin_scavenger_001</x:v>
      </x:c>
      <x:c r="AA2" t="str">
        <x:v>Not Started</x:v>
      </x:c>
      <x:c r="AB2" t="str">
        <x:v>Pending</x:v>
      </x:c>
      <x:c r="AC2" s="18" t="n">
        <x:f>T2*'Settings &amp; Rates'!$B$5+U2*'Settings &amp; Rates'!$B$6+V2*'Settings &amp; Rates'!$B$7+W2*'Settings &amp; Rates'!$B$8+X2*'Settings &amp; Rates'!$B$9</x:f>
        <x:v>80</x:v>
      </x:c>
      <x:c r="AD2" s="18" t="n">
        <x:f>SUMIF('Attempt Log'!$B$2:$B$101,A2,'Attempt Log'!$K$2:$K$101)</x:f>
        <x:v>0</x:v>
      </x:c>
      <x:c r="AE2" s="18" t="n">
        <x:f>AD2-AC2</x:f>
        <x:v>-80</x:v>
      </x:c>
      <x:c r="AF2" t="n">
        <x:f>COUNTIF('Attempt Log'!$B$2:$B$101,A2)</x:f>
        <x:v>0</x:v>
      </x:c>
      <x:c r="AG2" t="n">
        <x:f>IFERROR(SUMIFS('Attempt Log'!$U$2:$U$101,'Attempt Log'!$B$2:$B$101,A2,'Attempt Log'!$N$2:$N$101,"Yes")/COUNTIFS('Attempt Log'!$B$2:$B$101,A2,'Attempt Log'!$N$2:$N$101,"Yes"),0)</x:f>
        <x:v>0</x:v>
      </x:c>
    </x:row>
    <x:row r="3">
      <x:c r="A3" t="str">
        <x:v>env_goblin_mine_goblin_crate_001</x:v>
      </x:c>
      <x:c r="B3" t="str">
        <x:v>Caixote Goblin</x:v>
      </x:c>
      <x:c r="C3" t="str">
        <x:v>Goblin Crate</x:v>
      </x:c>
      <x:c r="D3" t="str">
        <x:v>Task018</x:v>
      </x:c>
      <x:c r="E3" t="str">
        <x:v>Environment</x:v>
      </x:c>
      <x:c r="F3" t="str">
        <x:v>Environment</x:v>
      </x:c>
      <x:c r="G3" t="str">
        <x:v>prop</x:v>
      </x:c>
      <x:c r="H3" t="str">
        <x:v>Vertical Slice</x:v>
      </x:c>
      <x:c r="I3" t="str">
        <x:v>P0</x:v>
      </x:c>
      <x:c r="J3" t="str">
        <x:v>B00_CALIBRATION</x:v>
      </x:c>
      <x:c r="K3" t="str">
        <x:v>Text to 3D</x:v>
      </x:c>
      <x:c r="L3" t="str">
        <x:v>Optional</x:v>
      </x:c>
      <x:c r="M3" t="n">
        <x:v>575</x:v>
      </x:c>
      <x:c r="N3" t="str">
        <x:v>1024x1024</x:v>
      </x:c>
      <x:c r="O3" t="str">
        <x:v>No</x:v>
      </x:c>
      <x:c r="P3" t="str">
        <x:v>None</x:v>
      </x:c>
      <x:c r="Q3" t="str">
        <x:v>Prompts/ConceptArt/env_goblin_mine_goblin_crate_001_concept_sheet.txt</x:v>
      </x:c>
      <x:c r="R3" t="str">
        <x:v>Prompts/Meshy/env_goblin_mine_goblin_crate_001_geometry.txt</x:v>
      </x:c>
      <x:c r="S3" t="str">
        <x:v>Prompts/Texture/env_goblin_mine_goblin_crate_001_texture.txt</x:v>
      </x:c>
      <x:c r="T3" t="n">
        <x:v>1</x:v>
      </x:c>
      <x:c r="U3" t="n">
        <x:v>3</x:v>
      </x:c>
      <x:c r="V3" t="n">
        <x:v>1</x:v>
      </x:c>
      <x:c r="W3" t="n">
        <x:v>1</x:v>
      </x:c>
      <x:c r="X3" t="n">
        <x:v>0</x:v>
      </x:c>
      <x:c r="Y3" t="str">
        <x:v>Silhouette readable; correct scale; grid/pivot compliance; material separation; no baked VFX; LOD budget met; mobile camera test passed</x:v>
      </x:c>
      <x:c r="Z3" t="str">
        <x:v>Assets/_Game/Art/Environments/goblin_mine/Models</x:v>
      </x:c>
      <x:c r="AA3" t="str">
        <x:v>Not Started</x:v>
      </x:c>
      <x:c r="AB3" t="str">
        <x:v>Pending</x:v>
      </x:c>
      <x:c r="AC3" s="18" t="n">
        <x:f>T3*'Settings &amp; Rates'!$B$5+U3*'Settings &amp; Rates'!$B$6+V3*'Settings &amp; Rates'!$B$7+W3*'Settings &amp; Rates'!$B$8+X3*'Settings &amp; Rates'!$B$9</x:f>
        <x:v>75</x:v>
      </x:c>
      <x:c r="AD3" s="18" t="n">
        <x:f>SUMIF('Attempt Log'!$B$2:$B$101,A3,'Attempt Log'!$K$2:$K$101)</x:f>
        <x:v>0</x:v>
      </x:c>
      <x:c r="AE3" s="18" t="n">
        <x:f>AD3-AC3</x:f>
        <x:v>-75</x:v>
      </x:c>
      <x:c r="AF3" t="n">
        <x:f>COUNTIF('Attempt Log'!$B$2:$B$101,A3)</x:f>
        <x:v>0</x:v>
      </x:c>
      <x:c r="AG3" t="n">
        <x:f>IFERROR(SUMIFS('Attempt Log'!$U$2:$U$101,'Attempt Log'!$B$2:$B$101,A3,'Attempt Log'!$N$2:$N$101,"Yes")/COUNTIFS('Attempt Log'!$B$2:$B$101,A3,'Attempt Log'!$N$2:$N$101,"Yes"),0)</x:f>
        <x:v>0</x:v>
      </x:c>
    </x:row>
    <x:row r="4">
      <x:c r="A4" t="str">
        <x:v>equipment_sword_1h_t01_base</x:v>
      </x:c>
      <x:c r="B4" t="str">
        <x:v>Espada de Uma Mão T1</x:v>
      </x:c>
      <x:c r="C4" t="str">
        <x:v>One-Handed Sword T1</x:v>
      </x:c>
      <x:c r="D4" t="str">
        <x:v>Task017</x:v>
      </x:c>
      <x:c r="E4" t="str">
        <x:v>Equipment</x:v>
      </x:c>
      <x:c r="F4" t="str">
        <x:v>Weapon</x:v>
      </x:c>
      <x:c r="G4" t="str">
        <x:v>sword_1h</x:v>
      </x:c>
      <x:c r="H4" t="str">
        <x:v>Vertical Slice</x:v>
      </x:c>
      <x:c r="I4" t="str">
        <x:v>P0</x:v>
      </x:c>
      <x:c r="J4" t="str">
        <x:v>B00_CALIBRATION</x:v>
      </x:c>
      <x:c r="K4" t="str">
        <x:v>Text to 3D</x:v>
      </x:c>
      <x:c r="L4" t="str">
        <x:v>Optional</x:v>
      </x:c>
      <x:c r="M4" t="n">
        <x:v>2000</x:v>
      </x:c>
      <x:c r="N4" t="str">
        <x:v>1024</x:v>
      </x:c>
      <x:c r="O4" t="str">
        <x:v>No</x:v>
      </x:c>
      <x:c r="P4" t="str">
        <x:v>None</x:v>
      </x:c>
      <x:c r="Q4" t="str">
        <x:v>Prompts/ConceptArt/equipment_sword_1h_t01_base_concept_sheet.txt</x:v>
      </x:c>
      <x:c r="R4" t="str">
        <x:v>Prompts/Meshy/BaseGeometry/equipment_sword_1h_t01_base_geometry.txt</x:v>
      </x:c>
      <x:c r="S4" t="str">
        <x:v>Prompts/TextureVariants/equipment_sword_1h_t01_base_rarity_variants.txt</x:v>
      </x:c>
      <x:c r="T4" t="n">
        <x:v>1</x:v>
      </x:c>
      <x:c r="U4" t="n">
        <x:v>3</x:v>
      </x:c>
      <x:c r="V4" t="n">
        <x:v>1</x:v>
      </x:c>
      <x:c r="W4" t="n">
        <x:v>1</x:v>
      </x:c>
      <x:c r="X4" t="n">
        <x:v>0</x:v>
      </x:c>
      <x:c r="Y4" t="str">
        <x:v>readable at inventory scale; tier identity clear without UI; all six rarity variants preserve family; pivot and scale correct; no fragile geometry; URP PBR maps valid</x:v>
      </x:c>
      <x:c r="Z4" t="str">
        <x:v>Assets/_Game/Art/Equipment/Weapon/sword_1h/T1/Models</x:v>
      </x:c>
      <x:c r="AA4" t="str">
        <x:v>Not Started</x:v>
      </x:c>
      <x:c r="AB4" t="str">
        <x:v>Pending</x:v>
      </x:c>
      <x:c r="AC4" s="18" t="n">
        <x:f>T4*'Settings &amp; Rates'!$B$5+U4*'Settings &amp; Rates'!$B$6+V4*'Settings &amp; Rates'!$B$7+W4*'Settings &amp; Rates'!$B$8+X4*'Settings &amp; Rates'!$B$9</x:f>
        <x:v>75</x:v>
      </x:c>
      <x:c r="AD4" s="18" t="n">
        <x:f>SUMIF('Attempt Log'!$B$2:$B$101,A4,'Attempt Log'!$K$2:$K$101)</x:f>
        <x:v>0</x:v>
      </x:c>
      <x:c r="AE4" s="18" t="n">
        <x:f>AD4-AC4</x:f>
        <x:v>-75</x:v>
      </x:c>
      <x:c r="AF4" t="n">
        <x:f>COUNTIF('Attempt Log'!$B$2:$B$101,A4)</x:f>
        <x:v>0</x:v>
      </x:c>
      <x:c r="AG4" t="n">
        <x:f>IFERROR(SUMIFS('Attempt Log'!$U$2:$U$101,'Attempt Log'!$B$2:$B$101,A4,'Attempt Log'!$N$2:$N$101,"Yes")/COUNTIFS('Attempt Log'!$B$2:$B$101,A4,'Attempt Log'!$N$2:$N$101,"Yes"),0)</x:f>
        <x:v>0</x:v>
      </x:c>
    </x:row>
    <x:row r="5">
      <x:c r="A5" t="str">
        <x:v>hero_paladin_001</x:v>
      </x:c>
      <x:c r="B5" t="str">
        <x:v>Paladino</x:v>
      </x:c>
      <x:c r="C5" t="str">
        <x:v>Paladin</x:v>
      </x:c>
      <x:c r="D5" t="str">
        <x:v>Task016</x:v>
      </x:c>
      <x:c r="E5" t="str">
        <x:v>Character</x:v>
      </x:c>
      <x:c r="F5" t="str">
        <x:v>Playable Hero</x:v>
      </x:c>
      <x:c r="G5" t="str">
        <x:v>Hero</x:v>
      </x:c>
      <x:c r="H5" t="str">
        <x:v>Vertical Slice</x:v>
      </x:c>
      <x:c r="I5" t="str">
        <x:v>P0</x:v>
      </x:c>
      <x:c r="J5" t="str">
        <x:v>B00_CALIBRATION</x:v>
      </x:c>
      <x:c r="K5" t="str">
        <x:v>Multi-view Image to 3D</x:v>
      </x:c>
      <x:c r="L5" t="str">
        <x:v>Yes</x:v>
      </x:c>
      <x:c r="M5" t="n">
        <x:v>6500</x:v>
      </x:c>
      <x:c r="N5" t="str">
        <x:v>2048×2048</x:v>
      </x:c>
      <x:c r="O5" t="str">
        <x:v>Yes</x:v>
      </x:c>
      <x:c r="P5" t="str">
        <x:v>anim_hero_tank_humanoid</x:v>
      </x:c>
      <x:c r="Q5" t="str">
        <x:v>Task016/ConceptArt/hero_paladin_001_concept_sheet.txt</x:v>
      </x:c>
      <x:c r="R5" t="str">
        <x:v>Task016/Meshy/hero_paladin_001_meshy_character.txt</x:v>
      </x:c>
      <x:c r="S5" t="str">
        <x:v>Task016/Texture/hero_paladin_001_texture.txt</x:v>
      </x:c>
      <x:c r="T5" t="n">
        <x:v>3</x:v>
      </x:c>
      <x:c r="U5" t="n">
        <x:v>4</x:v>
      </x:c>
      <x:c r="V5" t="n">
        <x:v>1</x:v>
      </x:c>
      <x:c r="W5" t="n">
        <x:v>1</x:v>
      </x:c>
      <x:c r="X5" t="n">
        <x:v>1</x:v>
      </x:c>
      <x:c r="Y5" t="str">
        <x:v>Recognizable as tank at 128 px; head unobstructed; shield does not hide the entire torso; sword and shield detachable; limbs deform cleanly; no thin floating filigree; palette matches approved swatches.</x:v>
      </x:c>
      <x:c r="Z5" t="str">
        <x:v>Assets/_Game/Art/Characters/hero_paladin_001</x:v>
      </x:c>
      <x:c r="AA5" t="str">
        <x:v>Not Started</x:v>
      </x:c>
      <x:c r="AB5" t="str">
        <x:v>Pending</x:v>
      </x:c>
      <x:c r="AC5" s="18" t="n">
        <x:f>T5*'Settings &amp; Rates'!$B$5+U5*'Settings &amp; Rates'!$B$6+V5*'Settings &amp; Rates'!$B$7+W5*'Settings &amp; Rates'!$B$8+X5*'Settings &amp; Rates'!$B$9</x:f>
        <x:v>100</x:v>
      </x:c>
      <x:c r="AD5" s="18" t="n">
        <x:f>SUMIF('Attempt Log'!$B$2:$B$101,A5,'Attempt Log'!$K$2:$K$101)</x:f>
        <x:v>0</x:v>
      </x:c>
      <x:c r="AE5" s="18" t="n">
        <x:f>AD5-AC5</x:f>
        <x:v>-100</x:v>
      </x:c>
      <x:c r="AF5" t="n">
        <x:f>COUNTIF('Attempt Log'!$B$2:$B$101,A5)</x:f>
        <x:v>0</x:v>
      </x:c>
      <x:c r="AG5" t="n">
        <x:f>IFERROR(SUMIFS('Attempt Log'!$U$2:$U$101,'Attempt Log'!$B$2:$B$101,A5,'Attempt Log'!$N$2:$N$101,"Yes")/COUNTIFS('Attempt Log'!$B$2:$B$101,A5,'Attempt Log'!$N$2:$N$101,"Yes"),0)</x:f>
        <x:v>0</x:v>
      </x:c>
    </x:row>
    <x:row r="6">
      <x:c r="A6" t="str">
        <x:v>station_blacksmith_t01_001</x:v>
      </x:c>
      <x:c r="B6" t="str">
        <x:v>Forja T1</x:v>
      </x:c>
      <x:c r="C6" t="str">
        <x:v>Forge T1</x:v>
      </x:c>
      <x:c r="D6" t="str">
        <x:v>Task018</x:v>
      </x:c>
      <x:c r="E6" t="str">
        <x:v>Station</x:v>
      </x:c>
      <x:c r="F6" t="str">
        <x:v>Crafting Station</x:v>
      </x:c>
      <x:c r="G6" t="str">
        <x:v>Blacksmith</x:v>
      </x:c>
      <x:c r="H6" t="str">
        <x:v>Vertical Slice</x:v>
      </x:c>
      <x:c r="I6" t="str">
        <x:v>P0</x:v>
      </x:c>
      <x:c r="J6" t="str">
        <x:v>B00_CALIBRATION</x:v>
      </x:c>
      <x:c r="K6" t="str">
        <x:v>Text to 3D</x:v>
      </x:c>
      <x:c r="L6" t="str">
        <x:v>Optional</x:v>
      </x:c>
      <x:c r="M6" t="n">
        <x:v>5250</x:v>
      </x:c>
      <x:c r="N6" t="str">
        <x:v>1024x1024</x:v>
      </x:c>
      <x:c r="O6" t="str">
        <x:v>No</x:v>
      </x:c>
      <x:c r="P6" t="str">
        <x:v>anim_station_blacksmith</x:v>
      </x:c>
      <x:c r="Q6" t="str">
        <x:v>Prompts/ConceptArt/station_blacksmith_t01_001_concept_sheet.txt</x:v>
      </x:c>
      <x:c r="R6" t="str">
        <x:v>Prompts/Meshy/station_blacksmith_t01_001_geometry.txt</x:v>
      </x:c>
      <x:c r="S6" t="str">
        <x:v>Prompts/Texture/station_blacksmith_t01_001_texture.txt</x:v>
      </x:c>
      <x:c r="T6" t="n">
        <x:v>2</x:v>
      </x:c>
      <x:c r="U6" t="n">
        <x:v>3</x:v>
      </x:c>
      <x:c r="V6" t="n">
        <x:v>1</x:v>
      </x:c>
      <x:c r="W6" t="n">
        <x:v>1</x:v>
      </x:c>
      <x:c r="X6" t="n">
        <x:v>0</x:v>
      </x:c>
      <x:c r="Y6" t="str">
        <x:v>Profession readable without UI; Tier milestone visible; work zone clear; sockets valid; no baked animation/VFX; LOD budget met; 3/4 camera test passed</x:v>
      </x:c>
      <x:c r="Z6" t="str">
        <x:v>Assets/_Game/Art/Crafting/Stations/Blacksmith/T1</x:v>
      </x:c>
      <x:c r="AA6" t="str">
        <x:v>Not Started</x:v>
      </x:c>
      <x:c r="AB6" t="str">
        <x:v>Pending</x:v>
      </x:c>
      <x:c r="AC6" s="18" t="n">
        <x:f>T6*'Settings &amp; Rates'!$B$5+U6*'Settings &amp; Rates'!$B$6+V6*'Settings &amp; Rates'!$B$7+W6*'Settings &amp; Rates'!$B$8+X6*'Settings &amp; Rates'!$B$9</x:f>
        <x:v>75</x:v>
      </x:c>
      <x:c r="AD6" s="18" t="n">
        <x:f>SUMIF('Attempt Log'!$B$2:$B$101,A6,'Attempt Log'!$K$2:$K$101)</x:f>
        <x:v>0</x:v>
      </x:c>
      <x:c r="AE6" s="18" t="n">
        <x:f>AD6-AC6</x:f>
        <x:v>-75</x:v>
      </x:c>
      <x:c r="AF6" t="n">
        <x:f>COUNTIF('Attempt Log'!$B$2:$B$101,A6)</x:f>
        <x:v>0</x:v>
      </x:c>
      <x:c r="AG6" t="n">
        <x:f>IFERROR(SUMIFS('Attempt Log'!$U$2:$U$101,'Attempt Log'!$B$2:$B$101,A6,'Attempt Log'!$N$2:$N$101,"Yes")/COUNTIFS('Attempt Log'!$B$2:$B$101,A6,'Attempt Log'!$N$2:$N$101,"Yes"),0)</x:f>
        <x:v>0</x:v>
      </x:c>
    </x:row>
    <x:row r="7">
      <x:c r="A7" t="str">
        <x:v>hero_archer_001</x:v>
      </x:c>
      <x:c r="B7" t="str">
        <x:v>Arqueira</x:v>
      </x:c>
      <x:c r="C7" t="str">
        <x:v>Archer</x:v>
      </x:c>
      <x:c r="D7" t="str">
        <x:v>Task016</x:v>
      </x:c>
      <x:c r="E7" t="str">
        <x:v>Character</x:v>
      </x:c>
      <x:c r="F7" t="str">
        <x:v>Playable Hero</x:v>
      </x:c>
      <x:c r="G7" t="str">
        <x:v>Hero</x:v>
      </x:c>
      <x:c r="H7" t="str">
        <x:v>Vertical Slice</x:v>
      </x:c>
      <x:c r="I7" t="str">
        <x:v>P0</x:v>
      </x:c>
      <x:c r="J7" t="str">
        <x:v>B01_HEROES</x:v>
      </x:c>
      <x:c r="K7" t="str">
        <x:v>Multi-view Image to 3D</x:v>
      </x:c>
      <x:c r="L7" t="str">
        <x:v>Yes</x:v>
      </x:c>
      <x:c r="M7" t="n">
        <x:v>6500</x:v>
      </x:c>
      <x:c r="N7" t="str">
        <x:v>2048×2048</x:v>
      </x:c>
      <x:c r="O7" t="str">
        <x:v>Yes</x:v>
      </x:c>
      <x:c r="P7" t="str">
        <x:v>anim_hero_ranged_humanoid</x:v>
      </x:c>
      <x:c r="Q7" t="str">
        <x:v>Task016/ConceptArt/hero_archer_001_concept_sheet.txt</x:v>
      </x:c>
      <x:c r="R7" t="str">
        <x:v>Task016/Meshy/hero_archer_001_meshy_character.txt</x:v>
      </x:c>
      <x:c r="S7" t="str">
        <x:v>Task016/Texture/hero_archer_001_texture.txt</x:v>
      </x:c>
      <x:c r="T7" t="n">
        <x:v>3</x:v>
      </x:c>
      <x:c r="U7" t="n">
        <x:v>4</x:v>
      </x:c>
      <x:c r="V7" t="n">
        <x:v>1</x:v>
      </x:c>
      <x:c r="W7" t="n">
        <x:v>1</x:v>
      </x:c>
      <x:c r="X7" t="n">
        <x:v>1</x:v>
      </x:c>
      <x:c r="Y7" t="str">
        <x:v>Recognizable as ranged hero at 128 px; bow is thick enough for mobile silhouette; shoulders and elbows have clear deformation space; quiver does not intersect cape; outfit remains practical and non-sexualized.</x:v>
      </x:c>
      <x:c r="Z7" t="str">
        <x:v>Assets/_Game/Art/Characters/hero_archer_001</x:v>
      </x:c>
      <x:c r="AA7" t="str">
        <x:v>Not Started</x:v>
      </x:c>
      <x:c r="AB7" t="str">
        <x:v>Pending</x:v>
      </x:c>
      <x:c r="AC7" s="18" t="n">
        <x:f>T7*'Settings &amp; Rates'!$B$5+U7*'Settings &amp; Rates'!$B$6+V7*'Settings &amp; Rates'!$B$7+W7*'Settings &amp; Rates'!$B$8+X7*'Settings &amp; Rates'!$B$9</x:f>
        <x:v>100</x:v>
      </x:c>
      <x:c r="AD7" s="18" t="n">
        <x:f>SUMIF('Attempt Log'!$B$2:$B$101,A7,'Attempt Log'!$K$2:$K$101)</x:f>
        <x:v>0</x:v>
      </x:c>
      <x:c r="AE7" s="18" t="n">
        <x:f>AD7-AC7</x:f>
        <x:v>-100</x:v>
      </x:c>
      <x:c r="AF7" t="n">
        <x:f>COUNTIF('Attempt Log'!$B$2:$B$101,A7)</x:f>
        <x:v>0</x:v>
      </x:c>
      <x:c r="AG7" t="n">
        <x:f>IFERROR(SUMIFS('Attempt Log'!$U$2:$U$101,'Attempt Log'!$B$2:$B$101,A7,'Attempt Log'!$N$2:$N$101,"Yes")/COUNTIFS('Attempt Log'!$B$2:$B$101,A7,'Attempt Log'!$N$2:$N$101,"Yes"),0)</x:f>
        <x:v>0</x:v>
      </x:c>
    </x:row>
    <x:row r="8">
      <x:c r="A8" t="str">
        <x:v>hero_mage_001</x:v>
      </x:c>
      <x:c r="B8" t="str">
        <x:v>Mago</x:v>
      </x:c>
      <x:c r="C8" t="str">
        <x:v>Mage</x:v>
      </x:c>
      <x:c r="D8" t="str">
        <x:v>Task016</x:v>
      </x:c>
      <x:c r="E8" t="str">
        <x:v>Character</x:v>
      </x:c>
      <x:c r="F8" t="str">
        <x:v>Playable Hero</x:v>
      </x:c>
      <x:c r="G8" t="str">
        <x:v>Hero</x:v>
      </x:c>
      <x:c r="H8" t="str">
        <x:v>Vertical Slice</x:v>
      </x:c>
      <x:c r="I8" t="str">
        <x:v>P0</x:v>
      </x:c>
      <x:c r="J8" t="str">
        <x:v>B01_HEROES</x:v>
      </x:c>
      <x:c r="K8" t="str">
        <x:v>Multi-view Image to 3D</x:v>
      </x:c>
      <x:c r="L8" t="str">
        <x:v>Yes</x:v>
      </x:c>
      <x:c r="M8" t="n">
        <x:v>6500</x:v>
      </x:c>
      <x:c r="N8" t="str">
        <x:v>2048×2048</x:v>
      </x:c>
      <x:c r="O8" t="str">
        <x:v>Yes</x:v>
      </x:c>
      <x:c r="P8" t="str">
        <x:v>anim_hero_caster_humanoid</x:v>
      </x:c>
      <x:c r="Q8" t="str">
        <x:v>Task016/ConceptArt/hero_mage_001_concept_sheet.txt</x:v>
      </x:c>
      <x:c r="R8" t="str">
        <x:v>Task016/Meshy/hero_mage_001_meshy_character.txt</x:v>
      </x:c>
      <x:c r="S8" t="str">
        <x:v>Task016/Texture/hero_mage_001_texture.txt</x:v>
      </x:c>
      <x:c r="T8" t="n">
        <x:v>3</x:v>
      </x:c>
      <x:c r="U8" t="n">
        <x:v>4</x:v>
      </x:c>
      <x:c r="V8" t="n">
        <x:v>1</x:v>
      </x:c>
      <x:c r="W8" t="n">
        <x:v>1</x:v>
      </x:c>
      <x:c r="X8" t="n">
        <x:v>1</x:v>
      </x:c>
      <x:c r="Y8" t="str">
        <x:v>Readable caster silhouette at 128 px; staff crystal is clear focal point; cloth has rig-safe splits; emission remains under 10% of visible surface; no floating pieces required to understand the model.</x:v>
      </x:c>
      <x:c r="Z8" t="str">
        <x:v>Assets/_Game/Art/Characters/hero_mage_001</x:v>
      </x:c>
      <x:c r="AA8" t="str">
        <x:v>Not Started</x:v>
      </x:c>
      <x:c r="AB8" t="str">
        <x:v>Pending</x:v>
      </x:c>
      <x:c r="AC8" s="18" t="n">
        <x:f>T8*'Settings &amp; Rates'!$B$5+U8*'Settings &amp; Rates'!$B$6+V8*'Settings &amp; Rates'!$B$7+W8*'Settings &amp; Rates'!$B$8+X8*'Settings &amp; Rates'!$B$9</x:f>
        <x:v>100</x:v>
      </x:c>
      <x:c r="AD8" s="18" t="n">
        <x:f>SUMIF('Attempt Log'!$B$2:$B$101,A8,'Attempt Log'!$K$2:$K$101)</x:f>
        <x:v>0</x:v>
      </x:c>
      <x:c r="AE8" s="18" t="n">
        <x:f>AD8-AC8</x:f>
        <x:v>-100</x:v>
      </x:c>
      <x:c r="AF8" t="n">
        <x:f>COUNTIF('Attempt Log'!$B$2:$B$101,A8)</x:f>
        <x:v>0</x:v>
      </x:c>
      <x:c r="AG8" t="n">
        <x:f>IFERROR(SUMIFS('Attempt Log'!$U$2:$U$101,'Attempt Log'!$B$2:$B$101,A8,'Attempt Log'!$N$2:$N$101,"Yes")/COUNTIFS('Attempt Log'!$B$2:$B$101,A8,'Attempt Log'!$N$2:$N$101,"Yes"),0)</x:f>
        <x:v>0</x:v>
      </x:c>
    </x:row>
    <x:row r="9">
      <x:c r="A9" t="str">
        <x:v>enemy_goblin_archer_001</x:v>
      </x:c>
      <x:c r="B9" t="str">
        <x:v>Arqueiro Goblin</x:v>
      </x:c>
      <x:c r="C9" t="str">
        <x:v>Goblin Archer</x:v>
      </x:c>
      <x:c r="D9" t="str">
        <x:v>Task016</x:v>
      </x:c>
      <x:c r="E9" t="str">
        <x:v>Character</x:v>
      </x:c>
      <x:c r="F9" t="str">
        <x:v>Common Enemy</x:v>
      </x:c>
      <x:c r="G9" t="str">
        <x:v>Common</x:v>
      </x:c>
      <x:c r="H9" t="str">
        <x:v>Vertical Slice</x:v>
      </x:c>
      <x:c r="I9" t="str">
        <x:v>P0</x:v>
      </x:c>
      <x:c r="J9" t="str">
        <x:v>B02_GOBLIN_COMMONS</x:v>
      </x:c>
      <x:c r="K9" t="str">
        <x:v>Image to 3D</x:v>
      </x:c>
      <x:c r="L9" t="str">
        <x:v>Yes</x:v>
      </x:c>
      <x:c r="M9" t="n">
        <x:v>4000</x:v>
      </x:c>
      <x:c r="N9" t="str">
        <x:v>1024×1024</x:v>
      </x:c>
      <x:c r="O9" t="str">
        <x:v>Yes</x:v>
      </x:c>
      <x:c r="P9" t="str">
        <x:v>anim_enemy_goblin_ranged</x:v>
      </x:c>
      <x:c r="Q9" t="str">
        <x:v>Task016/ConceptArt/enemy_goblin_archer_001_concept_sheet.txt</x:v>
      </x:c>
      <x:c r="R9" t="str">
        <x:v>Task016/Meshy/enemy_goblin_archer_001_meshy_character.txt</x:v>
      </x:c>
      <x:c r="S9" t="str">
        <x:v>Task016/Texture/enemy_goblin_archer_001_texture.txt</x:v>
      </x:c>
      <x:c r="T9" t="n">
        <x:v>2</x:v>
      </x:c>
      <x:c r="U9" t="n">
        <x:v>3</x:v>
      </x:c>
      <x:c r="V9" t="n">
        <x:v>1</x:v>
      </x:c>
      <x:c r="W9" t="n">
        <x:v>1</x:v>
      </x:c>
      <x:c r="X9" t="n">
        <x:v>1</x:v>
      </x:c>
      <x:c r="Y9" t="str">
        <x:v>Distinct from Ranger through lower complexity and shortbow scale; clear draw-arm space; quiver avoids shoulder clipping; remains readable at battle camera distance.</x:v>
      </x:c>
      <x:c r="Z9" t="str">
        <x:v>Assets/_Game/Art/Characters/enemy_goblin_archer_001</x:v>
      </x:c>
      <x:c r="AA9" t="str">
        <x:v>Not Started</x:v>
      </x:c>
      <x:c r="AB9" t="str">
        <x:v>Pending</x:v>
      </x:c>
      <x:c r="AC9" s="18" t="n">
        <x:f>T9*'Settings &amp; Rates'!$B$5+U9*'Settings &amp; Rates'!$B$6+V9*'Settings &amp; Rates'!$B$7+W9*'Settings &amp; Rates'!$B$8+X9*'Settings &amp; Rates'!$B$9</x:f>
        <x:v>80</x:v>
      </x:c>
      <x:c r="AD9" s="18" t="n">
        <x:f>SUMIF('Attempt Log'!$B$2:$B$101,A9,'Attempt Log'!$K$2:$K$101)</x:f>
        <x:v>0</x:v>
      </x:c>
      <x:c r="AE9" s="18" t="n">
        <x:f>AD9-AC9</x:f>
        <x:v>-80</x:v>
      </x:c>
      <x:c r="AF9" t="n">
        <x:f>COUNTIF('Attempt Log'!$B$2:$B$101,A9)</x:f>
        <x:v>0</x:v>
      </x:c>
      <x:c r="AG9" t="n">
        <x:f>IFERROR(SUMIFS('Attempt Log'!$U$2:$U$101,'Attempt Log'!$B$2:$B$101,A9,'Attempt Log'!$N$2:$N$101,"Yes")/COUNTIFS('Attempt Log'!$B$2:$B$101,A9,'Attempt Log'!$N$2:$N$101,"Yes"),0)</x:f>
        <x:v>0</x:v>
      </x:c>
    </x:row>
    <x:row r="10">
      <x:c r="A10" t="str">
        <x:v>enemy_goblin_shaman_001</x:v>
      </x:c>
      <x:c r="B10" t="str">
        <x:v>Xamã Goblin</x:v>
      </x:c>
      <x:c r="C10" t="str">
        <x:v>Goblin Shaman</x:v>
      </x:c>
      <x:c r="D10" t="str">
        <x:v>Task016</x:v>
      </x:c>
      <x:c r="E10" t="str">
        <x:v>Character</x:v>
      </x:c>
      <x:c r="F10" t="str">
        <x:v>Special Enemy</x:v>
      </x:c>
      <x:c r="G10" t="str">
        <x:v>Special</x:v>
      </x:c>
      <x:c r="H10" t="str">
        <x:v>Vertical Slice</x:v>
      </x:c>
      <x:c r="I10" t="str">
        <x:v>P0</x:v>
      </x:c>
      <x:c r="J10" t="str">
        <x:v>B02_GOBLIN_COMMONS</x:v>
      </x:c>
      <x:c r="K10" t="str">
        <x:v>Image to 3D</x:v>
      </x:c>
      <x:c r="L10" t="str">
        <x:v>Yes</x:v>
      </x:c>
      <x:c r="M10" t="n">
        <x:v>4500</x:v>
      </x:c>
      <x:c r="N10" t="str">
        <x:v>1024×1024</x:v>
      </x:c>
      <x:c r="O10" t="str">
        <x:v>Yes</x:v>
      </x:c>
      <x:c r="P10" t="str">
        <x:v>anim_enemy_goblin_caster</x:v>
      </x:c>
      <x:c r="Q10" t="str">
        <x:v>Task016/ConceptArt/enemy_goblin_shaman_001_concept_sheet.txt</x:v>
      </x:c>
      <x:c r="R10" t="str">
        <x:v>Task016/Meshy/enemy_goblin_shaman_001_meshy_character.txt</x:v>
      </x:c>
      <x:c r="S10" t="str">
        <x:v>Task016/Texture/enemy_goblin_shaman_001_texture.txt</x:v>
      </x:c>
      <x:c r="T10" t="n">
        <x:v>2</x:v>
      </x:c>
      <x:c r="U10" t="n">
        <x:v>3</x:v>
      </x:c>
      <x:c r="V10" t="n">
        <x:v>1</x:v>
      </x:c>
      <x:c r="W10" t="n">
        <x:v>1</x:v>
      </x:c>
      <x:c r="X10" t="n">
        <x:v>1</x:v>
      </x:c>
      <x:c r="Y10" t="str">
        <x:v>Caster role readable without VFX; staff remains primary focal point; accessories do not create fragile geometry; silhouette differs from High Shaman through lower height and simpler maskless head.</x:v>
      </x:c>
      <x:c r="Z10" t="str">
        <x:v>Assets/_Game/Art/Characters/enemy_goblin_shaman_001</x:v>
      </x:c>
      <x:c r="AA10" t="str">
        <x:v>Not Started</x:v>
      </x:c>
      <x:c r="AB10" t="str">
        <x:v>Pending</x:v>
      </x:c>
      <x:c r="AC10" s="18" t="n">
        <x:f>T10*'Settings &amp; Rates'!$B$5+U10*'Settings &amp; Rates'!$B$6+V10*'Settings &amp; Rates'!$B$7+W10*'Settings &amp; Rates'!$B$8+X10*'Settings &amp; Rates'!$B$9</x:f>
        <x:v>80</x:v>
      </x:c>
      <x:c r="AD10" s="18" t="n">
        <x:f>SUMIF('Attempt Log'!$B$2:$B$101,A10,'Attempt Log'!$K$2:$K$101)</x:f>
        <x:v>0</x:v>
      </x:c>
      <x:c r="AE10" s="18" t="n">
        <x:f>AD10-AC10</x:f>
        <x:v>-80</x:v>
      </x:c>
      <x:c r="AF10" t="n">
        <x:f>COUNTIF('Attempt Log'!$B$2:$B$101,A10)</x:f>
        <x:v>0</x:v>
      </x:c>
      <x:c r="AG10" t="n">
        <x:f>IFERROR(SUMIFS('Attempt Log'!$U$2:$U$101,'Attempt Log'!$B$2:$B$101,A10,'Attempt Log'!$N$2:$N$101,"Yes")/COUNTIFS('Attempt Log'!$B$2:$B$101,A10,'Attempt Log'!$N$2:$N$101,"Yes"),0)</x:f>
        <x:v>0</x:v>
      </x:c>
    </x:row>
    <x:row r="11">
      <x:c r="A11" t="str">
        <x:v>enemy_goblin_warrior_001</x:v>
      </x:c>
      <x:c r="B11" t="str">
        <x:v>Guerreiro Goblin</x:v>
      </x:c>
      <x:c r="C11" t="str">
        <x:v>Goblin Warrior</x:v>
      </x:c>
      <x:c r="D11" t="str">
        <x:v>Task016</x:v>
      </x:c>
      <x:c r="E11" t="str">
        <x:v>Character</x:v>
      </x:c>
      <x:c r="F11" t="str">
        <x:v>Common Enemy</x:v>
      </x:c>
      <x:c r="G11" t="str">
        <x:v>Common</x:v>
      </x:c>
      <x:c r="H11" t="str">
        <x:v>Vertical Slice</x:v>
      </x:c>
      <x:c r="I11" t="str">
        <x:v>P0</x:v>
      </x:c>
      <x:c r="J11" t="str">
        <x:v>B02_GOBLIN_COMMONS</x:v>
      </x:c>
      <x:c r="K11" t="str">
        <x:v>Image to 3D</x:v>
      </x:c>
      <x:c r="L11" t="str">
        <x:v>Yes</x:v>
      </x:c>
      <x:c r="M11" t="n">
        <x:v>4000</x:v>
      </x:c>
      <x:c r="N11" t="str">
        <x:v>1024×1024</x:v>
      </x:c>
      <x:c r="O11" t="str">
        <x:v>Yes</x:v>
      </x:c>
      <x:c r="P11" t="str">
        <x:v>anim_enemy_goblin_melee</x:v>
      </x:c>
      <x:c r="Q11" t="str">
        <x:v>Task016/ConceptArt/enemy_goblin_warrior_001_concept_sheet.txt</x:v>
      </x:c>
      <x:c r="R11" t="str">
        <x:v>Task016/Meshy/enemy_goblin_warrior_001_meshy_character.txt</x:v>
      </x:c>
      <x:c r="S11" t="str">
        <x:v>Task016/Texture/enemy_goblin_warrior_001_texture.txt</x:v>
      </x:c>
      <x:c r="T11" t="n">
        <x:v>2</x:v>
      </x:c>
      <x:c r="U11" t="n">
        <x:v>3</x:v>
      </x:c>
      <x:c r="V11" t="n">
        <x:v>1</x:v>
      </x:c>
      <x:c r="W11" t="n">
        <x:v>1</x:v>
      </x:c>
      <x:c r="X11" t="n">
        <x:v>1</x:v>
      </x:c>
      <x:c r="Y11" t="str">
        <x:v>Clearly stronger than Scavenger but below elites; shield side remains readable; armor is improvised; face and ears visible; weapon sockets align with animation set.</x:v>
      </x:c>
      <x:c r="Z11" t="str">
        <x:v>Assets/_Game/Art/Characters/enemy_goblin_warrior_001</x:v>
      </x:c>
      <x:c r="AA11" t="str">
        <x:v>Not Started</x:v>
      </x:c>
      <x:c r="AB11" t="str">
        <x:v>Pending</x:v>
      </x:c>
      <x:c r="AC11" s="18" t="n">
        <x:f>T11*'Settings &amp; Rates'!$B$5+U11*'Settings &amp; Rates'!$B$6+V11*'Settings &amp; Rates'!$B$7+W11*'Settings &amp; Rates'!$B$8+X11*'Settings &amp; Rates'!$B$9</x:f>
        <x:v>80</x:v>
      </x:c>
      <x:c r="AD11" s="18" t="n">
        <x:f>SUMIF('Attempt Log'!$B$2:$B$101,A11,'Attempt Log'!$K$2:$K$101)</x:f>
        <x:v>0</x:v>
      </x:c>
      <x:c r="AE11" s="18" t="n">
        <x:f>AD11-AC11</x:f>
        <x:v>-80</x:v>
      </x:c>
      <x:c r="AF11" t="n">
        <x:f>COUNTIF('Attempt Log'!$B$2:$B$101,A11)</x:f>
        <x:v>0</x:v>
      </x:c>
      <x:c r="AG11" t="n">
        <x:f>IFERROR(SUMIFS('Attempt Log'!$U$2:$U$101,'Attempt Log'!$B$2:$B$101,A11,'Attempt Log'!$N$2:$N$101,"Yes")/COUNTIFS('Attempt Log'!$B$2:$B$101,A11,'Attempt Log'!$N$2:$N$101,"Yes"),0)</x:f>
        <x:v>0</x:v>
      </x:c>
    </x:row>
    <x:row r="12">
      <x:c r="A12" t="str">
        <x:v>boss_goblin_chieftain_001</x:v>
      </x:c>
      <x:c r="B12" t="str">
        <x:v>Chefe Goblin</x:v>
      </x:c>
      <x:c r="C12" t="str">
        <x:v>Goblin Chieftain</x:v>
      </x:c>
      <x:c r="D12" t="str">
        <x:v>Task016</x:v>
      </x:c>
      <x:c r="E12" t="str">
        <x:v>Character</x:v>
      </x:c>
      <x:c r="F12" t="str">
        <x:v>Mid-Boss</x:v>
      </x:c>
      <x:c r="G12" t="str">
        <x:v>Mid-Boss</x:v>
      </x:c>
      <x:c r="H12" t="str">
        <x:v>Vertical Slice</x:v>
      </x:c>
      <x:c r="I12" t="str">
        <x:v>P0</x:v>
      </x:c>
      <x:c r="J12" t="str">
        <x:v>B03_GOBLIN_ELITES_BOSSES</x:v>
      </x:c>
      <x:c r="K12" t="str">
        <x:v>Multi-view Image to 3D</x:v>
      </x:c>
      <x:c r="L12" t="str">
        <x:v>Yes</x:v>
      </x:c>
      <x:c r="M12" t="n">
        <x:v>7500</x:v>
      </x:c>
      <x:c r="N12" t="str">
        <x:v>2048×2048</x:v>
      </x:c>
      <x:c r="O12" t="str">
        <x:v>Yes</x:v>
      </x:c>
      <x:c r="P12" t="str">
        <x:v>anim_boss_goblin_chieftain</x:v>
      </x:c>
      <x:c r="Q12" t="str">
        <x:v>Task016/ConceptArt/boss_goblin_chieftain_001_concept_sheet.txt</x:v>
      </x:c>
      <x:c r="R12" t="str">
        <x:v>Task016/Meshy/boss_goblin_chieftain_001_meshy_character.txt</x:v>
      </x:c>
      <x:c r="S12" t="str">
        <x:v>Task016/Texture/boss_goblin_chieftain_001_texture.txt</x:v>
      </x:c>
      <x:c r="T12" t="n">
        <x:v>3</x:v>
      </x:c>
      <x:c r="U12" t="n">
        <x:v>4</x:v>
      </x:c>
      <x:c r="V12" t="n">
        <x:v>1</x:v>
      </x:c>
      <x:c r="W12" t="n">
        <x:v>1</x:v>
      </x:c>
      <x:c r="X12" t="n">
        <x:v>1</x:v>
      </x:c>
      <x:c r="Y12" t="str">
        <x:v>Immediately reads as mid-boss and commander; at least 20% larger than common goblins; limbs remain animation-friendly; trophies are chunky and limited; does not visually surpass Goblin King.</x:v>
      </x:c>
      <x:c r="Z12" t="str">
        <x:v>Assets/_Game/Art/Characters/boss_goblin_chieftain_001</x:v>
      </x:c>
      <x:c r="AA12" t="str">
        <x:v>Not Started</x:v>
      </x:c>
      <x:c r="AB12" t="str">
        <x:v>Pending</x:v>
      </x:c>
      <x:c r="AC12" s="18" t="n">
        <x:f>T12*'Settings &amp; Rates'!$B$5+U12*'Settings &amp; Rates'!$B$6+V12*'Settings &amp; Rates'!$B$7+W12*'Settings &amp; Rates'!$B$8+X12*'Settings &amp; Rates'!$B$9</x:f>
        <x:v>100</x:v>
      </x:c>
      <x:c r="AD12" s="18" t="n">
        <x:f>SUMIF('Attempt Log'!$B$2:$B$101,A12,'Attempt Log'!$K$2:$K$101)</x:f>
        <x:v>0</x:v>
      </x:c>
      <x:c r="AE12" s="18" t="n">
        <x:f>AD12-AC12</x:f>
        <x:v>-100</x:v>
      </x:c>
      <x:c r="AF12" t="n">
        <x:f>COUNTIF('Attempt Log'!$B$2:$B$101,A12)</x:f>
        <x:v>0</x:v>
      </x:c>
      <x:c r="AG12" t="n">
        <x:f>IFERROR(SUMIFS('Attempt Log'!$U$2:$U$101,'Attempt Log'!$B$2:$B$101,A12,'Attempt Log'!$N$2:$N$101,"Yes")/COUNTIFS('Attempt Log'!$B$2:$B$101,A12,'Attempt Log'!$N$2:$N$101,"Yes"),0)</x:f>
        <x:v>0</x:v>
      </x:c>
    </x:row>
    <x:row r="13">
      <x:c r="A13" t="str">
        <x:v>boss_goblin_king_001</x:v>
      </x:c>
      <x:c r="B13" t="str">
        <x:v>Rei Goblin</x:v>
      </x:c>
      <x:c r="C13" t="str">
        <x:v>Goblin King</x:v>
      </x:c>
      <x:c r="D13" t="str">
        <x:v>Task016</x:v>
      </x:c>
      <x:c r="E13" t="str">
        <x:v>Character</x:v>
      </x:c>
      <x:c r="F13" t="str">
        <x:v>Final Boss</x:v>
      </x:c>
      <x:c r="G13" t="str">
        <x:v>Final Boss</x:v>
      </x:c>
      <x:c r="H13" t="str">
        <x:v>Vertical Slice</x:v>
      </x:c>
      <x:c r="I13" t="str">
        <x:v>P0</x:v>
      </x:c>
      <x:c r="J13" t="str">
        <x:v>B03_GOBLIN_ELITES_BOSSES</x:v>
      </x:c>
      <x:c r="K13" t="str">
        <x:v>Multi-view Image to 3D</x:v>
      </x:c>
      <x:c r="L13" t="str">
        <x:v>Yes</x:v>
      </x:c>
      <x:c r="M13" t="n">
        <x:v>11500</x:v>
      </x:c>
      <x:c r="N13" t="str">
        <x:v>2048×2048</x:v>
      </x:c>
      <x:c r="O13" t="str">
        <x:v>Yes</x:v>
      </x:c>
      <x:c r="P13" t="str">
        <x:v>anim_boss_goblin_king</x:v>
      </x:c>
      <x:c r="Q13" t="str">
        <x:v>Task016/ConceptArt/boss_goblin_king_001_concept_sheet.txt</x:v>
      </x:c>
      <x:c r="R13" t="str">
        <x:v>Task016/Meshy/boss_goblin_king_001_meshy_character.txt</x:v>
      </x:c>
      <x:c r="S13" t="str">
        <x:v>Task016/Texture/boss_goblin_king_001_texture.txt</x:v>
      </x:c>
      <x:c r="T13" t="n">
        <x:v>3</x:v>
      </x:c>
      <x:c r="U13" t="n">
        <x:v>4</x:v>
      </x:c>
      <x:c r="V13" t="n">
        <x:v>1</x:v>
      </x:c>
      <x:c r="W13" t="n">
        <x:v>1</x:v>
      </x:c>
      <x:c r="X13" t="n">
        <x:v>1</x:v>
      </x:c>
      <x:c r="Y13" t="str">
        <x:v>Dominates all goblin silhouettes without becoming an orc; 35–45% larger than common goblins; crown, blade and relic remain distinct; supports multi-phase animation; emission communicates corruption without erasing material readability.</x:v>
      </x:c>
      <x:c r="Z13" t="str">
        <x:v>Assets/_Game/Art/Characters/boss_goblin_king_001</x:v>
      </x:c>
      <x:c r="AA13" t="str">
        <x:v>Not Started</x:v>
      </x:c>
      <x:c r="AB13" t="str">
        <x:v>Pending</x:v>
      </x:c>
      <x:c r="AC13" s="18" t="n">
        <x:f>T13*'Settings &amp; Rates'!$B$5+U13*'Settings &amp; Rates'!$B$6+V13*'Settings &amp; Rates'!$B$7+W13*'Settings &amp; Rates'!$B$8+X13*'Settings &amp; Rates'!$B$9</x:f>
        <x:v>100</x:v>
      </x:c>
      <x:c r="AD13" s="18" t="n">
        <x:f>SUMIF('Attempt Log'!$B$2:$B$101,A13,'Attempt Log'!$K$2:$K$101)</x:f>
        <x:v>0</x:v>
      </x:c>
      <x:c r="AE13" s="18" t="n">
        <x:f>AD13-AC13</x:f>
        <x:v>-100</x:v>
      </x:c>
      <x:c r="AF13" t="n">
        <x:f>COUNTIF('Attempt Log'!$B$2:$B$101,A13)</x:f>
        <x:v>0</x:v>
      </x:c>
      <x:c r="AG13" t="n">
        <x:f>IFERROR(SUMIFS('Attempt Log'!$U$2:$U$101,'Attempt Log'!$B$2:$B$101,A13,'Attempt Log'!$N$2:$N$101,"Yes")/COUNTIFS('Attempt Log'!$B$2:$B$101,A13,'Attempt Log'!$N$2:$N$101,"Yes"),0)</x:f>
        <x:v>0</x:v>
      </x:c>
    </x:row>
    <x:row r="14">
      <x:c r="A14" t="str">
        <x:v>enemy_goblin_high_shaman_001</x:v>
      </x:c>
      <x:c r="B14" t="str">
        <x:v>Alto Xamã Goblin</x:v>
      </x:c>
      <x:c r="C14" t="str">
        <x:v>Goblin High Shaman</x:v>
      </x:c>
      <x:c r="D14" t="str">
        <x:v>Task016</x:v>
      </x:c>
      <x:c r="E14" t="str">
        <x:v>Character</x:v>
      </x:c>
      <x:c r="F14" t="str">
        <x:v>Elite Enemy</x:v>
      </x:c>
      <x:c r="G14" t="str">
        <x:v>Elite</x:v>
      </x:c>
      <x:c r="H14" t="str">
        <x:v>Vertical Slice</x:v>
      </x:c>
      <x:c r="I14" t="str">
        <x:v>P0</x:v>
      </x:c>
      <x:c r="J14" t="str">
        <x:v>B03_GOBLIN_ELITES_BOSSES</x:v>
      </x:c>
      <x:c r="K14" t="str">
        <x:v>Multi-view Image to 3D</x:v>
      </x:c>
      <x:c r="L14" t="str">
        <x:v>Yes</x:v>
      </x:c>
      <x:c r="M14" t="n">
        <x:v>6500</x:v>
      </x:c>
      <x:c r="N14" t="str">
        <x:v>1024×1024</x:v>
      </x:c>
      <x:c r="O14" t="str">
        <x:v>Yes</x:v>
      </x:c>
      <x:c r="P14" t="str">
        <x:v>anim_enemy_goblin_caster</x:v>
      </x:c>
      <x:c r="Q14" t="str">
        <x:v>Task016/ConceptArt/enemy_goblin_high_shaman_001_concept_sheet.txt</x:v>
      </x:c>
      <x:c r="R14" t="str">
        <x:v>Task016/Meshy/enemy_goblin_high_shaman_001_meshy_character.txt</x:v>
      </x:c>
      <x:c r="S14" t="str">
        <x:v>Task016/Texture/enemy_goblin_high_shaman_001_texture.txt</x:v>
      </x:c>
      <x:c r="T14" t="n">
        <x:v>3</x:v>
      </x:c>
      <x:c r="U14" t="n">
        <x:v>4</x:v>
      </x:c>
      <x:c r="V14" t="n">
        <x:v>1</x:v>
      </x:c>
      <x:c r="W14" t="n">
        <x:v>1</x:v>
      </x:c>
      <x:c r="X14" t="n">
        <x:v>1</x:v>
      </x:c>
      <x:c r="Y14" t="str">
        <x:v>Reads as advanced caster and narrative corruption bridge; clearly more formal than basic Shaman; emission stays controlled; mask and charms remain chunky, rig-safe and culturally fictional.</x:v>
      </x:c>
      <x:c r="Z14" t="str">
        <x:v>Assets/_Game/Art/Characters/enemy_goblin_high_shaman_001</x:v>
      </x:c>
      <x:c r="AA14" t="str">
        <x:v>Not Started</x:v>
      </x:c>
      <x:c r="AB14" t="str">
        <x:v>Pending</x:v>
      </x:c>
      <x:c r="AC14" s="18" t="n">
        <x:f>T14*'Settings &amp; Rates'!$B$5+U14*'Settings &amp; Rates'!$B$6+V14*'Settings &amp; Rates'!$B$7+W14*'Settings &amp; Rates'!$B$8+X14*'Settings &amp; Rates'!$B$9</x:f>
        <x:v>100</x:v>
      </x:c>
      <x:c r="AD14" s="18" t="n">
        <x:f>SUMIF('Attempt Log'!$B$2:$B$101,A14,'Attempt Log'!$K$2:$K$101)</x:f>
        <x:v>0</x:v>
      </x:c>
      <x:c r="AE14" s="18" t="n">
        <x:f>AD14-AC14</x:f>
        <x:v>-100</x:v>
      </x:c>
      <x:c r="AF14" t="n">
        <x:f>COUNTIF('Attempt Log'!$B$2:$B$101,A14)</x:f>
        <x:v>0</x:v>
      </x:c>
      <x:c r="AG14" t="n">
        <x:f>IFERROR(SUMIFS('Attempt Log'!$U$2:$U$101,'Attempt Log'!$B$2:$B$101,A14,'Attempt Log'!$N$2:$N$101,"Yes")/COUNTIFS('Attempt Log'!$B$2:$B$101,A14,'Attempt Log'!$N$2:$N$101,"Yes"),0)</x:f>
        <x:v>0</x:v>
      </x:c>
    </x:row>
    <x:row r="15">
      <x:c r="A15" t="str">
        <x:v>enemy_goblin_ranger_001</x:v>
      </x:c>
      <x:c r="B15" t="str">
        <x:v>Patrulheiro Goblin</x:v>
      </x:c>
      <x:c r="C15" t="str">
        <x:v>Goblin Ranger</x:v>
      </x:c>
      <x:c r="D15" t="str">
        <x:v>Task016</x:v>
      </x:c>
      <x:c r="E15" t="str">
        <x:v>Character</x:v>
      </x:c>
      <x:c r="F15" t="str">
        <x:v>Elite Enemy</x:v>
      </x:c>
      <x:c r="G15" t="str">
        <x:v>Elite</x:v>
      </x:c>
      <x:c r="H15" t="str">
        <x:v>Vertical Slice</x:v>
      </x:c>
      <x:c r="I15" t="str">
        <x:v>P0</x:v>
      </x:c>
      <x:c r="J15" t="str">
        <x:v>B03_GOBLIN_ELITES_BOSSES</x:v>
      </x:c>
      <x:c r="K15" t="str">
        <x:v>Multi-view Image to 3D</x:v>
      </x:c>
      <x:c r="L15" t="str">
        <x:v>Yes</x:v>
      </x:c>
      <x:c r="M15" t="n">
        <x:v>6500</x:v>
      </x:c>
      <x:c r="N15" t="str">
        <x:v>1024×1024</x:v>
      </x:c>
      <x:c r="O15" t="str">
        <x:v>Yes</x:v>
      </x:c>
      <x:c r="P15" t="str">
        <x:v>anim_enemy_goblin_ranged</x:v>
      </x:c>
      <x:c r="Q15" t="str">
        <x:v>Task016/ConceptArt/enemy_goblin_ranger_001_concept_sheet.txt</x:v>
      </x:c>
      <x:c r="R15" t="str">
        <x:v>Task016/Meshy/enemy_goblin_ranger_001_meshy_character.txt</x:v>
      </x:c>
      <x:c r="S15" t="str">
        <x:v>Task016/Texture/enemy_goblin_ranger_001_texture.txt</x:v>
      </x:c>
      <x:c r="T15" t="n">
        <x:v>3</x:v>
      </x:c>
      <x:c r="U15" t="n">
        <x:v>4</x:v>
      </x:c>
      <x:c r="V15" t="n">
        <x:v>1</x:v>
      </x:c>
      <x:c r="W15" t="n">
        <x:v>1</x:v>
      </x:c>
      <x:c r="X15" t="n">
        <x:v>1</x:v>
      </x:c>
      <x:c r="Y15" t="str">
        <x:v>Instantly distinguishable from Archer by longbow, darker palette and trap shapes; elite without looking magical; satchels do not block hip or leg animation.</x:v>
      </x:c>
      <x:c r="Z15" t="str">
        <x:v>Assets/_Game/Art/Characters/enemy_goblin_ranger_001</x:v>
      </x:c>
      <x:c r="AA15" t="str">
        <x:v>Not Started</x:v>
      </x:c>
      <x:c r="AB15" t="str">
        <x:v>Pending</x:v>
      </x:c>
      <x:c r="AC15" s="18" t="n">
        <x:f>T15*'Settings &amp; Rates'!$B$5+U15*'Settings &amp; Rates'!$B$6+V15*'Settings &amp; Rates'!$B$7+W15*'Settings &amp; Rates'!$B$8+X15*'Settings &amp; Rates'!$B$9</x:f>
        <x:v>100</x:v>
      </x:c>
      <x:c r="AD15" s="18" t="n">
        <x:f>SUMIF('Attempt Log'!$B$2:$B$101,A15,'Attempt Log'!$K$2:$K$101)</x:f>
        <x:v>0</x:v>
      </x:c>
      <x:c r="AE15" s="18" t="n">
        <x:f>AD15-AC15</x:f>
        <x:v>-100</x:v>
      </x:c>
      <x:c r="AF15" t="n">
        <x:f>COUNTIF('Attempt Log'!$B$2:$B$101,A15)</x:f>
        <x:v>0</x:v>
      </x:c>
      <x:c r="AG15" t="n">
        <x:f>IFERROR(SUMIFS('Attempt Log'!$U$2:$U$101,'Attempt Log'!$B$2:$B$101,A15,'Attempt Log'!$N$2:$N$101,"Yes")/COUNTIFS('Attempt Log'!$B$2:$B$101,A15,'Attempt Log'!$N$2:$N$101,"Yes"),0)</x:f>
        <x:v>0</x:v>
      </x:c>
    </x:row>
    <x:row r="16">
      <x:c r="A16" t="str">
        <x:v>enemy_hobgoblin_knight_001</x:v>
      </x:c>
      <x:c r="B16" t="str">
        <x:v>Cavaleiro Hobgoblin</x:v>
      </x:c>
      <x:c r="C16" t="str">
        <x:v>Hobgoblin Knight</x:v>
      </x:c>
      <x:c r="D16" t="str">
        <x:v>Task016</x:v>
      </x:c>
      <x:c r="E16" t="str">
        <x:v>Character</x:v>
      </x:c>
      <x:c r="F16" t="str">
        <x:v>Elite Enemy</x:v>
      </x:c>
      <x:c r="G16" t="str">
        <x:v>Elite</x:v>
      </x:c>
      <x:c r="H16" t="str">
        <x:v>Vertical Slice</x:v>
      </x:c>
      <x:c r="I16" t="str">
        <x:v>P0</x:v>
      </x:c>
      <x:c r="J16" t="str">
        <x:v>B03_GOBLIN_ELITES_BOSSES</x:v>
      </x:c>
      <x:c r="K16" t="str">
        <x:v>Multi-view Image to 3D</x:v>
      </x:c>
      <x:c r="L16" t="str">
        <x:v>Yes</x:v>
      </x:c>
      <x:c r="M16" t="n">
        <x:v>6500</x:v>
      </x:c>
      <x:c r="N16" t="str">
        <x:v>1024×1024</x:v>
      </x:c>
      <x:c r="O16" t="str">
        <x:v>Yes</x:v>
      </x:c>
      <x:c r="P16" t="str">
        <x:v>anim_enemy_humanoid_melee</x:v>
      </x:c>
      <x:c r="Q16" t="str">
        <x:v>Task016/ConceptArt/enemy_hobgoblin_knight_001_concept_sheet.txt</x:v>
      </x:c>
      <x:c r="R16" t="str">
        <x:v>Task016/Meshy/enemy_hobgoblin_knight_001_meshy_character.txt</x:v>
      </x:c>
      <x:c r="S16" t="str">
        <x:v>Task016/Texture/enemy_hobgoblin_knight_001_texture.txt</x:v>
      </x:c>
      <x:c r="T16" t="n">
        <x:v>3</x:v>
      </x:c>
      <x:c r="U16" t="n">
        <x:v>4</x:v>
      </x:c>
      <x:c r="V16" t="n">
        <x:v>1</x:v>
      </x:c>
      <x:c r="W16" t="n">
        <x:v>1</x:v>
      </x:c>
      <x:c r="X16" t="n">
        <x:v>1</x:v>
      </x:c>
      <x:c r="Y16" t="str">
        <x:v>Clearly a different military caste; taller than heroes’ waistline and common goblins; armor appears standardized; tower shield can animate without leg collision; face remains goblinoid.</x:v>
      </x:c>
      <x:c r="Z16" t="str">
        <x:v>Assets/_Game/Art/Characters/enemy_hobgoblin_knight_001</x:v>
      </x:c>
      <x:c r="AA16" t="str">
        <x:v>Not Started</x:v>
      </x:c>
      <x:c r="AB16" t="str">
        <x:v>Pending</x:v>
      </x:c>
      <x:c r="AC16" s="18" t="n">
        <x:f>T16*'Settings &amp; Rates'!$B$5+U16*'Settings &amp; Rates'!$B$6+V16*'Settings &amp; Rates'!$B$7+W16*'Settings &amp; Rates'!$B$8+X16*'Settings &amp; Rates'!$B$9</x:f>
        <x:v>100</x:v>
      </x:c>
      <x:c r="AD16" s="18" t="n">
        <x:f>SUMIF('Attempt Log'!$B$2:$B$101,A16,'Attempt Log'!$K$2:$K$101)</x:f>
        <x:v>0</x:v>
      </x:c>
      <x:c r="AE16" s="18" t="n">
        <x:f>AD16-AC16</x:f>
        <x:v>-100</x:v>
      </x:c>
      <x:c r="AF16" t="n">
        <x:f>COUNTIF('Attempt Log'!$B$2:$B$101,A16)</x:f>
        <x:v>0</x:v>
      </x:c>
      <x:c r="AG16" t="n">
        <x:f>IFERROR(SUMIFS('Attempt Log'!$U$2:$U$101,'Attempt Log'!$B$2:$B$101,A16,'Attempt Log'!$N$2:$N$101,"Yes")/COUNTIFS('Attempt Log'!$B$2:$B$101,A16,'Attempt Log'!$N$2:$N$101,"Yes"),0)</x:f>
        <x:v>0</x:v>
      </x:c>
    </x:row>
    <x:row r="17">
      <x:c r="A17" t="str">
        <x:v>equipment_amulet_t01_base</x:v>
      </x:c>
      <x:c r="B17" t="str">
        <x:v>Amuleto T1</x:v>
      </x:c>
      <x:c r="C17" t="str">
        <x:v>Amulet T1</x:v>
      </x:c>
      <x:c r="D17" t="str">
        <x:v>Task017</x:v>
      </x:c>
      <x:c r="E17" t="str">
        <x:v>Equipment</x:v>
      </x:c>
      <x:c r="F17" t="str">
        <x:v>Accessory</x:v>
      </x:c>
      <x:c r="G17" t="str">
        <x:v>amulet</x:v>
      </x:c>
      <x:c r="H17" t="str">
        <x:v>Vertical Slice</x:v>
      </x:c>
      <x:c r="I17" t="str">
        <x:v>P0</x:v>
      </x:c>
      <x:c r="J17" t="str">
        <x:v>B04_T1_WEAPONS_ACCESSORIES</x:v>
      </x:c>
      <x:c r="K17" t="str">
        <x:v>Text to 3D</x:v>
      </x:c>
      <x:c r="L17" t="str">
        <x:v>Optional</x:v>
      </x:c>
      <x:c r="M17" t="n">
        <x:v>900</x:v>
      </x:c>
      <x:c r="N17" t="str">
        <x:v>512</x:v>
      </x:c>
      <x:c r="O17" t="str">
        <x:v>No</x:v>
      </x:c>
      <x:c r="P17" t="str">
        <x:v>None</x:v>
      </x:c>
      <x:c r="Q17" t="str">
        <x:v>Prompts/ConceptArt/equipment_amulet_t01_base_concept_sheet.txt</x:v>
      </x:c>
      <x:c r="R17" t="str">
        <x:v>Prompts/Meshy/BaseGeometry/equipment_amulet_t01_base_geometry.txt</x:v>
      </x:c>
      <x:c r="S17" t="str">
        <x:v>Prompts/TextureVariants/equipment_amulet_t01_base_rarity_variants.txt</x:v>
      </x:c>
      <x:c r="T17" t="n">
        <x:v>1</x:v>
      </x:c>
      <x:c r="U17" t="n">
        <x:v>3</x:v>
      </x:c>
      <x:c r="V17" t="n">
        <x:v>1</x:v>
      </x:c>
      <x:c r="W17" t="n">
        <x:v>1</x:v>
      </x:c>
      <x:c r="X17" t="n">
        <x:v>0</x:v>
      </x:c>
      <x:c r="Y17" t="str">
        <x:v>readable at inventory scale; tier identity clear without UI; all six rarity variants preserve family; pivot and scale correct; no fragile geometry; URP PBR maps valid</x:v>
      </x:c>
      <x:c r="Z17" t="str">
        <x:v>Assets/_Game/Art/Equipment/Accessory/amulet/T1/Models</x:v>
      </x:c>
      <x:c r="AA17" t="str">
        <x:v>Not Started</x:v>
      </x:c>
      <x:c r="AB17" t="str">
        <x:v>Pending</x:v>
      </x:c>
      <x:c r="AC17" s="18" t="n">
        <x:f>T17*'Settings &amp; Rates'!$B$5+U17*'Settings &amp; Rates'!$B$6+V17*'Settings &amp; Rates'!$B$7+W17*'Settings &amp; Rates'!$B$8+X17*'Settings &amp; Rates'!$B$9</x:f>
        <x:v>75</x:v>
      </x:c>
      <x:c r="AD17" s="18" t="n">
        <x:f>SUMIF('Attempt Log'!$B$2:$B$101,A17,'Attempt Log'!$K$2:$K$101)</x:f>
        <x:v>0</x:v>
      </x:c>
      <x:c r="AE17" s="18" t="n">
        <x:f>AD17-AC17</x:f>
        <x:v>-75</x:v>
      </x:c>
      <x:c r="AF17" t="n">
        <x:f>COUNTIF('Attempt Log'!$B$2:$B$101,A17)</x:f>
        <x:v>0</x:v>
      </x:c>
      <x:c r="AG17" t="n">
        <x:f>IFERROR(SUMIFS('Attempt Log'!$U$2:$U$101,'Attempt Log'!$B$2:$B$101,A17,'Attempt Log'!$N$2:$N$101,"Yes")/COUNTIFS('Attempt Log'!$B$2:$B$101,A17,'Attempt Log'!$N$2:$N$101,"Yes"),0)</x:f>
        <x:v>0</x:v>
      </x:c>
    </x:row>
    <x:row r="18">
      <x:c r="A18" t="str">
        <x:v>equipment_longbow_t01_base</x:v>
      </x:c>
      <x:c r="B18" t="str">
        <x:v>Arco Longo T1</x:v>
      </x:c>
      <x:c r="C18" t="str">
        <x:v>Longbow T1</x:v>
      </x:c>
      <x:c r="D18" t="str">
        <x:v>Task017</x:v>
      </x:c>
      <x:c r="E18" t="str">
        <x:v>Equipment</x:v>
      </x:c>
      <x:c r="F18" t="str">
        <x:v>Weapon</x:v>
      </x:c>
      <x:c r="G18" t="str">
        <x:v>longbow</x:v>
      </x:c>
      <x:c r="H18" t="str">
        <x:v>Vertical Slice</x:v>
      </x:c>
      <x:c r="I18" t="str">
        <x:v>P0</x:v>
      </x:c>
      <x:c r="J18" t="str">
        <x:v>B04_T1_WEAPONS_ACCESSORIES</x:v>
      </x:c>
      <x:c r="K18" t="str">
        <x:v>Text to 3D</x:v>
      </x:c>
      <x:c r="L18" t="str">
        <x:v>Optional</x:v>
      </x:c>
      <x:c r="M18" t="n">
        <x:v>1700</x:v>
      </x:c>
      <x:c r="N18" t="str">
        <x:v>1024</x:v>
      </x:c>
      <x:c r="O18" t="str">
        <x:v>No</x:v>
      </x:c>
      <x:c r="P18" t="str">
        <x:v>None</x:v>
      </x:c>
      <x:c r="Q18" t="str">
        <x:v>Prompts/ConceptArt/equipment_longbow_t01_base_concept_sheet.txt</x:v>
      </x:c>
      <x:c r="R18" t="str">
        <x:v>Prompts/Meshy/BaseGeometry/equipment_longbow_t01_base_geometry.txt</x:v>
      </x:c>
      <x:c r="S18" t="str">
        <x:v>Prompts/TextureVariants/equipment_longbow_t01_base_rarity_variants.txt</x:v>
      </x:c>
      <x:c r="T18" t="n">
        <x:v>1</x:v>
      </x:c>
      <x:c r="U18" t="n">
        <x:v>3</x:v>
      </x:c>
      <x:c r="V18" t="n">
        <x:v>1</x:v>
      </x:c>
      <x:c r="W18" t="n">
        <x:v>1</x:v>
      </x:c>
      <x:c r="X18" t="n">
        <x:v>0</x:v>
      </x:c>
      <x:c r="Y18" t="str">
        <x:v>readable at inventory scale; tier identity clear without UI; all six rarity variants preserve family; pivot and scale correct; no fragile geometry; URP PBR maps valid</x:v>
      </x:c>
      <x:c r="Z18" t="str">
        <x:v>Assets/_Game/Art/Equipment/Weapon/longbow/T1/Models</x:v>
      </x:c>
      <x:c r="AA18" t="str">
        <x:v>Not Started</x:v>
      </x:c>
      <x:c r="AB18" t="str">
        <x:v>Pending</x:v>
      </x:c>
      <x:c r="AC18" s="18" t="n">
        <x:f>T18*'Settings &amp; Rates'!$B$5+U18*'Settings &amp; Rates'!$B$6+V18*'Settings &amp; Rates'!$B$7+W18*'Settings &amp; Rates'!$B$8+X18*'Settings &amp; Rates'!$B$9</x:f>
        <x:v>75</x:v>
      </x:c>
      <x:c r="AD18" s="18" t="n">
        <x:f>SUMIF('Attempt Log'!$B$2:$B$101,A18,'Attempt Log'!$K$2:$K$101)</x:f>
        <x:v>0</x:v>
      </x:c>
      <x:c r="AE18" s="18" t="n">
        <x:f>AD18-AC18</x:f>
        <x:v>-75</x:v>
      </x:c>
      <x:c r="AF18" t="n">
        <x:f>COUNTIF('Attempt Log'!$B$2:$B$101,A18)</x:f>
        <x:v>0</x:v>
      </x:c>
      <x:c r="AG18" t="n">
        <x:f>IFERROR(SUMIFS('Attempt Log'!$U$2:$U$101,'Attempt Log'!$B$2:$B$101,A18,'Attempt Log'!$N$2:$N$101,"Yes")/COUNTIFS('Attempt Log'!$B$2:$B$101,A18,'Attempt Log'!$N$2:$N$101,"Yes"),0)</x:f>
        <x:v>0</x:v>
      </x:c>
    </x:row>
    <x:row r="19">
      <x:c r="A19" t="str">
        <x:v>equipment_ring_t01_base</x:v>
      </x:c>
      <x:c r="B19" t="str">
        <x:v>Anel T1</x:v>
      </x:c>
      <x:c r="C19" t="str">
        <x:v>Ring T1</x:v>
      </x:c>
      <x:c r="D19" t="str">
        <x:v>Task017</x:v>
      </x:c>
      <x:c r="E19" t="str">
        <x:v>Equipment</x:v>
      </x:c>
      <x:c r="F19" t="str">
        <x:v>Accessory</x:v>
      </x:c>
      <x:c r="G19" t="str">
        <x:v>ring</x:v>
      </x:c>
      <x:c r="H19" t="str">
        <x:v>Vertical Slice</x:v>
      </x:c>
      <x:c r="I19" t="str">
        <x:v>P0</x:v>
      </x:c>
      <x:c r="J19" t="str">
        <x:v>B04_T1_WEAPONS_ACCESSORIES</x:v>
      </x:c>
      <x:c r="K19" t="str">
        <x:v>Text to 3D</x:v>
      </x:c>
      <x:c r="L19" t="str">
        <x:v>Optional</x:v>
      </x:c>
      <x:c r="M19" t="n">
        <x:v>550</x:v>
      </x:c>
      <x:c r="N19" t="str">
        <x:v>512</x:v>
      </x:c>
      <x:c r="O19" t="str">
        <x:v>No</x:v>
      </x:c>
      <x:c r="P19" t="str">
        <x:v>None</x:v>
      </x:c>
      <x:c r="Q19" t="str">
        <x:v>Prompts/ConceptArt/equipment_ring_t01_base_concept_sheet.txt</x:v>
      </x:c>
      <x:c r="R19" t="str">
        <x:v>Prompts/Meshy/BaseGeometry/equipment_ring_t01_base_geometry.txt</x:v>
      </x:c>
      <x:c r="S19" t="str">
        <x:v>Prompts/TextureVariants/equipment_ring_t01_base_rarity_variants.txt</x:v>
      </x:c>
      <x:c r="T19" t="n">
        <x:v>1</x:v>
      </x:c>
      <x:c r="U19" t="n">
        <x:v>3</x:v>
      </x:c>
      <x:c r="V19" t="n">
        <x:v>1</x:v>
      </x:c>
      <x:c r="W19" t="n">
        <x:v>1</x:v>
      </x:c>
      <x:c r="X19" t="n">
        <x:v>0</x:v>
      </x:c>
      <x:c r="Y19" t="str">
        <x:v>readable at inventory scale; tier identity clear without UI; all six rarity variants preserve family; pivot and scale correct; no fragile geometry; URP PBR maps valid</x:v>
      </x:c>
      <x:c r="Z19" t="str">
        <x:v>Assets/_Game/Art/Equipment/Accessory/ring/T1/Models</x:v>
      </x:c>
      <x:c r="AA19" t="str">
        <x:v>Not Started</x:v>
      </x:c>
      <x:c r="AB19" t="str">
        <x:v>Pending</x:v>
      </x:c>
      <x:c r="AC19" s="18" t="n">
        <x:f>T19*'Settings &amp; Rates'!$B$5+U19*'Settings &amp; Rates'!$B$6+V19*'Settings &amp; Rates'!$B$7+W19*'Settings &amp; Rates'!$B$8+X19*'Settings &amp; Rates'!$B$9</x:f>
        <x:v>75</x:v>
      </x:c>
      <x:c r="AD19" s="18" t="n">
        <x:f>SUMIF('Attempt Log'!$B$2:$B$101,A19,'Attempt Log'!$K$2:$K$101)</x:f>
        <x:v>0</x:v>
      </x:c>
      <x:c r="AE19" s="18" t="n">
        <x:f>AD19-AC19</x:f>
        <x:v>-75</x:v>
      </x:c>
      <x:c r="AF19" t="n">
        <x:f>COUNTIF('Attempt Log'!$B$2:$B$101,A19)</x:f>
        <x:v>0</x:v>
      </x:c>
      <x:c r="AG19" t="n">
        <x:f>IFERROR(SUMIFS('Attempt Log'!$U$2:$U$101,'Attempt Log'!$B$2:$B$101,A19,'Attempt Log'!$N$2:$N$101,"Yes")/COUNTIFS('Attempt Log'!$B$2:$B$101,A19,'Attempt Log'!$N$2:$N$101,"Yes"),0)</x:f>
        <x:v>0</x:v>
      </x:c>
    </x:row>
    <x:row r="20">
      <x:c r="A20" t="str">
        <x:v>equipment_shield_t01_base</x:v>
      </x:c>
      <x:c r="B20" t="str">
        <x:v>Escudo T1</x:v>
      </x:c>
      <x:c r="C20" t="str">
        <x:v>Shield T1</x:v>
      </x:c>
      <x:c r="D20" t="str">
        <x:v>Task017</x:v>
      </x:c>
      <x:c r="E20" t="str">
        <x:v>Equipment</x:v>
      </x:c>
      <x:c r="F20" t="str">
        <x:v>Weapon</x:v>
      </x:c>
      <x:c r="G20" t="str">
        <x:v>shield</x:v>
      </x:c>
      <x:c r="H20" t="str">
        <x:v>Vertical Slice</x:v>
      </x:c>
      <x:c r="I20" t="str">
        <x:v>P0</x:v>
      </x:c>
      <x:c r="J20" t="str">
        <x:v>B04_T1_WEAPONS_ACCESSORIES</x:v>
      </x:c>
      <x:c r="K20" t="str">
        <x:v>Text to 3D</x:v>
      </x:c>
      <x:c r="L20" t="str">
        <x:v>Optional</x:v>
      </x:c>
      <x:c r="M20" t="n">
        <x:v>2500</x:v>
      </x:c>
      <x:c r="N20" t="str">
        <x:v>1024</x:v>
      </x:c>
      <x:c r="O20" t="str">
        <x:v>No</x:v>
      </x:c>
      <x:c r="P20" t="str">
        <x:v>None</x:v>
      </x:c>
      <x:c r="Q20" t="str">
        <x:v>Prompts/ConceptArt/equipment_shield_t01_base_concept_sheet.txt</x:v>
      </x:c>
      <x:c r="R20" t="str">
        <x:v>Prompts/Meshy/BaseGeometry/equipment_shield_t01_base_geometry.txt</x:v>
      </x:c>
      <x:c r="S20" t="str">
        <x:v>Prompts/TextureVariants/equipment_shield_t01_base_rarity_variants.txt</x:v>
      </x:c>
      <x:c r="T20" t="n">
        <x:v>1</x:v>
      </x:c>
      <x:c r="U20" t="n">
        <x:v>3</x:v>
      </x:c>
      <x:c r="V20" t="n">
        <x:v>1</x:v>
      </x:c>
      <x:c r="W20" t="n">
        <x:v>1</x:v>
      </x:c>
      <x:c r="X20" t="n">
        <x:v>0</x:v>
      </x:c>
      <x:c r="Y20" t="str">
        <x:v>readable at inventory scale; tier identity clear without UI; all six rarity variants preserve family; pivot and scale correct; no fragile geometry; URP PBR maps valid</x:v>
      </x:c>
      <x:c r="Z20" t="str">
        <x:v>Assets/_Game/Art/Equipment/Weapon/shield/T1/Models</x:v>
      </x:c>
      <x:c r="AA20" t="str">
        <x:v>Not Started</x:v>
      </x:c>
      <x:c r="AB20" t="str">
        <x:v>Pending</x:v>
      </x:c>
      <x:c r="AC20" s="18" t="n">
        <x:f>T20*'Settings &amp; Rates'!$B$5+U20*'Settings &amp; Rates'!$B$6+V20*'Settings &amp; Rates'!$B$7+W20*'Settings &amp; Rates'!$B$8+X20*'Settings &amp; Rates'!$B$9</x:f>
        <x:v>75</x:v>
      </x:c>
      <x:c r="AD20" s="18" t="n">
        <x:f>SUMIF('Attempt Log'!$B$2:$B$101,A20,'Attempt Log'!$K$2:$K$101)</x:f>
        <x:v>0</x:v>
      </x:c>
      <x:c r="AE20" s="18" t="n">
        <x:f>AD20-AC20</x:f>
        <x:v>-75</x:v>
      </x:c>
      <x:c r="AF20" t="n">
        <x:f>COUNTIF('Attempt Log'!$B$2:$B$101,A20)</x:f>
        <x:v>0</x:v>
      </x:c>
      <x:c r="AG20" t="n">
        <x:f>IFERROR(SUMIFS('Attempt Log'!$U$2:$U$101,'Attempt Log'!$B$2:$B$101,A20,'Attempt Log'!$N$2:$N$101,"Yes")/COUNTIFS('Attempt Log'!$B$2:$B$101,A20,'Attempt Log'!$N$2:$N$101,"Yes"),0)</x:f>
        <x:v>0</x:v>
      </x:c>
    </x:row>
    <x:row r="21">
      <x:c r="A21" t="str">
        <x:v>equipment_staff_t01_base</x:v>
      </x:c>
      <x:c r="B21" t="str">
        <x:v>Cajado T1</x:v>
      </x:c>
      <x:c r="C21" t="str">
        <x:v>Staff T1</x:v>
      </x:c>
      <x:c r="D21" t="str">
        <x:v>Task017</x:v>
      </x:c>
      <x:c r="E21" t="str">
        <x:v>Equipment</x:v>
      </x:c>
      <x:c r="F21" t="str">
        <x:v>Weapon</x:v>
      </x:c>
      <x:c r="G21" t="str">
        <x:v>staff</x:v>
      </x:c>
      <x:c r="H21" t="str">
        <x:v>Vertical Slice</x:v>
      </x:c>
      <x:c r="I21" t="str">
        <x:v>P0</x:v>
      </x:c>
      <x:c r="J21" t="str">
        <x:v>B04_T1_WEAPONS_ACCESSORIES</x:v>
      </x:c>
      <x:c r="K21" t="str">
        <x:v>Text to 3D</x:v>
      </x:c>
      <x:c r="L21" t="str">
        <x:v>Optional</x:v>
      </x:c>
      <x:c r="M21" t="n">
        <x:v>2400</x:v>
      </x:c>
      <x:c r="N21" t="str">
        <x:v>1024</x:v>
      </x:c>
      <x:c r="O21" t="str">
        <x:v>No</x:v>
      </x:c>
      <x:c r="P21" t="str">
        <x:v>None</x:v>
      </x:c>
      <x:c r="Q21" t="str">
        <x:v>Prompts/ConceptArt/equipment_staff_t01_base_concept_sheet.txt</x:v>
      </x:c>
      <x:c r="R21" t="str">
        <x:v>Prompts/Meshy/BaseGeometry/equipment_staff_t01_base_geometry.txt</x:v>
      </x:c>
      <x:c r="S21" t="str">
        <x:v>Prompts/TextureVariants/equipment_staff_t01_base_rarity_variants.txt</x:v>
      </x:c>
      <x:c r="T21" t="n">
        <x:v>1</x:v>
      </x:c>
      <x:c r="U21" t="n">
        <x:v>3</x:v>
      </x:c>
      <x:c r="V21" t="n">
        <x:v>1</x:v>
      </x:c>
      <x:c r="W21" t="n">
        <x:v>1</x:v>
      </x:c>
      <x:c r="X21" t="n">
        <x:v>0</x:v>
      </x:c>
      <x:c r="Y21" t="str">
        <x:v>readable at inventory scale; tier identity clear without UI; all six rarity variants preserve family; pivot and scale correct; no fragile geometry; URP PBR maps valid</x:v>
      </x:c>
      <x:c r="Z21" t="str">
        <x:v>Assets/_Game/Art/Equipment/Weapon/staff/T1/Models</x:v>
      </x:c>
      <x:c r="AA21" t="str">
        <x:v>Not Started</x:v>
      </x:c>
      <x:c r="AB21" t="str">
        <x:v>Pending</x:v>
      </x:c>
      <x:c r="AC21" s="18" t="n">
        <x:f>T21*'Settings &amp; Rates'!$B$5+U21*'Settings &amp; Rates'!$B$6+V21*'Settings &amp; Rates'!$B$7+W21*'Settings &amp; Rates'!$B$8+X21*'Settings &amp; Rates'!$B$9</x:f>
        <x:v>75</x:v>
      </x:c>
      <x:c r="AD21" s="18" t="n">
        <x:f>SUMIF('Attempt Log'!$B$2:$B$101,A21,'Attempt Log'!$K$2:$K$101)</x:f>
        <x:v>0</x:v>
      </x:c>
      <x:c r="AE21" s="18" t="n">
        <x:f>AD21-AC21</x:f>
        <x:v>-75</x:v>
      </x:c>
      <x:c r="AF21" t="n">
        <x:f>COUNTIF('Attempt Log'!$B$2:$B$101,A21)</x:f>
        <x:v>0</x:v>
      </x:c>
      <x:c r="AG21" t="n">
        <x:f>IFERROR(SUMIFS('Attempt Log'!$U$2:$U$101,'Attempt Log'!$B$2:$B$101,A21,'Attempt Log'!$N$2:$N$101,"Yes")/COUNTIFS('Attempt Log'!$B$2:$B$101,A21,'Attempt Log'!$N$2:$N$101,"Yes"),0)</x:f>
        <x:v>0</x:v>
      </x:c>
    </x:row>
    <x:row r="22">
      <x:c r="A22" t="str">
        <x:v>equipment_cloth_boots_t01_base</x:v>
      </x:c>
      <x:c r="B22" t="str">
        <x:v>Botas Arcanas T1</x:v>
      </x:c>
      <x:c r="C22" t="str">
        <x:v>Arcane Boots T1</x:v>
      </x:c>
      <x:c r="D22" t="str">
        <x:v>Task017</x:v>
      </x:c>
      <x:c r="E22" t="str">
        <x:v>Equipment</x:v>
      </x:c>
      <x:c r="F22" t="str">
        <x:v>Cloth Armor</x:v>
      </x:c>
      <x:c r="G22" t="str">
        <x:v>cloth_boots</x:v>
      </x:c>
      <x:c r="H22" t="str">
        <x:v>Vertical Slice</x:v>
      </x:c>
      <x:c r="I22" t="str">
        <x:v>P0</x:v>
      </x:c>
      <x:c r="J22" t="str">
        <x:v>B05_T1_ARMOR</x:v>
      </x:c>
      <x:c r="K22" t="str">
        <x:v>Image to 3D</x:v>
      </x:c>
      <x:c r="L22" t="str">
        <x:v>Yes</x:v>
      </x:c>
      <x:c r="M22" t="n">
        <x:v>1450</x:v>
      </x:c>
      <x:c r="N22" t="str">
        <x:v>1024</x:v>
      </x:c>
      <x:c r="O22" t="str">
        <x:v>No</x:v>
      </x:c>
      <x:c r="P22" t="str">
        <x:v>None</x:v>
      </x:c>
      <x:c r="Q22" t="str">
        <x:v>Prompts/ConceptArt/equipment_cloth_boots_t01_base_concept_sheet.txt</x:v>
      </x:c>
      <x:c r="R22" t="str">
        <x:v>Prompts/Meshy/BaseGeometry/equipment_cloth_boots_t01_base_geometry.txt</x:v>
      </x:c>
      <x:c r="S22" t="str">
        <x:v>Prompts/TextureVariants/equipment_cloth_boots_t01_base_rarity_variants.txt</x:v>
      </x:c>
      <x:c r="T22" t="n">
        <x:v>2</x:v>
      </x:c>
      <x:c r="U22" t="n">
        <x:v>3</x:v>
      </x:c>
      <x:c r="V22" t="n">
        <x:v>1</x:v>
      </x:c>
      <x:c r="W22" t="n">
        <x:v>1</x:v>
      </x:c>
      <x:c r="X22" t="n">
        <x:v>0</x:v>
      </x:c>
      <x:c r="Y22" t="str">
        <x:v>readable at inventory scale; tier identity clear without UI; all six rarity variants preserve family; pivot and scale correct; no fragile geometry; URP PBR maps valid</x:v>
      </x:c>
      <x:c r="Z22" t="str">
        <x:v>Assets/_Game/Art/Equipment/ClothArmor/cloth_boots/T1/Models</x:v>
      </x:c>
      <x:c r="AA22" t="str">
        <x:v>Not Started</x:v>
      </x:c>
      <x:c r="AB22" t="str">
        <x:v>Pending</x:v>
      </x:c>
      <x:c r="AC22" s="18" t="n">
        <x:f>T22*'Settings &amp; Rates'!$B$5+U22*'Settings &amp; Rates'!$B$6+V22*'Settings &amp; Rates'!$B$7+W22*'Settings &amp; Rates'!$B$8+X22*'Settings &amp; Rates'!$B$9</x:f>
        <x:v>75</x:v>
      </x:c>
      <x:c r="AD22" s="18" t="n">
        <x:f>SUMIF('Attempt Log'!$B$2:$B$101,A22,'Attempt Log'!$K$2:$K$101)</x:f>
        <x:v>0</x:v>
      </x:c>
      <x:c r="AE22" s="18" t="n">
        <x:f>AD22-AC22</x:f>
        <x:v>-75</x:v>
      </x:c>
      <x:c r="AF22" t="n">
        <x:f>COUNTIF('Attempt Log'!$B$2:$B$101,A22)</x:f>
        <x:v>0</x:v>
      </x:c>
      <x:c r="AG22" t="n">
        <x:f>IFERROR(SUMIFS('Attempt Log'!$U$2:$U$101,'Attempt Log'!$B$2:$B$101,A22,'Attempt Log'!$N$2:$N$101,"Yes")/COUNTIFS('Attempt Log'!$B$2:$B$101,A22,'Attempt Log'!$N$2:$N$101,"Yes"),0)</x:f>
        <x:v>0</x:v>
      </x:c>
    </x:row>
    <x:row r="23">
      <x:c r="A23" t="str">
        <x:v>equipment_cloth_gloves_t01_base</x:v>
      </x:c>
      <x:c r="B23" t="str">
        <x:v>Luvas Arcanas T1</x:v>
      </x:c>
      <x:c r="C23" t="str">
        <x:v>Arcane Gloves T1</x:v>
      </x:c>
      <x:c r="D23" t="str">
        <x:v>Task017</x:v>
      </x:c>
      <x:c r="E23" t="str">
        <x:v>Equipment</x:v>
      </x:c>
      <x:c r="F23" t="str">
        <x:v>Cloth Armor</x:v>
      </x:c>
      <x:c r="G23" t="str">
        <x:v>cloth_gloves</x:v>
      </x:c>
      <x:c r="H23" t="str">
        <x:v>Vertical Slice</x:v>
      </x:c>
      <x:c r="I23" t="str">
        <x:v>P0</x:v>
      </x:c>
      <x:c r="J23" t="str">
        <x:v>B05_T1_ARMOR</x:v>
      </x:c>
      <x:c r="K23" t="str">
        <x:v>Image to 3D</x:v>
      </x:c>
      <x:c r="L23" t="str">
        <x:v>Yes</x:v>
      </x:c>
      <x:c r="M23" t="n">
        <x:v>1200</x:v>
      </x:c>
      <x:c r="N23" t="str">
        <x:v>1024</x:v>
      </x:c>
      <x:c r="O23" t="str">
        <x:v>No</x:v>
      </x:c>
      <x:c r="P23" t="str">
        <x:v>None</x:v>
      </x:c>
      <x:c r="Q23" t="str">
        <x:v>Prompts/ConceptArt/equipment_cloth_gloves_t01_base_concept_sheet.txt</x:v>
      </x:c>
      <x:c r="R23" t="str">
        <x:v>Prompts/Meshy/BaseGeometry/equipment_cloth_gloves_t01_base_geometry.txt</x:v>
      </x:c>
      <x:c r="S23" t="str">
        <x:v>Prompts/TextureVariants/equipment_cloth_gloves_t01_base_rarity_variants.txt</x:v>
      </x:c>
      <x:c r="T23" t="n">
        <x:v>2</x:v>
      </x:c>
      <x:c r="U23" t="n">
        <x:v>3</x:v>
      </x:c>
      <x:c r="V23" t="n">
        <x:v>1</x:v>
      </x:c>
      <x:c r="W23" t="n">
        <x:v>1</x:v>
      </x:c>
      <x:c r="X23" t="n">
        <x:v>0</x:v>
      </x:c>
      <x:c r="Y23" t="str">
        <x:v>readable at inventory scale; tier identity clear without UI; all six rarity variants preserve family; pivot and scale correct; no fragile geometry; URP PBR maps valid</x:v>
      </x:c>
      <x:c r="Z23" t="str">
        <x:v>Assets/_Game/Art/Equipment/ClothArmor/cloth_gloves/T1/Models</x:v>
      </x:c>
      <x:c r="AA23" t="str">
        <x:v>Not Started</x:v>
      </x:c>
      <x:c r="AB23" t="str">
        <x:v>Pending</x:v>
      </x:c>
      <x:c r="AC23" s="18" t="n">
        <x:f>T23*'Settings &amp; Rates'!$B$5+U23*'Settings &amp; Rates'!$B$6+V23*'Settings &amp; Rates'!$B$7+W23*'Settings &amp; Rates'!$B$8+X23*'Settings &amp; Rates'!$B$9</x:f>
        <x:v>75</x:v>
      </x:c>
      <x:c r="AD23" s="18" t="n">
        <x:f>SUMIF('Attempt Log'!$B$2:$B$101,A23,'Attempt Log'!$K$2:$K$101)</x:f>
        <x:v>0</x:v>
      </x:c>
      <x:c r="AE23" s="18" t="n">
        <x:f>AD23-AC23</x:f>
        <x:v>-75</x:v>
      </x:c>
      <x:c r="AF23" t="n">
        <x:f>COUNTIF('Attempt Log'!$B$2:$B$101,A23)</x:f>
        <x:v>0</x:v>
      </x:c>
      <x:c r="AG23" t="n">
        <x:f>IFERROR(SUMIFS('Attempt Log'!$U$2:$U$101,'Attempt Log'!$B$2:$B$101,A23,'Attempt Log'!$N$2:$N$101,"Yes")/COUNTIFS('Attempt Log'!$B$2:$B$101,A23,'Attempt Log'!$N$2:$N$101,"Yes"),0)</x:f>
        <x:v>0</x:v>
      </x:c>
    </x:row>
    <x:row r="24">
      <x:c r="A24" t="str">
        <x:v>equipment_cloth_hood_t01_base</x:v>
      </x:c>
      <x:c r="B24" t="str">
        <x:v>Capuz Arcano T1</x:v>
      </x:c>
      <x:c r="C24" t="str">
        <x:v>Arcane Hood T1</x:v>
      </x:c>
      <x:c r="D24" t="str">
        <x:v>Task017</x:v>
      </x:c>
      <x:c r="E24" t="str">
        <x:v>Equipment</x:v>
      </x:c>
      <x:c r="F24" t="str">
        <x:v>Cloth Armor</x:v>
      </x:c>
      <x:c r="G24" t="str">
        <x:v>cloth_hood</x:v>
      </x:c>
      <x:c r="H24" t="str">
        <x:v>Vertical Slice</x:v>
      </x:c>
      <x:c r="I24" t="str">
        <x:v>P0</x:v>
      </x:c>
      <x:c r="J24" t="str">
        <x:v>B05_T1_ARMOR</x:v>
      </x:c>
      <x:c r="K24" t="str">
        <x:v>Image to 3D</x:v>
      </x:c>
      <x:c r="L24" t="str">
        <x:v>Yes</x:v>
      </x:c>
      <x:c r="M24" t="n">
        <x:v>1500</x:v>
      </x:c>
      <x:c r="N24" t="str">
        <x:v>1024</x:v>
      </x:c>
      <x:c r="O24" t="str">
        <x:v>No</x:v>
      </x:c>
      <x:c r="P24" t="str">
        <x:v>None</x:v>
      </x:c>
      <x:c r="Q24" t="str">
        <x:v>Prompts/ConceptArt/equipment_cloth_hood_t01_base_concept_sheet.txt</x:v>
      </x:c>
      <x:c r="R24" t="str">
        <x:v>Prompts/Meshy/BaseGeometry/equipment_cloth_hood_t01_base_geometry.txt</x:v>
      </x:c>
      <x:c r="S24" t="str">
        <x:v>Prompts/TextureVariants/equipment_cloth_hood_t01_base_rarity_variants.txt</x:v>
      </x:c>
      <x:c r="T24" t="n">
        <x:v>2</x:v>
      </x:c>
      <x:c r="U24" t="n">
        <x:v>3</x:v>
      </x:c>
      <x:c r="V24" t="n">
        <x:v>1</x:v>
      </x:c>
      <x:c r="W24" t="n">
        <x:v>1</x:v>
      </x:c>
      <x:c r="X24" t="n">
        <x:v>0</x:v>
      </x:c>
      <x:c r="Y24" t="str">
        <x:v>readable at inventory scale; tier identity clear without UI; all six rarity variants preserve family; pivot and scale correct; no fragile geometry; URP PBR maps valid</x:v>
      </x:c>
      <x:c r="Z24" t="str">
        <x:v>Assets/_Game/Art/Equipment/ClothArmor/cloth_hood/T1/Models</x:v>
      </x:c>
      <x:c r="AA24" t="str">
        <x:v>Not Started</x:v>
      </x:c>
      <x:c r="AB24" t="str">
        <x:v>Pending</x:v>
      </x:c>
      <x:c r="AC24" s="18" t="n">
        <x:f>T24*'Settings &amp; Rates'!$B$5+U24*'Settings &amp; Rates'!$B$6+V24*'Settings &amp; Rates'!$B$7+W24*'Settings &amp; Rates'!$B$8+X24*'Settings &amp; Rates'!$B$9</x:f>
        <x:v>75</x:v>
      </x:c>
      <x:c r="AD24" s="18" t="n">
        <x:f>SUMIF('Attempt Log'!$B$2:$B$101,A24,'Attempt Log'!$K$2:$K$101)</x:f>
        <x:v>0</x:v>
      </x:c>
      <x:c r="AE24" s="18" t="n">
        <x:f>AD24-AC24</x:f>
        <x:v>-75</x:v>
      </x:c>
      <x:c r="AF24" t="n">
        <x:f>COUNTIF('Attempt Log'!$B$2:$B$101,A24)</x:f>
        <x:v>0</x:v>
      </x:c>
      <x:c r="AG24" t="n">
        <x:f>IFERROR(SUMIFS('Attempt Log'!$U$2:$U$101,'Attempt Log'!$B$2:$B$101,A24,'Attempt Log'!$N$2:$N$101,"Yes")/COUNTIFS('Attempt Log'!$B$2:$B$101,A24,'Attempt Log'!$N$2:$N$101,"Yes"),0)</x:f>
        <x:v>0</x:v>
      </x:c>
    </x:row>
    <x:row r="25">
      <x:c r="A25" t="str">
        <x:v>equipment_cloth_robe_t01_base</x:v>
      </x:c>
      <x:c r="B25" t="str">
        <x:v>Manto Arcano T1</x:v>
      </x:c>
      <x:c r="C25" t="str">
        <x:v>Arcane Robe T1</x:v>
      </x:c>
      <x:c r="D25" t="str">
        <x:v>Task017</x:v>
      </x:c>
      <x:c r="E25" t="str">
        <x:v>Equipment</x:v>
      </x:c>
      <x:c r="F25" t="str">
        <x:v>Cloth Armor</x:v>
      </x:c>
      <x:c r="G25" t="str">
        <x:v>cloth_robe</x:v>
      </x:c>
      <x:c r="H25" t="str">
        <x:v>Vertical Slice</x:v>
      </x:c>
      <x:c r="I25" t="str">
        <x:v>P0</x:v>
      </x:c>
      <x:c r="J25" t="str">
        <x:v>B05_T1_ARMOR</x:v>
      </x:c>
      <x:c r="K25" t="str">
        <x:v>Image to 3D</x:v>
      </x:c>
      <x:c r="L25" t="str">
        <x:v>Yes</x:v>
      </x:c>
      <x:c r="M25" t="n">
        <x:v>3350</x:v>
      </x:c>
      <x:c r="N25" t="str">
        <x:v>1024</x:v>
      </x:c>
      <x:c r="O25" t="str">
        <x:v>No</x:v>
      </x:c>
      <x:c r="P25" t="str">
        <x:v>None</x:v>
      </x:c>
      <x:c r="Q25" t="str">
        <x:v>Prompts/ConceptArt/equipment_cloth_robe_t01_base_concept_sheet.txt</x:v>
      </x:c>
      <x:c r="R25" t="str">
        <x:v>Prompts/Meshy/BaseGeometry/equipment_cloth_robe_t01_base_geometry.txt</x:v>
      </x:c>
      <x:c r="S25" t="str">
        <x:v>Prompts/TextureVariants/equipment_cloth_robe_t01_base_rarity_variants.txt</x:v>
      </x:c>
      <x:c r="T25" t="n">
        <x:v>2</x:v>
      </x:c>
      <x:c r="U25" t="n">
        <x:v>3</x:v>
      </x:c>
      <x:c r="V25" t="n">
        <x:v>1</x:v>
      </x:c>
      <x:c r="W25" t="n">
        <x:v>1</x:v>
      </x:c>
      <x:c r="X25" t="n">
        <x:v>0</x:v>
      </x:c>
      <x:c r="Y25" t="str">
        <x:v>readable at inventory scale; tier identity clear without UI; all six rarity variants preserve family; pivot and scale correct; no fragile geometry; URP PBR maps valid</x:v>
      </x:c>
      <x:c r="Z25" t="str">
        <x:v>Assets/_Game/Art/Equipment/ClothArmor/cloth_robe/T1/Models</x:v>
      </x:c>
      <x:c r="AA25" t="str">
        <x:v>Not Started</x:v>
      </x:c>
      <x:c r="AB25" t="str">
        <x:v>Pending</x:v>
      </x:c>
      <x:c r="AC25" s="18" t="n">
        <x:f>T25*'Settings &amp; Rates'!$B$5+U25*'Settings &amp; Rates'!$B$6+V25*'Settings &amp; Rates'!$B$7+W25*'Settings &amp; Rates'!$B$8+X25*'Settings &amp; Rates'!$B$9</x:f>
        <x:v>75</x:v>
      </x:c>
      <x:c r="AD25" s="18" t="n">
        <x:f>SUMIF('Attempt Log'!$B$2:$B$101,A25,'Attempt Log'!$K$2:$K$101)</x:f>
        <x:v>0</x:v>
      </x:c>
      <x:c r="AE25" s="18" t="n">
        <x:f>AD25-AC25</x:f>
        <x:v>-75</x:v>
      </x:c>
      <x:c r="AF25" t="n">
        <x:f>COUNTIF('Attempt Log'!$B$2:$B$101,A25)</x:f>
        <x:v>0</x:v>
      </x:c>
      <x:c r="AG25" t="n">
        <x:f>IFERROR(SUMIFS('Attempt Log'!$U$2:$U$101,'Attempt Log'!$B$2:$B$101,A25,'Attempt Log'!$N$2:$N$101,"Yes")/COUNTIFS('Attempt Log'!$B$2:$B$101,A25,'Attempt Log'!$N$2:$N$101,"Yes"),0)</x:f>
        <x:v>0</x:v>
      </x:c>
    </x:row>
    <x:row r="26">
      <x:c r="A26" t="str">
        <x:v>equipment_heavy_boots_t01_base</x:v>
      </x:c>
      <x:c r="B26" t="str">
        <x:v>Botas Pesadas T1</x:v>
      </x:c>
      <x:c r="C26" t="str">
        <x:v>Heavy Boots T1</x:v>
      </x:c>
      <x:c r="D26" t="str">
        <x:v>Task017</x:v>
      </x:c>
      <x:c r="E26" t="str">
        <x:v>Equipment</x:v>
      </x:c>
      <x:c r="F26" t="str">
        <x:v>Heavy Armor</x:v>
      </x:c>
      <x:c r="G26" t="str">
        <x:v>heavy_boots</x:v>
      </x:c>
      <x:c r="H26" t="str">
        <x:v>Vertical Slice</x:v>
      </x:c>
      <x:c r="I26" t="str">
        <x:v>P0</x:v>
      </x:c>
      <x:c r="J26" t="str">
        <x:v>B05_T1_ARMOR</x:v>
      </x:c>
      <x:c r="K26" t="str">
        <x:v>Image to 3D</x:v>
      </x:c>
      <x:c r="L26" t="str">
        <x:v>Yes</x:v>
      </x:c>
      <x:c r="M26" t="n">
        <x:v>1750</x:v>
      </x:c>
      <x:c r="N26" t="str">
        <x:v>1024</x:v>
      </x:c>
      <x:c r="O26" t="str">
        <x:v>No</x:v>
      </x:c>
      <x:c r="P26" t="str">
        <x:v>None</x:v>
      </x:c>
      <x:c r="Q26" t="str">
        <x:v>Prompts/ConceptArt/equipment_heavy_boots_t01_base_concept_sheet.txt</x:v>
      </x:c>
      <x:c r="R26" t="str">
        <x:v>Prompts/Meshy/BaseGeometry/equipment_heavy_boots_t01_base_geometry.txt</x:v>
      </x:c>
      <x:c r="S26" t="str">
        <x:v>Prompts/TextureVariants/equipment_heavy_boots_t01_base_rarity_variants.txt</x:v>
      </x:c>
      <x:c r="T26" t="n">
        <x:v>2</x:v>
      </x:c>
      <x:c r="U26" t="n">
        <x:v>3</x:v>
      </x:c>
      <x:c r="V26" t="n">
        <x:v>1</x:v>
      </x:c>
      <x:c r="W26" t="n">
        <x:v>1</x:v>
      </x:c>
      <x:c r="X26" t="n">
        <x:v>0</x:v>
      </x:c>
      <x:c r="Y26" t="str">
        <x:v>readable at inventory scale; tier identity clear without UI; all six rarity variants preserve family; pivot and scale correct; no fragile geometry; URP PBR maps valid</x:v>
      </x:c>
      <x:c r="Z26" t="str">
        <x:v>Assets/_Game/Art/Equipment/HeavyArmor/heavy_boots/T1/Models</x:v>
      </x:c>
      <x:c r="AA26" t="str">
        <x:v>Not Started</x:v>
      </x:c>
      <x:c r="AB26" t="str">
        <x:v>Pending</x:v>
      </x:c>
      <x:c r="AC26" s="18" t="n">
        <x:f>T26*'Settings &amp; Rates'!$B$5+U26*'Settings &amp; Rates'!$B$6+V26*'Settings &amp; Rates'!$B$7+W26*'Settings &amp; Rates'!$B$8+X26*'Settings &amp; Rates'!$B$9</x:f>
        <x:v>75</x:v>
      </x:c>
      <x:c r="AD26" s="18" t="n">
        <x:f>SUMIF('Attempt Log'!$B$2:$B$101,A26,'Attempt Log'!$K$2:$K$101)</x:f>
        <x:v>0</x:v>
      </x:c>
      <x:c r="AE26" s="18" t="n">
        <x:f>AD26-AC26</x:f>
        <x:v>-75</x:v>
      </x:c>
      <x:c r="AF26" t="n">
        <x:f>COUNTIF('Attempt Log'!$B$2:$B$101,A26)</x:f>
        <x:v>0</x:v>
      </x:c>
      <x:c r="AG26" t="n">
        <x:f>IFERROR(SUMIFS('Attempt Log'!$U$2:$U$101,'Attempt Log'!$B$2:$B$101,A26,'Attempt Log'!$N$2:$N$101,"Yes")/COUNTIFS('Attempt Log'!$B$2:$B$101,A26,'Attempt Log'!$N$2:$N$101,"Yes"),0)</x:f>
        <x:v>0</x:v>
      </x:c>
    </x:row>
    <x:row r="27">
      <x:c r="A27" t="str">
        <x:v>equipment_heavy_chest_t01_base</x:v>
      </x:c>
      <x:c r="B27" t="str">
        <x:v>Peitoral Pesado T1</x:v>
      </x:c>
      <x:c r="C27" t="str">
        <x:v>Heavy Chest Armor T1</x:v>
      </x:c>
      <x:c r="D27" t="str">
        <x:v>Task017</x:v>
      </x:c>
      <x:c r="E27" t="str">
        <x:v>Equipment</x:v>
      </x:c>
      <x:c r="F27" t="str">
        <x:v>Heavy Armor</x:v>
      </x:c>
      <x:c r="G27" t="str">
        <x:v>heavy_chest</x:v>
      </x:c>
      <x:c r="H27" t="str">
        <x:v>Vertical Slice</x:v>
      </x:c>
      <x:c r="I27" t="str">
        <x:v>P0</x:v>
      </x:c>
      <x:c r="J27" t="str">
        <x:v>B05_T1_ARMOR</x:v>
      </x:c>
      <x:c r="K27" t="str">
        <x:v>Image to 3D</x:v>
      </x:c>
      <x:c r="L27" t="str">
        <x:v>Yes</x:v>
      </x:c>
      <x:c r="M27" t="n">
        <x:v>3750</x:v>
      </x:c>
      <x:c r="N27" t="str">
        <x:v>1024</x:v>
      </x:c>
      <x:c r="O27" t="str">
        <x:v>No</x:v>
      </x:c>
      <x:c r="P27" t="str">
        <x:v>None</x:v>
      </x:c>
      <x:c r="Q27" t="str">
        <x:v>Prompts/ConceptArt/equipment_heavy_chest_t01_base_concept_sheet.txt</x:v>
      </x:c>
      <x:c r="R27" t="str">
        <x:v>Prompts/Meshy/BaseGeometry/equipment_heavy_chest_t01_base_geometry.txt</x:v>
      </x:c>
      <x:c r="S27" t="str">
        <x:v>Prompts/TextureVariants/equipment_heavy_chest_t01_base_rarity_variants.txt</x:v>
      </x:c>
      <x:c r="T27" t="n">
        <x:v>2</x:v>
      </x:c>
      <x:c r="U27" t="n">
        <x:v>3</x:v>
      </x:c>
      <x:c r="V27" t="n">
        <x:v>1</x:v>
      </x:c>
      <x:c r="W27" t="n">
        <x:v>1</x:v>
      </x:c>
      <x:c r="X27" t="n">
        <x:v>0</x:v>
      </x:c>
      <x:c r="Y27" t="str">
        <x:v>readable at inventory scale; tier identity clear without UI; all six rarity variants preserve family; pivot and scale correct; no fragile geometry; URP PBR maps valid</x:v>
      </x:c>
      <x:c r="Z27" t="str">
        <x:v>Assets/_Game/Art/Equipment/HeavyArmor/heavy_chest/T1/Models</x:v>
      </x:c>
      <x:c r="AA27" t="str">
        <x:v>Not Started</x:v>
      </x:c>
      <x:c r="AB27" t="str">
        <x:v>Pending</x:v>
      </x:c>
      <x:c r="AC27" s="18" t="n">
        <x:f>T27*'Settings &amp; Rates'!$B$5+U27*'Settings &amp; Rates'!$B$6+V27*'Settings &amp; Rates'!$B$7+W27*'Settings &amp; Rates'!$B$8+X27*'Settings &amp; Rates'!$B$9</x:f>
        <x:v>75</x:v>
      </x:c>
      <x:c r="AD27" s="18" t="n">
        <x:f>SUMIF('Attempt Log'!$B$2:$B$101,A27,'Attempt Log'!$K$2:$K$101)</x:f>
        <x:v>0</x:v>
      </x:c>
      <x:c r="AE27" s="18" t="n">
        <x:f>AD27-AC27</x:f>
        <x:v>-75</x:v>
      </x:c>
      <x:c r="AF27" t="n">
        <x:f>COUNTIF('Attempt Log'!$B$2:$B$101,A27)</x:f>
        <x:v>0</x:v>
      </x:c>
      <x:c r="AG27" t="n">
        <x:f>IFERROR(SUMIFS('Attempt Log'!$U$2:$U$101,'Attempt Log'!$B$2:$B$101,A27,'Attempt Log'!$N$2:$N$101,"Yes")/COUNTIFS('Attempt Log'!$B$2:$B$101,A27,'Attempt Log'!$N$2:$N$101,"Yes"),0)</x:f>
        <x:v>0</x:v>
      </x:c>
    </x:row>
    <x:row r="28">
      <x:c r="A28" t="str">
        <x:v>equipment_heavy_gloves_t01_base</x:v>
      </x:c>
      <x:c r="B28" t="str">
        <x:v>Manoplas Pesadas T1</x:v>
      </x:c>
      <x:c r="C28" t="str">
        <x:v>Heavy Gauntlets T1</x:v>
      </x:c>
      <x:c r="D28" t="str">
        <x:v>Task017</x:v>
      </x:c>
      <x:c r="E28" t="str">
        <x:v>Equipment</x:v>
      </x:c>
      <x:c r="F28" t="str">
        <x:v>Heavy Armor</x:v>
      </x:c>
      <x:c r="G28" t="str">
        <x:v>heavy_gloves</x:v>
      </x:c>
      <x:c r="H28" t="str">
        <x:v>Vertical Slice</x:v>
      </x:c>
      <x:c r="I28" t="str">
        <x:v>P0</x:v>
      </x:c>
      <x:c r="J28" t="str">
        <x:v>B05_T1_ARMOR</x:v>
      </x:c>
      <x:c r="K28" t="str">
        <x:v>Image to 3D</x:v>
      </x:c>
      <x:c r="L28" t="str">
        <x:v>Yes</x:v>
      </x:c>
      <x:c r="M28" t="n">
        <x:v>1550</x:v>
      </x:c>
      <x:c r="N28" t="str">
        <x:v>1024</x:v>
      </x:c>
      <x:c r="O28" t="str">
        <x:v>No</x:v>
      </x:c>
      <x:c r="P28" t="str">
        <x:v>None</x:v>
      </x:c>
      <x:c r="Q28" t="str">
        <x:v>Prompts/ConceptArt/equipment_heavy_gloves_t01_base_concept_sheet.txt</x:v>
      </x:c>
      <x:c r="R28" t="str">
        <x:v>Prompts/Meshy/BaseGeometry/equipment_heavy_gloves_t01_base_geometry.txt</x:v>
      </x:c>
      <x:c r="S28" t="str">
        <x:v>Prompts/TextureVariants/equipment_heavy_gloves_t01_base_rarity_variants.txt</x:v>
      </x:c>
      <x:c r="T28" t="n">
        <x:v>2</x:v>
      </x:c>
      <x:c r="U28" t="n">
        <x:v>3</x:v>
      </x:c>
      <x:c r="V28" t="n">
        <x:v>1</x:v>
      </x:c>
      <x:c r="W28" t="n">
        <x:v>1</x:v>
      </x:c>
      <x:c r="X28" t="n">
        <x:v>0</x:v>
      </x:c>
      <x:c r="Y28" t="str">
        <x:v>readable at inventory scale; tier identity clear without UI; all six rarity variants preserve family; pivot and scale correct; no fragile geometry; URP PBR maps valid</x:v>
      </x:c>
      <x:c r="Z28" t="str">
        <x:v>Assets/_Game/Art/Equipment/HeavyArmor/heavy_gloves/T1/Models</x:v>
      </x:c>
      <x:c r="AA28" t="str">
        <x:v>Not Started</x:v>
      </x:c>
      <x:c r="AB28" t="str">
        <x:v>Pending</x:v>
      </x:c>
      <x:c r="AC28" s="18" t="n">
        <x:f>T28*'Settings &amp; Rates'!$B$5+U28*'Settings &amp; Rates'!$B$6+V28*'Settings &amp; Rates'!$B$7+W28*'Settings &amp; Rates'!$B$8+X28*'Settings &amp; Rates'!$B$9</x:f>
        <x:v>75</x:v>
      </x:c>
      <x:c r="AD28" s="18" t="n">
        <x:f>SUMIF('Attempt Log'!$B$2:$B$101,A28,'Attempt Log'!$K$2:$K$101)</x:f>
        <x:v>0</x:v>
      </x:c>
      <x:c r="AE28" s="18" t="n">
        <x:f>AD28-AC28</x:f>
        <x:v>-75</x:v>
      </x:c>
      <x:c r="AF28" t="n">
        <x:f>COUNTIF('Attempt Log'!$B$2:$B$101,A28)</x:f>
        <x:v>0</x:v>
      </x:c>
      <x:c r="AG28" t="n">
        <x:f>IFERROR(SUMIFS('Attempt Log'!$U$2:$U$101,'Attempt Log'!$B$2:$B$101,A28,'Attempt Log'!$N$2:$N$101,"Yes")/COUNTIFS('Attempt Log'!$B$2:$B$101,A28,'Attempt Log'!$N$2:$N$101,"Yes"),0)</x:f>
        <x:v>0</x:v>
      </x:c>
    </x:row>
    <x:row r="29">
      <x:c r="A29" t="str">
        <x:v>equipment_heavy_helmet_t01_base</x:v>
      </x:c>
      <x:c r="B29" t="str">
        <x:v>Elmo Pesado T1</x:v>
      </x:c>
      <x:c r="C29" t="str">
        <x:v>Heavy Helmet T1</x:v>
      </x:c>
      <x:c r="D29" t="str">
        <x:v>Task017</x:v>
      </x:c>
      <x:c r="E29" t="str">
        <x:v>Equipment</x:v>
      </x:c>
      <x:c r="F29" t="str">
        <x:v>Heavy Armor</x:v>
      </x:c>
      <x:c r="G29" t="str">
        <x:v>heavy_helmet</x:v>
      </x:c>
      <x:c r="H29" t="str">
        <x:v>Vertical Slice</x:v>
      </x:c>
      <x:c r="I29" t="str">
        <x:v>P0</x:v>
      </x:c>
      <x:c r="J29" t="str">
        <x:v>B05_T1_ARMOR</x:v>
      </x:c>
      <x:c r="K29" t="str">
        <x:v>Image to 3D</x:v>
      </x:c>
      <x:c r="L29" t="str">
        <x:v>Yes</x:v>
      </x:c>
      <x:c r="M29" t="n">
        <x:v>2200</x:v>
      </x:c>
      <x:c r="N29" t="str">
        <x:v>1024</x:v>
      </x:c>
      <x:c r="O29" t="str">
        <x:v>No</x:v>
      </x:c>
      <x:c r="P29" t="str">
        <x:v>None</x:v>
      </x:c>
      <x:c r="Q29" t="str">
        <x:v>Prompts/ConceptArt/equipment_heavy_helmet_t01_base_concept_sheet.txt</x:v>
      </x:c>
      <x:c r="R29" t="str">
        <x:v>Prompts/Meshy/BaseGeometry/equipment_heavy_helmet_t01_base_geometry.txt</x:v>
      </x:c>
      <x:c r="S29" t="str">
        <x:v>Prompts/TextureVariants/equipment_heavy_helmet_t01_base_rarity_variants.txt</x:v>
      </x:c>
      <x:c r="T29" t="n">
        <x:v>2</x:v>
      </x:c>
      <x:c r="U29" t="n">
        <x:v>3</x:v>
      </x:c>
      <x:c r="V29" t="n">
        <x:v>1</x:v>
      </x:c>
      <x:c r="W29" t="n">
        <x:v>1</x:v>
      </x:c>
      <x:c r="X29" t="n">
        <x:v>0</x:v>
      </x:c>
      <x:c r="Y29" t="str">
        <x:v>readable at inventory scale; tier identity clear without UI; all six rarity variants preserve family; pivot and scale correct; no fragile geometry; URP PBR maps valid</x:v>
      </x:c>
      <x:c r="Z29" t="str">
        <x:v>Assets/_Game/Art/Equipment/HeavyArmor/heavy_helmet/T1/Models</x:v>
      </x:c>
      <x:c r="AA29" t="str">
        <x:v>Not Started</x:v>
      </x:c>
      <x:c r="AB29" t="str">
        <x:v>Pending</x:v>
      </x:c>
      <x:c r="AC29" s="18" t="n">
        <x:f>T29*'Settings &amp; Rates'!$B$5+U29*'Settings &amp; Rates'!$B$6+V29*'Settings &amp; Rates'!$B$7+W29*'Settings &amp; Rates'!$B$8+X29*'Settings &amp; Rates'!$B$9</x:f>
        <x:v>75</x:v>
      </x:c>
      <x:c r="AD29" s="18" t="n">
        <x:f>SUMIF('Attempt Log'!$B$2:$B$101,A29,'Attempt Log'!$K$2:$K$101)</x:f>
        <x:v>0</x:v>
      </x:c>
      <x:c r="AE29" s="18" t="n">
        <x:f>AD29-AC29</x:f>
        <x:v>-75</x:v>
      </x:c>
      <x:c r="AF29" t="n">
        <x:f>COUNTIF('Attempt Log'!$B$2:$B$101,A29)</x:f>
        <x:v>0</x:v>
      </x:c>
      <x:c r="AG29" t="n">
        <x:f>IFERROR(SUMIFS('Attempt Log'!$U$2:$U$101,'Attempt Log'!$B$2:$B$101,A29,'Attempt Log'!$N$2:$N$101,"Yes")/COUNTIFS('Attempt Log'!$B$2:$B$101,A29,'Attempt Log'!$N$2:$N$101,"Yes"),0)</x:f>
        <x:v>0</x:v>
      </x:c>
    </x:row>
    <x:row r="30">
      <x:c r="A30" t="str">
        <x:v>equipment_light_boots_t01_base</x:v>
      </x:c>
      <x:c r="B30" t="str">
        <x:v>Botas Leves T1</x:v>
      </x:c>
      <x:c r="C30" t="str">
        <x:v>Light Boots T1</x:v>
      </x:c>
      <x:c r="D30" t="str">
        <x:v>Task017</x:v>
      </x:c>
      <x:c r="E30" t="str">
        <x:v>Equipment</x:v>
      </x:c>
      <x:c r="F30" t="str">
        <x:v>Light Armor</x:v>
      </x:c>
      <x:c r="G30" t="str">
        <x:v>light_boots</x:v>
      </x:c>
      <x:c r="H30" t="str">
        <x:v>Vertical Slice</x:v>
      </x:c>
      <x:c r="I30" t="str">
        <x:v>P0</x:v>
      </x:c>
      <x:c r="J30" t="str">
        <x:v>B05_T1_ARMOR</x:v>
      </x:c>
      <x:c r="K30" t="str">
        <x:v>Image to 3D</x:v>
      </x:c>
      <x:c r="L30" t="str">
        <x:v>Yes</x:v>
      </x:c>
      <x:c r="M30" t="n">
        <x:v>1450</x:v>
      </x:c>
      <x:c r="N30" t="str">
        <x:v>1024</x:v>
      </x:c>
      <x:c r="O30" t="str">
        <x:v>No</x:v>
      </x:c>
      <x:c r="P30" t="str">
        <x:v>None</x:v>
      </x:c>
      <x:c r="Q30" t="str">
        <x:v>Prompts/ConceptArt/equipment_light_boots_t01_base_concept_sheet.txt</x:v>
      </x:c>
      <x:c r="R30" t="str">
        <x:v>Prompts/Meshy/BaseGeometry/equipment_light_boots_t01_base_geometry.txt</x:v>
      </x:c>
      <x:c r="S30" t="str">
        <x:v>Prompts/TextureVariants/equipment_light_boots_t01_base_rarity_variants.txt</x:v>
      </x:c>
      <x:c r="T30" t="n">
        <x:v>2</x:v>
      </x:c>
      <x:c r="U30" t="n">
        <x:v>3</x:v>
      </x:c>
      <x:c r="V30" t="n">
        <x:v>1</x:v>
      </x:c>
      <x:c r="W30" t="n">
        <x:v>1</x:v>
      </x:c>
      <x:c r="X30" t="n">
        <x:v>0</x:v>
      </x:c>
      <x:c r="Y30" t="str">
        <x:v>readable at inventory scale; tier identity clear without UI; all six rarity variants preserve family; pivot and scale correct; no fragile geometry; URP PBR maps valid</x:v>
      </x:c>
      <x:c r="Z30" t="str">
        <x:v>Assets/_Game/Art/Equipment/LightArmor/light_boots/T1/Models</x:v>
      </x:c>
      <x:c r="AA30" t="str">
        <x:v>Not Started</x:v>
      </x:c>
      <x:c r="AB30" t="str">
        <x:v>Pending</x:v>
      </x:c>
      <x:c r="AC30" s="18" t="n">
        <x:f>T30*'Settings &amp; Rates'!$B$5+U30*'Settings &amp; Rates'!$B$6+V30*'Settings &amp; Rates'!$B$7+W30*'Settings &amp; Rates'!$B$8+X30*'Settings &amp; Rates'!$B$9</x:f>
        <x:v>75</x:v>
      </x:c>
      <x:c r="AD30" s="18" t="n">
        <x:f>SUMIF('Attempt Log'!$B$2:$B$101,A30,'Attempt Log'!$K$2:$K$101)</x:f>
        <x:v>0</x:v>
      </x:c>
      <x:c r="AE30" s="18" t="n">
        <x:f>AD30-AC30</x:f>
        <x:v>-75</x:v>
      </x:c>
      <x:c r="AF30" t="n">
        <x:f>COUNTIF('Attempt Log'!$B$2:$B$101,A30)</x:f>
        <x:v>0</x:v>
      </x:c>
      <x:c r="AG30" t="n">
        <x:f>IFERROR(SUMIFS('Attempt Log'!$U$2:$U$101,'Attempt Log'!$B$2:$B$101,A30,'Attempt Log'!$N$2:$N$101,"Yes")/COUNTIFS('Attempt Log'!$B$2:$B$101,A30,'Attempt Log'!$N$2:$N$101,"Yes"),0)</x:f>
        <x:v>0</x:v>
      </x:c>
    </x:row>
    <x:row r="31">
      <x:c r="A31" t="str">
        <x:v>equipment_light_chest_t01_base</x:v>
      </x:c>
      <x:c r="B31" t="str">
        <x:v>Armadura Leve T1</x:v>
      </x:c>
      <x:c r="C31" t="str">
        <x:v>Light Chest Armor T1</x:v>
      </x:c>
      <x:c r="D31" t="str">
        <x:v>Task017</x:v>
      </x:c>
      <x:c r="E31" t="str">
        <x:v>Equipment</x:v>
      </x:c>
      <x:c r="F31" t="str">
        <x:v>Light Armor</x:v>
      </x:c>
      <x:c r="G31" t="str">
        <x:v>light_chest</x:v>
      </x:c>
      <x:c r="H31" t="str">
        <x:v>Vertical Slice</x:v>
      </x:c>
      <x:c r="I31" t="str">
        <x:v>P0</x:v>
      </x:c>
      <x:c r="J31" t="str">
        <x:v>B05_T1_ARMOR</x:v>
      </x:c>
      <x:c r="K31" t="str">
        <x:v>Image to 3D</x:v>
      </x:c>
      <x:c r="L31" t="str">
        <x:v>Yes</x:v>
      </x:c>
      <x:c r="M31" t="n">
        <x:v>2800</x:v>
      </x:c>
      <x:c r="N31" t="str">
        <x:v>1024</x:v>
      </x:c>
      <x:c r="O31" t="str">
        <x:v>No</x:v>
      </x:c>
      <x:c r="P31" t="str">
        <x:v>None</x:v>
      </x:c>
      <x:c r="Q31" t="str">
        <x:v>Prompts/ConceptArt/equipment_light_chest_t01_base_concept_sheet.txt</x:v>
      </x:c>
      <x:c r="R31" t="str">
        <x:v>Prompts/Meshy/BaseGeometry/equipment_light_chest_t01_base_geometry.txt</x:v>
      </x:c>
      <x:c r="S31" t="str">
        <x:v>Prompts/TextureVariants/equipment_light_chest_t01_base_rarity_variants.txt</x:v>
      </x:c>
      <x:c r="T31" t="n">
        <x:v>2</x:v>
      </x:c>
      <x:c r="U31" t="n">
        <x:v>3</x:v>
      </x:c>
      <x:c r="V31" t="n">
        <x:v>1</x:v>
      </x:c>
      <x:c r="W31" t="n">
        <x:v>1</x:v>
      </x:c>
      <x:c r="X31" t="n">
        <x:v>0</x:v>
      </x:c>
      <x:c r="Y31" t="str">
        <x:v>readable at inventory scale; tier identity clear without UI; all six rarity variants preserve family; pivot and scale correct; no fragile geometry; URP PBR maps valid</x:v>
      </x:c>
      <x:c r="Z31" t="str">
        <x:v>Assets/_Game/Art/Equipment/LightArmor/light_chest/T1/Models</x:v>
      </x:c>
      <x:c r="AA31" t="str">
        <x:v>Not Started</x:v>
      </x:c>
      <x:c r="AB31" t="str">
        <x:v>Pending</x:v>
      </x:c>
      <x:c r="AC31" s="18" t="n">
        <x:f>T31*'Settings &amp; Rates'!$B$5+U31*'Settings &amp; Rates'!$B$6+V31*'Settings &amp; Rates'!$B$7+W31*'Settings &amp; Rates'!$B$8+X31*'Settings &amp; Rates'!$B$9</x:f>
        <x:v>75</x:v>
      </x:c>
      <x:c r="AD31" s="18" t="n">
        <x:f>SUMIF('Attempt Log'!$B$2:$B$101,A31,'Attempt Log'!$K$2:$K$101)</x:f>
        <x:v>0</x:v>
      </x:c>
      <x:c r="AE31" s="18" t="n">
        <x:f>AD31-AC31</x:f>
        <x:v>-75</x:v>
      </x:c>
      <x:c r="AF31" t="n">
        <x:f>COUNTIF('Attempt Log'!$B$2:$B$101,A31)</x:f>
        <x:v>0</x:v>
      </x:c>
      <x:c r="AG31" t="n">
        <x:f>IFERROR(SUMIFS('Attempt Log'!$U$2:$U$101,'Attempt Log'!$B$2:$B$101,A31,'Attempt Log'!$N$2:$N$101,"Yes")/COUNTIFS('Attempt Log'!$B$2:$B$101,A31,'Attempt Log'!$N$2:$N$101,"Yes"),0)</x:f>
        <x:v>0</x:v>
      </x:c>
    </x:row>
    <x:row r="32">
      <x:c r="A32" t="str">
        <x:v>equipment_light_gloves_t01_base</x:v>
      </x:c>
      <x:c r="B32" t="str">
        <x:v>Luvas Leves T1</x:v>
      </x:c>
      <x:c r="C32" t="str">
        <x:v>Light Gloves T1</x:v>
      </x:c>
      <x:c r="D32" t="str">
        <x:v>Task017</x:v>
      </x:c>
      <x:c r="E32" t="str">
        <x:v>Equipment</x:v>
      </x:c>
      <x:c r="F32" t="str">
        <x:v>Light Armor</x:v>
      </x:c>
      <x:c r="G32" t="str">
        <x:v>light_gloves</x:v>
      </x:c>
      <x:c r="H32" t="str">
        <x:v>Vertical Slice</x:v>
      </x:c>
      <x:c r="I32" t="str">
        <x:v>P0</x:v>
      </x:c>
      <x:c r="J32" t="str">
        <x:v>B05_T1_ARMOR</x:v>
      </x:c>
      <x:c r="K32" t="str">
        <x:v>Image to 3D</x:v>
      </x:c>
      <x:c r="L32" t="str">
        <x:v>Yes</x:v>
      </x:c>
      <x:c r="M32" t="n">
        <x:v>1200</x:v>
      </x:c>
      <x:c r="N32" t="str">
        <x:v>1024</x:v>
      </x:c>
      <x:c r="O32" t="str">
        <x:v>No</x:v>
      </x:c>
      <x:c r="P32" t="str">
        <x:v>None</x:v>
      </x:c>
      <x:c r="Q32" t="str">
        <x:v>Prompts/ConceptArt/equipment_light_gloves_t01_base_concept_sheet.txt</x:v>
      </x:c>
      <x:c r="R32" t="str">
        <x:v>Prompts/Meshy/BaseGeometry/equipment_light_gloves_t01_base_geometry.txt</x:v>
      </x:c>
      <x:c r="S32" t="str">
        <x:v>Prompts/TextureVariants/equipment_light_gloves_t01_base_rarity_variants.txt</x:v>
      </x:c>
      <x:c r="T32" t="n">
        <x:v>2</x:v>
      </x:c>
      <x:c r="U32" t="n">
        <x:v>3</x:v>
      </x:c>
      <x:c r="V32" t="n">
        <x:v>1</x:v>
      </x:c>
      <x:c r="W32" t="n">
        <x:v>1</x:v>
      </x:c>
      <x:c r="X32" t="n">
        <x:v>0</x:v>
      </x:c>
      <x:c r="Y32" t="str">
        <x:v>readable at inventory scale; tier identity clear without UI; all six rarity variants preserve family; pivot and scale correct; no fragile geometry; URP PBR maps valid</x:v>
      </x:c>
      <x:c r="Z32" t="str">
        <x:v>Assets/_Game/Art/Equipment/LightArmor/light_gloves/T1/Models</x:v>
      </x:c>
      <x:c r="AA32" t="str">
        <x:v>Not Started</x:v>
      </x:c>
      <x:c r="AB32" t="str">
        <x:v>Pending</x:v>
      </x:c>
      <x:c r="AC32" s="18" t="n">
        <x:f>T32*'Settings &amp; Rates'!$B$5+U32*'Settings &amp; Rates'!$B$6+V32*'Settings &amp; Rates'!$B$7+W32*'Settings &amp; Rates'!$B$8+X32*'Settings &amp; Rates'!$B$9</x:f>
        <x:v>75</x:v>
      </x:c>
      <x:c r="AD32" s="18" t="n">
        <x:f>SUMIF('Attempt Log'!$B$2:$B$101,A32,'Attempt Log'!$K$2:$K$101)</x:f>
        <x:v>0</x:v>
      </x:c>
      <x:c r="AE32" s="18" t="n">
        <x:f>AD32-AC32</x:f>
        <x:v>-75</x:v>
      </x:c>
      <x:c r="AF32" t="n">
        <x:f>COUNTIF('Attempt Log'!$B$2:$B$101,A32)</x:f>
        <x:v>0</x:v>
      </x:c>
      <x:c r="AG32" t="n">
        <x:f>IFERROR(SUMIFS('Attempt Log'!$U$2:$U$101,'Attempt Log'!$B$2:$B$101,A32,'Attempt Log'!$N$2:$N$101,"Yes")/COUNTIFS('Attempt Log'!$B$2:$B$101,A32,'Attempt Log'!$N$2:$N$101,"Yes"),0)</x:f>
        <x:v>0</x:v>
      </x:c>
    </x:row>
    <x:row r="33">
      <x:c r="A33" t="str">
        <x:v>equipment_light_hood_t01_base</x:v>
      </x:c>
      <x:c r="B33" t="str">
        <x:v>Capuz Leve T1</x:v>
      </x:c>
      <x:c r="C33" t="str">
        <x:v>Light Hood T1</x:v>
      </x:c>
      <x:c r="D33" t="str">
        <x:v>Task017</x:v>
      </x:c>
      <x:c r="E33" t="str">
        <x:v>Equipment</x:v>
      </x:c>
      <x:c r="F33" t="str">
        <x:v>Light Armor</x:v>
      </x:c>
      <x:c r="G33" t="str">
        <x:v>light_hood</x:v>
      </x:c>
      <x:c r="H33" t="str">
        <x:v>Vertical Slice</x:v>
      </x:c>
      <x:c r="I33" t="str">
        <x:v>P0</x:v>
      </x:c>
      <x:c r="J33" t="str">
        <x:v>B05_T1_ARMOR</x:v>
      </x:c>
      <x:c r="K33" t="str">
        <x:v>Image to 3D</x:v>
      </x:c>
      <x:c r="L33" t="str">
        <x:v>Yes</x:v>
      </x:c>
      <x:c r="M33" t="n">
        <x:v>1450</x:v>
      </x:c>
      <x:c r="N33" t="str">
        <x:v>1024</x:v>
      </x:c>
      <x:c r="O33" t="str">
        <x:v>No</x:v>
      </x:c>
      <x:c r="P33" t="str">
        <x:v>None</x:v>
      </x:c>
      <x:c r="Q33" t="str">
        <x:v>Prompts/ConceptArt/equipment_light_hood_t01_base_concept_sheet.txt</x:v>
      </x:c>
      <x:c r="R33" t="str">
        <x:v>Prompts/Meshy/BaseGeometry/equipment_light_hood_t01_base_geometry.txt</x:v>
      </x:c>
      <x:c r="S33" t="str">
        <x:v>Prompts/TextureVariants/equipment_light_hood_t01_base_rarity_variants.txt</x:v>
      </x:c>
      <x:c r="T33" t="n">
        <x:v>2</x:v>
      </x:c>
      <x:c r="U33" t="n">
        <x:v>3</x:v>
      </x:c>
      <x:c r="V33" t="n">
        <x:v>1</x:v>
      </x:c>
      <x:c r="W33" t="n">
        <x:v>1</x:v>
      </x:c>
      <x:c r="X33" t="n">
        <x:v>0</x:v>
      </x:c>
      <x:c r="Y33" t="str">
        <x:v>readable at inventory scale; tier identity clear without UI; all six rarity variants preserve family; pivot and scale correct; no fragile geometry; URP PBR maps valid</x:v>
      </x:c>
      <x:c r="Z33" t="str">
        <x:v>Assets/_Game/Art/Equipment/LightArmor/light_hood/T1/Models</x:v>
      </x:c>
      <x:c r="AA33" t="str">
        <x:v>Not Started</x:v>
      </x:c>
      <x:c r="AB33" t="str">
        <x:v>Pending</x:v>
      </x:c>
      <x:c r="AC33" s="18" t="n">
        <x:f>T33*'Settings &amp; Rates'!$B$5+U33*'Settings &amp; Rates'!$B$6+V33*'Settings &amp; Rates'!$B$7+W33*'Settings &amp; Rates'!$B$8+X33*'Settings &amp; Rates'!$B$9</x:f>
        <x:v>75</x:v>
      </x:c>
      <x:c r="AD33" s="18" t="n">
        <x:f>SUMIF('Attempt Log'!$B$2:$B$101,A33,'Attempt Log'!$K$2:$K$101)</x:f>
        <x:v>0</x:v>
      </x:c>
      <x:c r="AE33" s="18" t="n">
        <x:f>AD33-AC33</x:f>
        <x:v>-75</x:v>
      </x:c>
      <x:c r="AF33" t="n">
        <x:f>COUNTIF('Attempt Log'!$B$2:$B$101,A33)</x:f>
        <x:v>0</x:v>
      </x:c>
      <x:c r="AG33" t="n">
        <x:f>IFERROR(SUMIFS('Attempt Log'!$U$2:$U$101,'Attempt Log'!$B$2:$B$101,A33,'Attempt Log'!$N$2:$N$101,"Yes")/COUNTIFS('Attempt Log'!$B$2:$B$101,A33,'Attempt Log'!$N$2:$N$101,"Yes"),0)</x:f>
        <x:v>0</x:v>
      </x:c>
    </x:row>
    <x:row r="34">
      <x:c r="A34" t="str">
        <x:v>station_alchemist_t01_001</x:v>
      </x:c>
      <x:c r="B34" t="str">
        <x:v>Laboratório T1</x:v>
      </x:c>
      <x:c r="C34" t="str">
        <x:v>Laboratory T1</x:v>
      </x:c>
      <x:c r="D34" t="str">
        <x:v>Task018</x:v>
      </x:c>
      <x:c r="E34" t="str">
        <x:v>Station</x:v>
      </x:c>
      <x:c r="F34" t="str">
        <x:v>Crafting Station</x:v>
      </x:c>
      <x:c r="G34" t="str">
        <x:v>Alchemist</x:v>
      </x:c>
      <x:c r="H34" t="str">
        <x:v>Vertical Slice</x:v>
      </x:c>
      <x:c r="I34" t="str">
        <x:v>P0</x:v>
      </x:c>
      <x:c r="J34" t="str">
        <x:v>B06_STATIONS_T1</x:v>
      </x:c>
      <x:c r="K34" t="str">
        <x:v>Text to 3D</x:v>
      </x:c>
      <x:c r="L34" t="str">
        <x:v>Optional</x:v>
      </x:c>
      <x:c r="M34" t="n">
        <x:v>5250</x:v>
      </x:c>
      <x:c r="N34" t="str">
        <x:v>1024x1024</x:v>
      </x:c>
      <x:c r="O34" t="str">
        <x:v>No</x:v>
      </x:c>
      <x:c r="P34" t="str">
        <x:v>anim_station_alchemist</x:v>
      </x:c>
      <x:c r="Q34" t="str">
        <x:v>Prompts/ConceptArt/station_alchemist_t01_001_concept_sheet.txt</x:v>
      </x:c>
      <x:c r="R34" t="str">
        <x:v>Prompts/Meshy/station_alchemist_t01_001_geometry.txt</x:v>
      </x:c>
      <x:c r="S34" t="str">
        <x:v>Prompts/Texture/station_alchemist_t01_001_texture.txt</x:v>
      </x:c>
      <x:c r="T34" t="n">
        <x:v>2</x:v>
      </x:c>
      <x:c r="U34" t="n">
        <x:v>3</x:v>
      </x:c>
      <x:c r="V34" t="n">
        <x:v>1</x:v>
      </x:c>
      <x:c r="W34" t="n">
        <x:v>1</x:v>
      </x:c>
      <x:c r="X34" t="n">
        <x:v>0</x:v>
      </x:c>
      <x:c r="Y34" t="str">
        <x:v>Profession readable without UI; Tier milestone visible; work zone clear; sockets valid; no baked animation/VFX; LOD budget met; 3/4 camera test passed</x:v>
      </x:c>
      <x:c r="Z34" t="str">
        <x:v>Assets/_Game/Art/Crafting/Stations/Alchemist/T1</x:v>
      </x:c>
      <x:c r="AA34" t="str">
        <x:v>Not Started</x:v>
      </x:c>
      <x:c r="AB34" t="str">
        <x:v>Pending</x:v>
      </x:c>
      <x:c r="AC34" s="18" t="n">
        <x:f>T34*'Settings &amp; Rates'!$B$5+U34*'Settings &amp; Rates'!$B$6+V34*'Settings &amp; Rates'!$B$7+W34*'Settings &amp; Rates'!$B$8+X34*'Settings &amp; Rates'!$B$9</x:f>
        <x:v>75</x:v>
      </x:c>
      <x:c r="AD34" s="18" t="n">
        <x:f>SUMIF('Attempt Log'!$B$2:$B$101,A34,'Attempt Log'!$K$2:$K$101)</x:f>
        <x:v>0</x:v>
      </x:c>
      <x:c r="AE34" s="18" t="n">
        <x:f>AD34-AC34</x:f>
        <x:v>-75</x:v>
      </x:c>
      <x:c r="AF34" t="n">
        <x:f>COUNTIF('Attempt Log'!$B$2:$B$101,A34)</x:f>
        <x:v>0</x:v>
      </x:c>
      <x:c r="AG34" t="n">
        <x:f>IFERROR(SUMIFS('Attempt Log'!$U$2:$U$101,'Attempt Log'!$B$2:$B$101,A34,'Attempt Log'!$N$2:$N$101,"Yes")/COUNTIFS('Attempt Log'!$B$2:$B$101,A34,'Attempt Log'!$N$2:$N$101,"Yes"),0)</x:f>
        <x:v>0</x:v>
      </x:c>
    </x:row>
    <x:row r="35">
      <x:c r="A35" t="str">
        <x:v>station_enchanter_t01_001</x:v>
      </x:c>
      <x:c r="B35" t="str">
        <x:v>Mesa Arcana T1</x:v>
      </x:c>
      <x:c r="C35" t="str">
        <x:v>Arcane Table T1</x:v>
      </x:c>
      <x:c r="D35" t="str">
        <x:v>Task018</x:v>
      </x:c>
      <x:c r="E35" t="str">
        <x:v>Station</x:v>
      </x:c>
      <x:c r="F35" t="str">
        <x:v>Crafting Station</x:v>
      </x:c>
      <x:c r="G35" t="str">
        <x:v>Enchanter</x:v>
      </x:c>
      <x:c r="H35" t="str">
        <x:v>Vertical Slice</x:v>
      </x:c>
      <x:c r="I35" t="str">
        <x:v>P0</x:v>
      </x:c>
      <x:c r="J35" t="str">
        <x:v>B06_STATIONS_T1</x:v>
      </x:c>
      <x:c r="K35" t="str">
        <x:v>Text to 3D</x:v>
      </x:c>
      <x:c r="L35" t="str">
        <x:v>Optional</x:v>
      </x:c>
      <x:c r="M35" t="n">
        <x:v>5250</x:v>
      </x:c>
      <x:c r="N35" t="str">
        <x:v>1024x1024</x:v>
      </x:c>
      <x:c r="O35" t="str">
        <x:v>No</x:v>
      </x:c>
      <x:c r="P35" t="str">
        <x:v>anim_station_enchanter</x:v>
      </x:c>
      <x:c r="Q35" t="str">
        <x:v>Prompts/ConceptArt/station_enchanter_t01_001_concept_sheet.txt</x:v>
      </x:c>
      <x:c r="R35" t="str">
        <x:v>Prompts/Meshy/station_enchanter_t01_001_geometry.txt</x:v>
      </x:c>
      <x:c r="S35" t="str">
        <x:v>Prompts/Texture/station_enchanter_t01_001_texture.txt</x:v>
      </x:c>
      <x:c r="T35" t="n">
        <x:v>2</x:v>
      </x:c>
      <x:c r="U35" t="n">
        <x:v>3</x:v>
      </x:c>
      <x:c r="V35" t="n">
        <x:v>1</x:v>
      </x:c>
      <x:c r="W35" t="n">
        <x:v>1</x:v>
      </x:c>
      <x:c r="X35" t="n">
        <x:v>0</x:v>
      </x:c>
      <x:c r="Y35" t="str">
        <x:v>Profession readable without UI; Tier milestone visible; work zone clear; sockets valid; no baked animation/VFX; LOD budget met; 3/4 camera test passed</x:v>
      </x:c>
      <x:c r="Z35" t="str">
        <x:v>Assets/_Game/Art/Crafting/Stations/Enchanter/T1</x:v>
      </x:c>
      <x:c r="AA35" t="str">
        <x:v>Not Started</x:v>
      </x:c>
      <x:c r="AB35" t="str">
        <x:v>Pending</x:v>
      </x:c>
      <x:c r="AC35" s="18" t="n">
        <x:f>T35*'Settings &amp; Rates'!$B$5+U35*'Settings &amp; Rates'!$B$6+V35*'Settings &amp; Rates'!$B$7+W35*'Settings &amp; Rates'!$B$8+X35*'Settings &amp; Rates'!$B$9</x:f>
        <x:v>75</x:v>
      </x:c>
      <x:c r="AD35" s="18" t="n">
        <x:f>SUMIF('Attempt Log'!$B$2:$B$101,A35,'Attempt Log'!$K$2:$K$101)</x:f>
        <x:v>0</x:v>
      </x:c>
      <x:c r="AE35" s="18" t="n">
        <x:f>AD35-AC35</x:f>
        <x:v>-75</x:v>
      </x:c>
      <x:c r="AF35" t="n">
        <x:f>COUNTIF('Attempt Log'!$B$2:$B$101,A35)</x:f>
        <x:v>0</x:v>
      </x:c>
      <x:c r="AG35" t="n">
        <x:f>IFERROR(SUMIFS('Attempt Log'!$U$2:$U$101,'Attempt Log'!$B$2:$B$101,A35,'Attempt Log'!$N$2:$N$101,"Yes")/COUNTIFS('Attempt Log'!$B$2:$B$101,A35,'Attempt Log'!$N$2:$N$101,"Yes"),0)</x:f>
        <x:v>0</x:v>
      </x:c>
    </x:row>
    <x:row r="36">
      <x:c r="A36" t="str">
        <x:v>station_gatherer_t01_001</x:v>
      </x:c>
      <x:c r="B36" t="str">
        <x:v>Acampamento de Expedição T1</x:v>
      </x:c>
      <x:c r="C36" t="str">
        <x:v>Expedition Camp T1</x:v>
      </x:c>
      <x:c r="D36" t="str">
        <x:v>Task018</x:v>
      </x:c>
      <x:c r="E36" t="str">
        <x:v>Station</x:v>
      </x:c>
      <x:c r="F36" t="str">
        <x:v>Crafting Station</x:v>
      </x:c>
      <x:c r="G36" t="str">
        <x:v>Gatherer</x:v>
      </x:c>
      <x:c r="H36" t="str">
        <x:v>Vertical Slice</x:v>
      </x:c>
      <x:c r="I36" t="str">
        <x:v>P0</x:v>
      </x:c>
      <x:c r="J36" t="str">
        <x:v>B06_STATIONS_T1</x:v>
      </x:c>
      <x:c r="K36" t="str">
        <x:v>Text to 3D</x:v>
      </x:c>
      <x:c r="L36" t="str">
        <x:v>Optional</x:v>
      </x:c>
      <x:c r="M36" t="n">
        <x:v>5250</x:v>
      </x:c>
      <x:c r="N36" t="str">
        <x:v>1024x1024</x:v>
      </x:c>
      <x:c r="O36" t="str">
        <x:v>No</x:v>
      </x:c>
      <x:c r="P36" t="str">
        <x:v>anim_station_gatherer</x:v>
      </x:c>
      <x:c r="Q36" t="str">
        <x:v>Prompts/ConceptArt/station_gatherer_t01_001_concept_sheet.txt</x:v>
      </x:c>
      <x:c r="R36" t="str">
        <x:v>Prompts/Meshy/station_gatherer_t01_001_geometry.txt</x:v>
      </x:c>
      <x:c r="S36" t="str">
        <x:v>Prompts/Texture/station_gatherer_t01_001_texture.txt</x:v>
      </x:c>
      <x:c r="T36" t="n">
        <x:v>2</x:v>
      </x:c>
      <x:c r="U36" t="n">
        <x:v>3</x:v>
      </x:c>
      <x:c r="V36" t="n">
        <x:v>1</x:v>
      </x:c>
      <x:c r="W36" t="n">
        <x:v>1</x:v>
      </x:c>
      <x:c r="X36" t="n">
        <x:v>0</x:v>
      </x:c>
      <x:c r="Y36" t="str">
        <x:v>Profession readable without UI; Tier milestone visible; work zone clear; sockets valid; no baked animation/VFX; LOD budget met; 3/4 camera test passed</x:v>
      </x:c>
      <x:c r="Z36" t="str">
        <x:v>Assets/_Game/Art/Crafting/Stations/Gatherer/T1</x:v>
      </x:c>
      <x:c r="AA36" t="str">
        <x:v>Not Started</x:v>
      </x:c>
      <x:c r="AB36" t="str">
        <x:v>Pending</x:v>
      </x:c>
      <x:c r="AC36" s="18" t="n">
        <x:f>T36*'Settings &amp; Rates'!$B$5+U36*'Settings &amp; Rates'!$B$6+V36*'Settings &amp; Rates'!$B$7+W36*'Settings &amp; Rates'!$B$8+X36*'Settings &amp; Rates'!$B$9</x:f>
        <x:v>75</x:v>
      </x:c>
      <x:c r="AD36" s="18" t="n">
        <x:f>SUMIF('Attempt Log'!$B$2:$B$101,A36,'Attempt Log'!$K$2:$K$101)</x:f>
        <x:v>0</x:v>
      </x:c>
      <x:c r="AE36" s="18" t="n">
        <x:f>AD36-AC36</x:f>
        <x:v>-75</x:v>
      </x:c>
      <x:c r="AF36" t="n">
        <x:f>COUNTIF('Attempt Log'!$B$2:$B$101,A36)</x:f>
        <x:v>0</x:v>
      </x:c>
      <x:c r="AG36" t="n">
        <x:f>IFERROR(SUMIFS('Attempt Log'!$U$2:$U$101,'Attempt Log'!$B$2:$B$101,A36,'Attempt Log'!$N$2:$N$101,"Yes")/COUNTIFS('Attempt Log'!$B$2:$B$101,A36,'Attempt Log'!$N$2:$N$101,"Yes"),0)</x:f>
        <x:v>0</x:v>
      </x:c>
    </x:row>
    <x:row r="37">
      <x:c r="A37" t="str">
        <x:v>station_tailor_t01_001</x:v>
      </x:c>
      <x:c r="B37" t="str">
        <x:v>Ateliê T1</x:v>
      </x:c>
      <x:c r="C37" t="str">
        <x:v>Atelier T1</x:v>
      </x:c>
      <x:c r="D37" t="str">
        <x:v>Task018</x:v>
      </x:c>
      <x:c r="E37" t="str">
        <x:v>Station</x:v>
      </x:c>
      <x:c r="F37" t="str">
        <x:v>Crafting Station</x:v>
      </x:c>
      <x:c r="G37" t="str">
        <x:v>Tailor</x:v>
      </x:c>
      <x:c r="H37" t="str">
        <x:v>Vertical Slice</x:v>
      </x:c>
      <x:c r="I37" t="str">
        <x:v>P0</x:v>
      </x:c>
      <x:c r="J37" t="str">
        <x:v>B06_STATIONS_T1</x:v>
      </x:c>
      <x:c r="K37" t="str">
        <x:v>Text to 3D</x:v>
      </x:c>
      <x:c r="L37" t="str">
        <x:v>Optional</x:v>
      </x:c>
      <x:c r="M37" t="n">
        <x:v>5250</x:v>
      </x:c>
      <x:c r="N37" t="str">
        <x:v>1024x1024</x:v>
      </x:c>
      <x:c r="O37" t="str">
        <x:v>No</x:v>
      </x:c>
      <x:c r="P37" t="str">
        <x:v>anim_station_tailor</x:v>
      </x:c>
      <x:c r="Q37" t="str">
        <x:v>Prompts/ConceptArt/station_tailor_t01_001_concept_sheet.txt</x:v>
      </x:c>
      <x:c r="R37" t="str">
        <x:v>Prompts/Meshy/station_tailor_t01_001_geometry.txt</x:v>
      </x:c>
      <x:c r="S37" t="str">
        <x:v>Prompts/Texture/station_tailor_t01_001_texture.txt</x:v>
      </x:c>
      <x:c r="T37" t="n">
        <x:v>2</x:v>
      </x:c>
      <x:c r="U37" t="n">
        <x:v>3</x:v>
      </x:c>
      <x:c r="V37" t="n">
        <x:v>1</x:v>
      </x:c>
      <x:c r="W37" t="n">
        <x:v>1</x:v>
      </x:c>
      <x:c r="X37" t="n">
        <x:v>0</x:v>
      </x:c>
      <x:c r="Y37" t="str">
        <x:v>Profession readable without UI; Tier milestone visible; work zone clear; sockets valid; no baked animation/VFX; LOD budget met; 3/4 camera test passed</x:v>
      </x:c>
      <x:c r="Z37" t="str">
        <x:v>Assets/_Game/Art/Crafting/Stations/Tailor/T1</x:v>
      </x:c>
      <x:c r="AA37" t="str">
        <x:v>Not Started</x:v>
      </x:c>
      <x:c r="AB37" t="str">
        <x:v>Pending</x:v>
      </x:c>
      <x:c r="AC37" s="18" t="n">
        <x:f>T37*'Settings &amp; Rates'!$B$5+U37*'Settings &amp; Rates'!$B$6+V37*'Settings &amp; Rates'!$B$7+W37*'Settings &amp; Rates'!$B$8+X37*'Settings &amp; Rates'!$B$9</x:f>
        <x:v>75</x:v>
      </x:c>
      <x:c r="AD37" s="18" t="n">
        <x:f>SUMIF('Attempt Log'!$B$2:$B$101,A37,'Attempt Log'!$K$2:$K$101)</x:f>
        <x:v>0</x:v>
      </x:c>
      <x:c r="AE37" s="18" t="n">
        <x:f>AD37-AC37</x:f>
        <x:v>-75</x:v>
      </x:c>
      <x:c r="AF37" t="n">
        <x:f>COUNTIF('Attempt Log'!$B$2:$B$101,A37)</x:f>
        <x:v>0</x:v>
      </x:c>
      <x:c r="AG37" t="n">
        <x:f>IFERROR(SUMIFS('Attempt Log'!$U$2:$U$101,'Attempt Log'!$B$2:$B$101,A37,'Attempt Log'!$N$2:$N$101,"Yes")/COUNTIFS('Attempt Log'!$B$2:$B$101,A37,'Attempt Log'!$N$2:$N$101,"Yes"),0)</x:f>
        <x:v>0</x:v>
      </x:c>
    </x:row>
    <x:row r="38">
      <x:c r="A38" t="str">
        <x:v>env_goblin_mine_ground_dirt_tile_001</x:v>
      </x:c>
      <x:c r="B38" t="str">
        <x:v>Piso de Terra</x:v>
      </x:c>
      <x:c r="C38" t="str">
        <x:v>Dirt Ground Tile</x:v>
      </x:c>
      <x:c r="D38" t="str">
        <x:v>Task018</x:v>
      </x:c>
      <x:c r="E38" t="str">
        <x:v>Environment</x:v>
      </x:c>
      <x:c r="F38" t="str">
        <x:v>Environment</x:v>
      </x:c>
      <x:c r="G38" t="str">
        <x:v>tile</x:v>
      </x:c>
      <x:c r="H38" t="str">
        <x:v>Vertical Slice</x:v>
      </x:c>
      <x:c r="I38" t="str">
        <x:v>P0</x:v>
      </x:c>
      <x:c r="J38" t="str">
        <x:v>B07_GOBLIN_ENV_CORE</x:v>
      </x:c>
      <x:c r="K38" t="str">
        <x:v>Text to 3D</x:v>
      </x:c>
      <x:c r="L38" t="str">
        <x:v>Optional</x:v>
      </x:c>
      <x:c r="M38" t="n">
        <x:v>850</x:v>
      </x:c>
      <x:c r="N38" t="str">
        <x:v>1024x1024</x:v>
      </x:c>
      <x:c r="O38" t="str">
        <x:v>No</x:v>
      </x:c>
      <x:c r="P38" t="str">
        <x:v>None</x:v>
      </x:c>
      <x:c r="Q38" t="str">
        <x:v>Prompts/ConceptArt/env_goblin_mine_ground_dirt_tile_001_concept_sheet.txt</x:v>
      </x:c>
      <x:c r="R38" t="str">
        <x:v>Prompts/Meshy/env_goblin_mine_ground_dirt_tile_001_geometry.txt</x:v>
      </x:c>
      <x:c r="S38" t="str">
        <x:v>Prompts/Texture/env_goblin_mine_ground_dirt_tile_001_texture.txt</x:v>
      </x:c>
      <x:c r="T38" t="n">
        <x:v>1</x:v>
      </x:c>
      <x:c r="U38" t="n">
        <x:v>3</x:v>
      </x:c>
      <x:c r="V38" t="n">
        <x:v>1</x:v>
      </x:c>
      <x:c r="W38" t="n">
        <x:v>1</x:v>
      </x:c>
      <x:c r="X38" t="n">
        <x:v>0</x:v>
      </x:c>
      <x:c r="Y38" t="str">
        <x:v>Silhouette readable; correct scale; grid/pivot compliance; material separation; no baked VFX; LOD budget met; mobile camera test passed</x:v>
      </x:c>
      <x:c r="Z38" t="str">
        <x:v>Assets/_Game/Art/Environments/goblin_mine/Models</x:v>
      </x:c>
      <x:c r="AA38" t="str">
        <x:v>Not Started</x:v>
      </x:c>
      <x:c r="AB38" t="str">
        <x:v>Pending</x:v>
      </x:c>
      <x:c r="AC38" s="18" t="n">
        <x:f>T38*'Settings &amp; Rates'!$B$5+U38*'Settings &amp; Rates'!$B$6+V38*'Settings &amp; Rates'!$B$7+W38*'Settings &amp; Rates'!$B$8+X38*'Settings &amp; Rates'!$B$9</x:f>
        <x:v>75</x:v>
      </x:c>
      <x:c r="AD38" s="18" t="n">
        <x:f>SUMIF('Attempt Log'!$B$2:$B$101,A38,'Attempt Log'!$K$2:$K$101)</x:f>
        <x:v>0</x:v>
      </x:c>
      <x:c r="AE38" s="18" t="n">
        <x:f>AD38-AC38</x:f>
        <x:v>-75</x:v>
      </x:c>
      <x:c r="AF38" t="n">
        <x:f>COUNTIF('Attempt Log'!$B$2:$B$101,A38)</x:f>
        <x:v>0</x:v>
      </x:c>
      <x:c r="AG38" t="n">
        <x:f>IFERROR(SUMIFS('Attempt Log'!$U$2:$U$101,'Attempt Log'!$B$2:$B$101,A38,'Attempt Log'!$N$2:$N$101,"Yes")/COUNTIFS('Attempt Log'!$B$2:$B$101,A38,'Attempt Log'!$N$2:$N$101,"Yes"),0)</x:f>
        <x:v>0</x:v>
      </x:c>
    </x:row>
    <x:row r="39">
      <x:c r="A39" t="str">
        <x:v>env_goblin_mine_ground_stone_tile_001</x:v>
      </x:c>
      <x:c r="B39" t="str">
        <x:v>Piso de Pedra</x:v>
      </x:c>
      <x:c r="C39" t="str">
        <x:v>Stone Ground Tile</x:v>
      </x:c>
      <x:c r="D39" t="str">
        <x:v>Task018</x:v>
      </x:c>
      <x:c r="E39" t="str">
        <x:v>Environment</x:v>
      </x:c>
      <x:c r="F39" t="str">
        <x:v>Environment</x:v>
      </x:c>
      <x:c r="G39" t="str">
        <x:v>tile</x:v>
      </x:c>
      <x:c r="H39" t="str">
        <x:v>Vertical Slice</x:v>
      </x:c>
      <x:c r="I39" t="str">
        <x:v>P0</x:v>
      </x:c>
      <x:c r="J39" t="str">
        <x:v>B07_GOBLIN_ENV_CORE</x:v>
      </x:c>
      <x:c r="K39" t="str">
        <x:v>Text to 3D</x:v>
      </x:c>
      <x:c r="L39" t="str">
        <x:v>Optional</x:v>
      </x:c>
      <x:c r="M39" t="n">
        <x:v>1050</x:v>
      </x:c>
      <x:c r="N39" t="str">
        <x:v>1024x1024</x:v>
      </x:c>
      <x:c r="O39" t="str">
        <x:v>No</x:v>
      </x:c>
      <x:c r="P39" t="str">
        <x:v>None</x:v>
      </x:c>
      <x:c r="Q39" t="str">
        <x:v>Prompts/ConceptArt/env_goblin_mine_ground_stone_tile_001_concept_sheet.txt</x:v>
      </x:c>
      <x:c r="R39" t="str">
        <x:v>Prompts/Meshy/env_goblin_mine_ground_stone_tile_001_geometry.txt</x:v>
      </x:c>
      <x:c r="S39" t="str">
        <x:v>Prompts/Texture/env_goblin_mine_ground_stone_tile_001_texture.txt</x:v>
      </x:c>
      <x:c r="T39" t="n">
        <x:v>1</x:v>
      </x:c>
      <x:c r="U39" t="n">
        <x:v>3</x:v>
      </x:c>
      <x:c r="V39" t="n">
        <x:v>1</x:v>
      </x:c>
      <x:c r="W39" t="n">
        <x:v>1</x:v>
      </x:c>
      <x:c r="X39" t="n">
        <x:v>0</x:v>
      </x:c>
      <x:c r="Y39" t="str">
        <x:v>Silhouette readable; correct scale; grid/pivot compliance; material separation; no baked VFX; LOD budget met; mobile camera test passed</x:v>
      </x:c>
      <x:c r="Z39" t="str">
        <x:v>Assets/_Game/Art/Environments/goblin_mine/Models</x:v>
      </x:c>
      <x:c r="AA39" t="str">
        <x:v>Not Started</x:v>
      </x:c>
      <x:c r="AB39" t="str">
        <x:v>Pending</x:v>
      </x:c>
      <x:c r="AC39" s="18" t="n">
        <x:f>T39*'Settings &amp; Rates'!$B$5+U39*'Settings &amp; Rates'!$B$6+V39*'Settings &amp; Rates'!$B$7+W39*'Settings &amp; Rates'!$B$8+X39*'Settings &amp; Rates'!$B$9</x:f>
        <x:v>75</x:v>
      </x:c>
      <x:c r="AD39" s="18" t="n">
        <x:f>SUMIF('Attempt Log'!$B$2:$B$101,A39,'Attempt Log'!$K$2:$K$101)</x:f>
        <x:v>0</x:v>
      </x:c>
      <x:c r="AE39" s="18" t="n">
        <x:f>AD39-AC39</x:f>
        <x:v>-75</x:v>
      </x:c>
      <x:c r="AF39" t="n">
        <x:f>COUNTIF('Attempt Log'!$B$2:$B$101,A39)</x:f>
        <x:v>0</x:v>
      </x:c>
      <x:c r="AG39" t="n">
        <x:f>IFERROR(SUMIFS('Attempt Log'!$U$2:$U$101,'Attempt Log'!$B$2:$B$101,A39,'Attempt Log'!$N$2:$N$101,"Yes")/COUNTIFS('Attempt Log'!$B$2:$B$101,A39,'Attempt Log'!$N$2:$N$101,"Yes"),0)</x:f>
        <x:v>0</x:v>
      </x:c>
    </x:row>
    <x:row r="40">
      <x:c r="A40" t="str">
        <x:v>env_goblin_mine_mine_arch_001</x:v>
      </x:c>
      <x:c r="B40" t="str">
        <x:v>Arco de Mina</x:v>
      </x:c>
      <x:c r="C40" t="str">
        <x:v>Mine Arch</x:v>
      </x:c>
      <x:c r="D40" t="str">
        <x:v>Task018</x:v>
      </x:c>
      <x:c r="E40" t="str">
        <x:v>Environment</x:v>
      </x:c>
      <x:c r="F40" t="str">
        <x:v>Environment</x:v>
      </x:c>
      <x:c r="G40" t="str">
        <x:v>structure</x:v>
      </x:c>
      <x:c r="H40" t="str">
        <x:v>Vertical Slice</x:v>
      </x:c>
      <x:c r="I40" t="str">
        <x:v>P0</x:v>
      </x:c>
      <x:c r="J40" t="str">
        <x:v>B07_GOBLIN_ENV_CORE</x:v>
      </x:c>
      <x:c r="K40" t="str">
        <x:v>Image to 3D</x:v>
      </x:c>
      <x:c r="L40" t="str">
        <x:v>Yes</x:v>
      </x:c>
      <x:c r="M40" t="n">
        <x:v>1900</x:v>
      </x:c>
      <x:c r="N40" t="str">
        <x:v>1024x1024</x:v>
      </x:c>
      <x:c r="O40" t="str">
        <x:v>No</x:v>
      </x:c>
      <x:c r="P40" t="str">
        <x:v>None</x:v>
      </x:c>
      <x:c r="Q40" t="str">
        <x:v>Prompts/ConceptArt/env_goblin_mine_mine_arch_001_concept_sheet.txt</x:v>
      </x:c>
      <x:c r="R40" t="str">
        <x:v>Prompts/Meshy/env_goblin_mine_mine_arch_001_geometry.txt</x:v>
      </x:c>
      <x:c r="S40" t="str">
        <x:v>Prompts/Texture/env_goblin_mine_mine_arch_001_texture.txt</x:v>
      </x:c>
      <x:c r="T40" t="n">
        <x:v>2</x:v>
      </x:c>
      <x:c r="U40" t="n">
        <x:v>3</x:v>
      </x:c>
      <x:c r="V40" t="n">
        <x:v>1</x:v>
      </x:c>
      <x:c r="W40" t="n">
        <x:v>1</x:v>
      </x:c>
      <x:c r="X40" t="n">
        <x:v>0</x:v>
      </x:c>
      <x:c r="Y40" t="str">
        <x:v>Silhouette readable; correct scale; grid/pivot compliance; material separation; no baked VFX; LOD budget met; mobile camera test passed</x:v>
      </x:c>
      <x:c r="Z40" t="str">
        <x:v>Assets/_Game/Art/Environments/goblin_mine/Models</x:v>
      </x:c>
      <x:c r="AA40" t="str">
        <x:v>Not Started</x:v>
      </x:c>
      <x:c r="AB40" t="str">
        <x:v>Pending</x:v>
      </x:c>
      <x:c r="AC40" s="18" t="n">
        <x:f>T40*'Settings &amp; Rates'!$B$5+U40*'Settings &amp; Rates'!$B$6+V40*'Settings &amp; Rates'!$B$7+W40*'Settings &amp; Rates'!$B$8+X40*'Settings &amp; Rates'!$B$9</x:f>
        <x:v>75</x:v>
      </x:c>
      <x:c r="AD40" s="18" t="n">
        <x:f>SUMIF('Attempt Log'!$B$2:$B$101,A40,'Attempt Log'!$K$2:$K$101)</x:f>
        <x:v>0</x:v>
      </x:c>
      <x:c r="AE40" s="18" t="n">
        <x:f>AD40-AC40</x:f>
        <x:v>-75</x:v>
      </x:c>
      <x:c r="AF40" t="n">
        <x:f>COUNTIF('Attempt Log'!$B$2:$B$101,A40)</x:f>
        <x:v>0</x:v>
      </x:c>
      <x:c r="AG40" t="n">
        <x:f>IFERROR(SUMIFS('Attempt Log'!$U$2:$U$101,'Attempt Log'!$B$2:$B$101,A40,'Attempt Log'!$N$2:$N$101,"Yes")/COUNTIFS('Attempt Log'!$B$2:$B$101,A40,'Attempt Log'!$N$2:$N$101,"Yes"),0)</x:f>
        <x:v>0</x:v>
      </x:c>
    </x:row>
    <x:row r="41">
      <x:c r="A41" t="str">
        <x:v>env_goblin_mine_mine_track_curve_001</x:v>
      </x:c>
      <x:c r="B41" t="str">
        <x:v>Trilho Curvo</x:v>
      </x:c>
      <x:c r="C41" t="str">
        <x:v>Curved Mine Track</x:v>
      </x:c>
      <x:c r="D41" t="str">
        <x:v>Task018</x:v>
      </x:c>
      <x:c r="E41" t="str">
        <x:v>Environment</x:v>
      </x:c>
      <x:c r="F41" t="str">
        <x:v>Environment</x:v>
      </x:c>
      <x:c r="G41" t="str">
        <x:v>modular prop</x:v>
      </x:c>
      <x:c r="H41" t="str">
        <x:v>Vertical Slice</x:v>
      </x:c>
      <x:c r="I41" t="str">
        <x:v>P0</x:v>
      </x:c>
      <x:c r="J41" t="str">
        <x:v>B07_GOBLIN_ENV_CORE</x:v>
      </x:c>
      <x:c r="K41" t="str">
        <x:v>Text to 3D</x:v>
      </x:c>
      <x:c r="L41" t="str">
        <x:v>Optional</x:v>
      </x:c>
      <x:c r="M41" t="n">
        <x:v>850</x:v>
      </x:c>
      <x:c r="N41" t="str">
        <x:v>1024x1024</x:v>
      </x:c>
      <x:c r="O41" t="str">
        <x:v>No</x:v>
      </x:c>
      <x:c r="P41" t="str">
        <x:v>None</x:v>
      </x:c>
      <x:c r="Q41" t="str">
        <x:v>Prompts/ConceptArt/env_goblin_mine_mine_track_curve_001_concept_sheet.txt</x:v>
      </x:c>
      <x:c r="R41" t="str">
        <x:v>Prompts/Meshy/env_goblin_mine_mine_track_curve_001_geometry.txt</x:v>
      </x:c>
      <x:c r="S41" t="str">
        <x:v>Prompts/Texture/env_goblin_mine_mine_track_curve_001_texture.txt</x:v>
      </x:c>
      <x:c r="T41" t="n">
        <x:v>1</x:v>
      </x:c>
      <x:c r="U41" t="n">
        <x:v>3</x:v>
      </x:c>
      <x:c r="V41" t="n">
        <x:v>1</x:v>
      </x:c>
      <x:c r="W41" t="n">
        <x:v>1</x:v>
      </x:c>
      <x:c r="X41" t="n">
        <x:v>0</x:v>
      </x:c>
      <x:c r="Y41" t="str">
        <x:v>Silhouette readable; correct scale; grid/pivot compliance; material separation; no baked VFX; LOD budget met; mobile camera test passed</x:v>
      </x:c>
      <x:c r="Z41" t="str">
        <x:v>Assets/_Game/Art/Environments/goblin_mine/Models</x:v>
      </x:c>
      <x:c r="AA41" t="str">
        <x:v>Not Started</x:v>
      </x:c>
      <x:c r="AB41" t="str">
        <x:v>Pending</x:v>
      </x:c>
      <x:c r="AC41" s="18" t="n">
        <x:f>T41*'Settings &amp; Rates'!$B$5+U41*'Settings &amp; Rates'!$B$6+V41*'Settings &amp; Rates'!$B$7+W41*'Settings &amp; Rates'!$B$8+X41*'Settings &amp; Rates'!$B$9</x:f>
        <x:v>75</x:v>
      </x:c>
      <x:c r="AD41" s="18" t="n">
        <x:f>SUMIF('Attempt Log'!$B$2:$B$101,A41,'Attempt Log'!$K$2:$K$101)</x:f>
        <x:v>0</x:v>
      </x:c>
      <x:c r="AE41" s="18" t="n">
        <x:f>AD41-AC41</x:f>
        <x:v>-75</x:v>
      </x:c>
      <x:c r="AF41" t="n">
        <x:f>COUNTIF('Attempt Log'!$B$2:$B$101,A41)</x:f>
        <x:v>0</x:v>
      </x:c>
      <x:c r="AG41" t="n">
        <x:f>IFERROR(SUMIFS('Attempt Log'!$U$2:$U$101,'Attempt Log'!$B$2:$B$101,A41,'Attempt Log'!$N$2:$N$101,"Yes")/COUNTIFS('Attempt Log'!$B$2:$B$101,A41,'Attempt Log'!$N$2:$N$101,"Yes"),0)</x:f>
        <x:v>0</x:v>
      </x:c>
    </x:row>
    <x:row r="42">
      <x:c r="A42" t="str">
        <x:v>env_goblin_mine_mine_track_straight_001</x:v>
      </x:c>
      <x:c r="B42" t="str">
        <x:v>Trilho Reto</x:v>
      </x:c>
      <x:c r="C42" t="str">
        <x:v>Straight Mine Track</x:v>
      </x:c>
      <x:c r="D42" t="str">
        <x:v>Task018</x:v>
      </x:c>
      <x:c r="E42" t="str">
        <x:v>Environment</x:v>
      </x:c>
      <x:c r="F42" t="str">
        <x:v>Environment</x:v>
      </x:c>
      <x:c r="G42" t="str">
        <x:v>modular prop</x:v>
      </x:c>
      <x:c r="H42" t="str">
        <x:v>Vertical Slice</x:v>
      </x:c>
      <x:c r="I42" t="str">
        <x:v>P0</x:v>
      </x:c>
      <x:c r="J42" t="str">
        <x:v>B07_GOBLIN_ENV_CORE</x:v>
      </x:c>
      <x:c r="K42" t="str">
        <x:v>Text to 3D</x:v>
      </x:c>
      <x:c r="L42" t="str">
        <x:v>Optional</x:v>
      </x:c>
      <x:c r="M42" t="n">
        <x:v>700</x:v>
      </x:c>
      <x:c r="N42" t="str">
        <x:v>1024x1024</x:v>
      </x:c>
      <x:c r="O42" t="str">
        <x:v>No</x:v>
      </x:c>
      <x:c r="P42" t="str">
        <x:v>None</x:v>
      </x:c>
      <x:c r="Q42" t="str">
        <x:v>Prompts/ConceptArt/env_goblin_mine_mine_track_straight_001_concept_sheet.txt</x:v>
      </x:c>
      <x:c r="R42" t="str">
        <x:v>Prompts/Meshy/env_goblin_mine_mine_track_straight_001_geometry.txt</x:v>
      </x:c>
      <x:c r="S42" t="str">
        <x:v>Prompts/Texture/env_goblin_mine_mine_track_straight_001_texture.txt</x:v>
      </x:c>
      <x:c r="T42" t="n">
        <x:v>1</x:v>
      </x:c>
      <x:c r="U42" t="n">
        <x:v>3</x:v>
      </x:c>
      <x:c r="V42" t="n">
        <x:v>1</x:v>
      </x:c>
      <x:c r="W42" t="n">
        <x:v>1</x:v>
      </x:c>
      <x:c r="X42" t="n">
        <x:v>0</x:v>
      </x:c>
      <x:c r="Y42" t="str">
        <x:v>Silhouette readable; correct scale; grid/pivot compliance; material separation; no baked VFX; LOD budget met; mobile camera test passed</x:v>
      </x:c>
      <x:c r="Z42" t="str">
        <x:v>Assets/_Game/Art/Environments/goblin_mine/Models</x:v>
      </x:c>
      <x:c r="AA42" t="str">
        <x:v>Not Started</x:v>
      </x:c>
      <x:c r="AB42" t="str">
        <x:v>Pending</x:v>
      </x:c>
      <x:c r="AC42" s="18" t="n">
        <x:f>T42*'Settings &amp; Rates'!$B$5+U42*'Settings &amp; Rates'!$B$6+V42*'Settings &amp; Rates'!$B$7+W42*'Settings &amp; Rates'!$B$8+X42*'Settings &amp; Rates'!$B$9</x:f>
        <x:v>75</x:v>
      </x:c>
      <x:c r="AD42" s="18" t="n">
        <x:f>SUMIF('Attempt Log'!$B$2:$B$101,A42,'Attempt Log'!$K$2:$K$101)</x:f>
        <x:v>0</x:v>
      </x:c>
      <x:c r="AE42" s="18" t="n">
        <x:f>AD42-AC42</x:f>
        <x:v>-75</x:v>
      </x:c>
      <x:c r="AF42" t="n">
        <x:f>COUNTIF('Attempt Log'!$B$2:$B$101,A42)</x:f>
        <x:v>0</x:v>
      </x:c>
      <x:c r="AG42" t="n">
        <x:f>IFERROR(SUMIFS('Attempt Log'!$U$2:$U$101,'Attempt Log'!$B$2:$B$101,A42,'Attempt Log'!$N$2:$N$101,"Yes")/COUNTIFS('Attempt Log'!$B$2:$B$101,A42,'Attempt Log'!$N$2:$N$101,"Yes"),0)</x:f>
        <x:v>0</x:v>
      </x:c>
    </x:row>
    <x:row r="43">
      <x:c r="A43" t="str">
        <x:v>env_goblin_mine_mine_wall_corner_001</x:v>
      </x:c>
      <x:c r="B43" t="str">
        <x:v>Canto de Mina</x:v>
      </x:c>
      <x:c r="C43" t="str">
        <x:v>Mine Wall Corner</x:v>
      </x:c>
      <x:c r="D43" t="str">
        <x:v>Task018</x:v>
      </x:c>
      <x:c r="E43" t="str">
        <x:v>Environment</x:v>
      </x:c>
      <x:c r="F43" t="str">
        <x:v>Environment</x:v>
      </x:c>
      <x:c r="G43" t="str">
        <x:v>wall</x:v>
      </x:c>
      <x:c r="H43" t="str">
        <x:v>Vertical Slice</x:v>
      </x:c>
      <x:c r="I43" t="str">
        <x:v>P0</x:v>
      </x:c>
      <x:c r="J43" t="str">
        <x:v>B07_GOBLIN_ENV_CORE</x:v>
      </x:c>
      <x:c r="K43" t="str">
        <x:v>Image to 3D</x:v>
      </x:c>
      <x:c r="L43" t="str">
        <x:v>Yes</x:v>
      </x:c>
      <x:c r="M43" t="n">
        <x:v>2700</x:v>
      </x:c>
      <x:c r="N43" t="str">
        <x:v>1024x1024</x:v>
      </x:c>
      <x:c r="O43" t="str">
        <x:v>No</x:v>
      </x:c>
      <x:c r="P43" t="str">
        <x:v>None</x:v>
      </x:c>
      <x:c r="Q43" t="str">
        <x:v>Prompts/ConceptArt/env_goblin_mine_mine_wall_corner_001_concept_sheet.txt</x:v>
      </x:c>
      <x:c r="R43" t="str">
        <x:v>Prompts/Meshy/env_goblin_mine_mine_wall_corner_001_geometry.txt</x:v>
      </x:c>
      <x:c r="S43" t="str">
        <x:v>Prompts/Texture/env_goblin_mine_mine_wall_corner_001_texture.txt</x:v>
      </x:c>
      <x:c r="T43" t="n">
        <x:v>2</x:v>
      </x:c>
      <x:c r="U43" t="n">
        <x:v>3</x:v>
      </x:c>
      <x:c r="V43" t="n">
        <x:v>1</x:v>
      </x:c>
      <x:c r="W43" t="n">
        <x:v>1</x:v>
      </x:c>
      <x:c r="X43" t="n">
        <x:v>0</x:v>
      </x:c>
      <x:c r="Y43" t="str">
        <x:v>Silhouette readable; correct scale; grid/pivot compliance; material separation; no baked VFX; LOD budget met; mobile camera test passed</x:v>
      </x:c>
      <x:c r="Z43" t="str">
        <x:v>Assets/_Game/Art/Environments/goblin_mine/Models</x:v>
      </x:c>
      <x:c r="AA43" t="str">
        <x:v>Not Started</x:v>
      </x:c>
      <x:c r="AB43" t="str">
        <x:v>Pending</x:v>
      </x:c>
      <x:c r="AC43" s="18" t="n">
        <x:f>T43*'Settings &amp; Rates'!$B$5+U43*'Settings &amp; Rates'!$B$6+V43*'Settings &amp; Rates'!$B$7+W43*'Settings &amp; Rates'!$B$8+X43*'Settings &amp; Rates'!$B$9</x:f>
        <x:v>75</x:v>
      </x:c>
      <x:c r="AD43" s="18" t="n">
        <x:f>SUMIF('Attempt Log'!$B$2:$B$101,A43,'Attempt Log'!$K$2:$K$101)</x:f>
        <x:v>0</x:v>
      </x:c>
      <x:c r="AE43" s="18" t="n">
        <x:f>AD43-AC43</x:f>
        <x:v>-75</x:v>
      </x:c>
      <x:c r="AF43" t="n">
        <x:f>COUNTIF('Attempt Log'!$B$2:$B$101,A43)</x:f>
        <x:v>0</x:v>
      </x:c>
      <x:c r="AG43" t="n">
        <x:f>IFERROR(SUMIFS('Attempt Log'!$U$2:$U$101,'Attempt Log'!$B$2:$B$101,A43,'Attempt Log'!$N$2:$N$101,"Yes")/COUNTIFS('Attempt Log'!$B$2:$B$101,A43,'Attempt Log'!$N$2:$N$101,"Yes"),0)</x:f>
        <x:v>0</x:v>
      </x:c>
    </x:row>
    <x:row r="44">
      <x:c r="A44" t="str">
        <x:v>env_goblin_mine_mine_wall_straight_001</x:v>
      </x:c>
      <x:c r="B44" t="str">
        <x:v>Parede de Mina Reta</x:v>
      </x:c>
      <x:c r="C44" t="str">
        <x:v>Straight Mine Wall</x:v>
      </x:c>
      <x:c r="D44" t="str">
        <x:v>Task018</x:v>
      </x:c>
      <x:c r="E44" t="str">
        <x:v>Environment</x:v>
      </x:c>
      <x:c r="F44" t="str">
        <x:v>Environment</x:v>
      </x:c>
      <x:c r="G44" t="str">
        <x:v>wall</x:v>
      </x:c>
      <x:c r="H44" t="str">
        <x:v>Vertical Slice</x:v>
      </x:c>
      <x:c r="I44" t="str">
        <x:v>P0</x:v>
      </x:c>
      <x:c r="J44" t="str">
        <x:v>B07_GOBLIN_ENV_CORE</x:v>
      </x:c>
      <x:c r="K44" t="str">
        <x:v>Image to 3D</x:v>
      </x:c>
      <x:c r="L44" t="str">
        <x:v>Yes</x:v>
      </x:c>
      <x:c r="M44" t="n">
        <x:v>2350</x:v>
      </x:c>
      <x:c r="N44" t="str">
        <x:v>1024x1024</x:v>
      </x:c>
      <x:c r="O44" t="str">
        <x:v>No</x:v>
      </x:c>
      <x:c r="P44" t="str">
        <x:v>None</x:v>
      </x:c>
      <x:c r="Q44" t="str">
        <x:v>Prompts/ConceptArt/env_goblin_mine_mine_wall_straight_001_concept_sheet.txt</x:v>
      </x:c>
      <x:c r="R44" t="str">
        <x:v>Prompts/Meshy/env_goblin_mine_mine_wall_straight_001_geometry.txt</x:v>
      </x:c>
      <x:c r="S44" t="str">
        <x:v>Prompts/Texture/env_goblin_mine_mine_wall_straight_001_texture.txt</x:v>
      </x:c>
      <x:c r="T44" t="n">
        <x:v>2</x:v>
      </x:c>
      <x:c r="U44" t="n">
        <x:v>3</x:v>
      </x:c>
      <x:c r="V44" t="n">
        <x:v>1</x:v>
      </x:c>
      <x:c r="W44" t="n">
        <x:v>1</x:v>
      </x:c>
      <x:c r="X44" t="n">
        <x:v>0</x:v>
      </x:c>
      <x:c r="Y44" t="str">
        <x:v>Silhouette readable; correct scale; grid/pivot compliance; material separation; no baked VFX; LOD budget met; mobile camera test passed</x:v>
      </x:c>
      <x:c r="Z44" t="str">
        <x:v>Assets/_Game/Art/Environments/goblin_mine/Models</x:v>
      </x:c>
      <x:c r="AA44" t="str">
        <x:v>Not Started</x:v>
      </x:c>
      <x:c r="AB44" t="str">
        <x:v>Pending</x:v>
      </x:c>
      <x:c r="AC44" s="18" t="n">
        <x:f>T44*'Settings &amp; Rates'!$B$5+U44*'Settings &amp; Rates'!$B$6+V44*'Settings &amp; Rates'!$B$7+W44*'Settings &amp; Rates'!$B$8+X44*'Settings &amp; Rates'!$B$9</x:f>
        <x:v>75</x:v>
      </x:c>
      <x:c r="AD44" s="18" t="n">
        <x:f>SUMIF('Attempt Log'!$B$2:$B$101,A44,'Attempt Log'!$K$2:$K$101)</x:f>
        <x:v>0</x:v>
      </x:c>
      <x:c r="AE44" s="18" t="n">
        <x:f>AD44-AC44</x:f>
        <x:v>-75</x:v>
      </x:c>
      <x:c r="AF44" t="n">
        <x:f>COUNTIF('Attempt Log'!$B$2:$B$101,A44)</x:f>
        <x:v>0</x:v>
      </x:c>
      <x:c r="AG44" t="n">
        <x:f>IFERROR(SUMIFS('Attempt Log'!$U$2:$U$101,'Attempt Log'!$B$2:$B$101,A44,'Attempt Log'!$N$2:$N$101,"Yes")/COUNTIFS('Attempt Log'!$B$2:$B$101,A44,'Attempt Log'!$N$2:$N$101,"Yes"),0)</x:f>
        <x:v>0</x:v>
      </x:c>
    </x:row>
    <x:row r="45">
      <x:c r="A45" t="str">
        <x:v>env_goblin_mine_wood_support_beam_001</x:v>
      </x:c>
      <x:c r="B45" t="str">
        <x:v>Viga de Suporte</x:v>
      </x:c>
      <x:c r="C45" t="str">
        <x:v>Wood Support Beam</x:v>
      </x:c>
      <x:c r="D45" t="str">
        <x:v>Task018</x:v>
      </x:c>
      <x:c r="E45" t="str">
        <x:v>Environment</x:v>
      </x:c>
      <x:c r="F45" t="str">
        <x:v>Environment</x:v>
      </x:c>
      <x:c r="G45" t="str">
        <x:v>structure</x:v>
      </x:c>
      <x:c r="H45" t="str">
        <x:v>Vertical Slice</x:v>
      </x:c>
      <x:c r="I45" t="str">
        <x:v>P0</x:v>
      </x:c>
      <x:c r="J45" t="str">
        <x:v>B07_GOBLIN_ENV_CORE</x:v>
      </x:c>
      <x:c r="K45" t="str">
        <x:v>Image to 3D</x:v>
      </x:c>
      <x:c r="L45" t="str">
        <x:v>Yes</x:v>
      </x:c>
      <x:c r="M45" t="n">
        <x:v>950</x:v>
      </x:c>
      <x:c r="N45" t="str">
        <x:v>1024x1024</x:v>
      </x:c>
      <x:c r="O45" t="str">
        <x:v>No</x:v>
      </x:c>
      <x:c r="P45" t="str">
        <x:v>None</x:v>
      </x:c>
      <x:c r="Q45" t="str">
        <x:v>Prompts/ConceptArt/env_goblin_mine_wood_support_beam_001_concept_sheet.txt</x:v>
      </x:c>
      <x:c r="R45" t="str">
        <x:v>Prompts/Meshy/env_goblin_mine_wood_support_beam_001_geometry.txt</x:v>
      </x:c>
      <x:c r="S45" t="str">
        <x:v>Prompts/Texture/env_goblin_mine_wood_support_beam_001_texture.txt</x:v>
      </x:c>
      <x:c r="T45" t="n">
        <x:v>2</x:v>
      </x:c>
      <x:c r="U45" t="n">
        <x:v>3</x:v>
      </x:c>
      <x:c r="V45" t="n">
        <x:v>1</x:v>
      </x:c>
      <x:c r="W45" t="n">
        <x:v>1</x:v>
      </x:c>
      <x:c r="X45" t="n">
        <x:v>0</x:v>
      </x:c>
      <x:c r="Y45" t="str">
        <x:v>Silhouette readable; correct scale; grid/pivot compliance; material separation; no baked VFX; LOD budget met; mobile camera test passed</x:v>
      </x:c>
      <x:c r="Z45" t="str">
        <x:v>Assets/_Game/Art/Environments/goblin_mine/Models</x:v>
      </x:c>
      <x:c r="AA45" t="str">
        <x:v>Not Started</x:v>
      </x:c>
      <x:c r="AB45" t="str">
        <x:v>Pending</x:v>
      </x:c>
      <x:c r="AC45" s="18" t="n">
        <x:f>T45*'Settings &amp; Rates'!$B$5+U45*'Settings &amp; Rates'!$B$6+V45*'Settings &amp; Rates'!$B$7+W45*'Settings &amp; Rates'!$B$8+X45*'Settings &amp; Rates'!$B$9</x:f>
        <x:v>75</x:v>
      </x:c>
      <x:c r="AD45" s="18" t="n">
        <x:f>SUMIF('Attempt Log'!$B$2:$B$101,A45,'Attempt Log'!$K$2:$K$101)</x:f>
        <x:v>0</x:v>
      </x:c>
      <x:c r="AE45" s="18" t="n">
        <x:f>AD45-AC45</x:f>
        <x:v>-75</x:v>
      </x:c>
      <x:c r="AF45" t="n">
        <x:f>COUNTIF('Attempt Log'!$B$2:$B$101,A45)</x:f>
        <x:v>0</x:v>
      </x:c>
      <x:c r="AG45" t="n">
        <x:f>IFERROR(SUMIFS('Attempt Log'!$U$2:$U$101,'Attempt Log'!$B$2:$B$101,A45,'Attempt Log'!$N$2:$N$101,"Yes")/COUNTIFS('Attempt Log'!$B$2:$B$101,A45,'Attempt Log'!$N$2:$N$101,"Yes"),0)</x:f>
        <x:v>0</x:v>
      </x:c>
    </x:row>
    <x:row r="46">
      <x:c r="A46" t="str">
        <x:v>equipment_amulet_t02_base</x:v>
      </x:c>
      <x:c r="B46" t="str">
        <x:v>Amuleto T2</x:v>
      </x:c>
      <x:c r="C46" t="str">
        <x:v>Amulet T2</x:v>
      </x:c>
      <x:c r="D46" t="str">
        <x:v>Task017</x:v>
      </x:c>
      <x:c r="E46" t="str">
        <x:v>Equipment</x:v>
      </x:c>
      <x:c r="F46" t="str">
        <x:v>Accessory</x:v>
      </x:c>
      <x:c r="G46" t="str">
        <x:v>amulet</x:v>
      </x:c>
      <x:c r="H46" t="str">
        <x:v>MVP</x:v>
      </x:c>
      <x:c r="I46" t="str">
        <x:v>P1</x:v>
      </x:c>
      <x:c r="J46" t="str">
        <x:v>B08_EQUIPMENT_T2</x:v>
      </x:c>
      <x:c r="K46" t="str">
        <x:v>Text to 3D</x:v>
      </x:c>
      <x:c r="L46" t="str">
        <x:v>Optional</x:v>
      </x:c>
      <x:c r="M46" t="n">
        <x:v>900</x:v>
      </x:c>
      <x:c r="N46" t="str">
        <x:v>512</x:v>
      </x:c>
      <x:c r="O46" t="str">
        <x:v>No</x:v>
      </x:c>
      <x:c r="P46" t="str">
        <x:v>None</x:v>
      </x:c>
      <x:c r="Q46" t="str">
        <x:v>Prompts/ConceptArt/equipment_amulet_t02_base_concept_sheet.txt</x:v>
      </x:c>
      <x:c r="R46" t="str">
        <x:v>Prompts/Meshy/BaseGeometry/equipment_amulet_t02_base_geometry.txt</x:v>
      </x:c>
      <x:c r="S46" t="str">
        <x:v>Prompts/TextureVariants/equipment_amulet_t02_base_rarity_variants.txt</x:v>
      </x:c>
      <x:c r="T46" t="n">
        <x:v>1</x:v>
      </x:c>
      <x:c r="U46" t="n">
        <x:v>2</x:v>
      </x:c>
      <x:c r="V46" t="n">
        <x:v>1</x:v>
      </x:c>
      <x:c r="W46" t="n">
        <x:v>1</x:v>
      </x:c>
      <x:c r="X46" t="n">
        <x:v>0</x:v>
      </x:c>
      <x:c r="Y46" t="str">
        <x:v>readable at inventory scale; tier identity clear without UI; all six rarity variants preserve family; pivot and scale correct; no fragile geometry; URP PBR maps valid</x:v>
      </x:c>
      <x:c r="Z46" t="str">
        <x:v>Assets/_Game/Art/Equipment/Accessory/amulet/T2/Models</x:v>
      </x:c>
      <x:c r="AA46" t="str">
        <x:v>Not Started</x:v>
      </x:c>
      <x:c r="AB46" t="str">
        <x:v>Pending</x:v>
      </x:c>
      <x:c r="AC46" s="18" t="n">
        <x:f>T46*'Settings &amp; Rates'!$B$5+U46*'Settings &amp; Rates'!$B$6+V46*'Settings &amp; Rates'!$B$7+W46*'Settings &amp; Rates'!$B$8+X46*'Settings &amp; Rates'!$B$9</x:f>
        <x:v>55</x:v>
      </x:c>
      <x:c r="AD46" s="18" t="n">
        <x:f>SUMIF('Attempt Log'!$B$2:$B$101,A46,'Attempt Log'!$K$2:$K$101)</x:f>
        <x:v>0</x:v>
      </x:c>
      <x:c r="AE46" s="18" t="n">
        <x:f>AD46-AC46</x:f>
        <x:v>-55</x:v>
      </x:c>
      <x:c r="AF46" t="n">
        <x:f>COUNTIF('Attempt Log'!$B$2:$B$101,A46)</x:f>
        <x:v>0</x:v>
      </x:c>
      <x:c r="AG46" t="n">
        <x:f>IFERROR(SUMIFS('Attempt Log'!$U$2:$U$101,'Attempt Log'!$B$2:$B$101,A46,'Attempt Log'!$N$2:$N$101,"Yes")/COUNTIFS('Attempt Log'!$B$2:$B$101,A46,'Attempt Log'!$N$2:$N$101,"Yes"),0)</x:f>
        <x:v>0</x:v>
      </x:c>
    </x:row>
    <x:row r="47">
      <x:c r="A47" t="str">
        <x:v>equipment_cloth_boots_t02_base</x:v>
      </x:c>
      <x:c r="B47" t="str">
        <x:v>Botas Arcanas T2</x:v>
      </x:c>
      <x:c r="C47" t="str">
        <x:v>Arcane Boots T2</x:v>
      </x:c>
      <x:c r="D47" t="str">
        <x:v>Task017</x:v>
      </x:c>
      <x:c r="E47" t="str">
        <x:v>Equipment</x:v>
      </x:c>
      <x:c r="F47" t="str">
        <x:v>Cloth Armor</x:v>
      </x:c>
      <x:c r="G47" t="str">
        <x:v>cloth_boots</x:v>
      </x:c>
      <x:c r="H47" t="str">
        <x:v>MVP</x:v>
      </x:c>
      <x:c r="I47" t="str">
        <x:v>P1</x:v>
      </x:c>
      <x:c r="J47" t="str">
        <x:v>B08_EQUIPMENT_T2</x:v>
      </x:c>
      <x:c r="K47" t="str">
        <x:v>Image to 3D</x:v>
      </x:c>
      <x:c r="L47" t="str">
        <x:v>Yes</x:v>
      </x:c>
      <x:c r="M47" t="n">
        <x:v>1450</x:v>
      </x:c>
      <x:c r="N47" t="str">
        <x:v>1024</x:v>
      </x:c>
      <x:c r="O47" t="str">
        <x:v>No</x:v>
      </x:c>
      <x:c r="P47" t="str">
        <x:v>None</x:v>
      </x:c>
      <x:c r="Q47" t="str">
        <x:v>Prompts/ConceptArt/equipment_cloth_boots_t02_base_concept_sheet.txt</x:v>
      </x:c>
      <x:c r="R47" t="str">
        <x:v>Prompts/Meshy/BaseGeometry/equipment_cloth_boots_t02_base_geometry.txt</x:v>
      </x:c>
      <x:c r="S47" t="str">
        <x:v>Prompts/TextureVariants/equipment_cloth_boots_t02_base_rarity_variants.txt</x:v>
      </x:c>
      <x:c r="T47" t="n">
        <x:v>2</x:v>
      </x:c>
      <x:c r="U47" t="n">
        <x:v>2</x:v>
      </x:c>
      <x:c r="V47" t="n">
        <x:v>1</x:v>
      </x:c>
      <x:c r="W47" t="n">
        <x:v>1</x:v>
      </x:c>
      <x:c r="X47" t="n">
        <x:v>0</x:v>
      </x:c>
      <x:c r="Y47" t="str">
        <x:v>readable at inventory scale; tier identity clear without UI; all six rarity variants preserve family; pivot and scale correct; no fragile geometry; URP PBR maps valid</x:v>
      </x:c>
      <x:c r="Z47" t="str">
        <x:v>Assets/_Game/Art/Equipment/ClothArmor/cloth_boots/T2/Models</x:v>
      </x:c>
      <x:c r="AA47" t="str">
        <x:v>Not Started</x:v>
      </x:c>
      <x:c r="AB47" t="str">
        <x:v>Pending</x:v>
      </x:c>
      <x:c r="AC47" s="18" t="n">
        <x:f>T47*'Settings &amp; Rates'!$B$5+U47*'Settings &amp; Rates'!$B$6+V47*'Settings &amp; Rates'!$B$7+W47*'Settings &amp; Rates'!$B$8+X47*'Settings &amp; Rates'!$B$9</x:f>
        <x:v>55</x:v>
      </x:c>
      <x:c r="AD47" s="18" t="n">
        <x:f>SUMIF('Attempt Log'!$B$2:$B$101,A47,'Attempt Log'!$K$2:$K$101)</x:f>
        <x:v>0</x:v>
      </x:c>
      <x:c r="AE47" s="18" t="n">
        <x:f>AD47-AC47</x:f>
        <x:v>-55</x:v>
      </x:c>
      <x:c r="AF47" t="n">
        <x:f>COUNTIF('Attempt Log'!$B$2:$B$101,A47)</x:f>
        <x:v>0</x:v>
      </x:c>
      <x:c r="AG47" t="n">
        <x:f>IFERROR(SUMIFS('Attempt Log'!$U$2:$U$101,'Attempt Log'!$B$2:$B$101,A47,'Attempt Log'!$N$2:$N$101,"Yes")/COUNTIFS('Attempt Log'!$B$2:$B$101,A47,'Attempt Log'!$N$2:$N$101,"Yes"),0)</x:f>
        <x:v>0</x:v>
      </x:c>
    </x:row>
    <x:row r="48">
      <x:c r="A48" t="str">
        <x:v>equipment_cloth_gloves_t02_base</x:v>
      </x:c>
      <x:c r="B48" t="str">
        <x:v>Luvas Arcanas T2</x:v>
      </x:c>
      <x:c r="C48" t="str">
        <x:v>Arcane Gloves T2</x:v>
      </x:c>
      <x:c r="D48" t="str">
        <x:v>Task017</x:v>
      </x:c>
      <x:c r="E48" t="str">
        <x:v>Equipment</x:v>
      </x:c>
      <x:c r="F48" t="str">
        <x:v>Cloth Armor</x:v>
      </x:c>
      <x:c r="G48" t="str">
        <x:v>cloth_gloves</x:v>
      </x:c>
      <x:c r="H48" t="str">
        <x:v>MVP</x:v>
      </x:c>
      <x:c r="I48" t="str">
        <x:v>P1</x:v>
      </x:c>
      <x:c r="J48" t="str">
        <x:v>B08_EQUIPMENT_T2</x:v>
      </x:c>
      <x:c r="K48" t="str">
        <x:v>Image to 3D</x:v>
      </x:c>
      <x:c r="L48" t="str">
        <x:v>Yes</x:v>
      </x:c>
      <x:c r="M48" t="n">
        <x:v>1200</x:v>
      </x:c>
      <x:c r="N48" t="str">
        <x:v>1024</x:v>
      </x:c>
      <x:c r="O48" t="str">
        <x:v>No</x:v>
      </x:c>
      <x:c r="P48" t="str">
        <x:v>None</x:v>
      </x:c>
      <x:c r="Q48" t="str">
        <x:v>Prompts/ConceptArt/equipment_cloth_gloves_t02_base_concept_sheet.txt</x:v>
      </x:c>
      <x:c r="R48" t="str">
        <x:v>Prompts/Meshy/BaseGeometry/equipment_cloth_gloves_t02_base_geometry.txt</x:v>
      </x:c>
      <x:c r="S48" t="str">
        <x:v>Prompts/TextureVariants/equipment_cloth_gloves_t02_base_rarity_variants.txt</x:v>
      </x:c>
      <x:c r="T48" t="n">
        <x:v>2</x:v>
      </x:c>
      <x:c r="U48" t="n">
        <x:v>2</x:v>
      </x:c>
      <x:c r="V48" t="n">
        <x:v>1</x:v>
      </x:c>
      <x:c r="W48" t="n">
        <x:v>1</x:v>
      </x:c>
      <x:c r="X48" t="n">
        <x:v>0</x:v>
      </x:c>
      <x:c r="Y48" t="str">
        <x:v>readable at inventory scale; tier identity clear without UI; all six rarity variants preserve family; pivot and scale correct; no fragile geometry; URP PBR maps valid</x:v>
      </x:c>
      <x:c r="Z48" t="str">
        <x:v>Assets/_Game/Art/Equipment/ClothArmor/cloth_gloves/T2/Models</x:v>
      </x:c>
      <x:c r="AA48" t="str">
        <x:v>Not Started</x:v>
      </x:c>
      <x:c r="AB48" t="str">
        <x:v>Pending</x:v>
      </x:c>
      <x:c r="AC48" s="18" t="n">
        <x:f>T48*'Settings &amp; Rates'!$B$5+U48*'Settings &amp; Rates'!$B$6+V48*'Settings &amp; Rates'!$B$7+W48*'Settings &amp; Rates'!$B$8+X48*'Settings &amp; Rates'!$B$9</x:f>
        <x:v>55</x:v>
      </x:c>
      <x:c r="AD48" s="18" t="n">
        <x:f>SUMIF('Attempt Log'!$B$2:$B$101,A48,'Attempt Log'!$K$2:$K$101)</x:f>
        <x:v>0</x:v>
      </x:c>
      <x:c r="AE48" s="18" t="n">
        <x:f>AD48-AC48</x:f>
        <x:v>-55</x:v>
      </x:c>
      <x:c r="AF48" t="n">
        <x:f>COUNTIF('Attempt Log'!$B$2:$B$101,A48)</x:f>
        <x:v>0</x:v>
      </x:c>
      <x:c r="AG48" t="n">
        <x:f>IFERROR(SUMIFS('Attempt Log'!$U$2:$U$101,'Attempt Log'!$B$2:$B$101,A48,'Attempt Log'!$N$2:$N$101,"Yes")/COUNTIFS('Attempt Log'!$B$2:$B$101,A48,'Attempt Log'!$N$2:$N$101,"Yes"),0)</x:f>
        <x:v>0</x:v>
      </x:c>
    </x:row>
    <x:row r="49">
      <x:c r="A49" t="str">
        <x:v>equipment_cloth_hood_t02_base</x:v>
      </x:c>
      <x:c r="B49" t="str">
        <x:v>Capuz Arcano T2</x:v>
      </x:c>
      <x:c r="C49" t="str">
        <x:v>Arcane Hood T2</x:v>
      </x:c>
      <x:c r="D49" t="str">
        <x:v>Task017</x:v>
      </x:c>
      <x:c r="E49" t="str">
        <x:v>Equipment</x:v>
      </x:c>
      <x:c r="F49" t="str">
        <x:v>Cloth Armor</x:v>
      </x:c>
      <x:c r="G49" t="str">
        <x:v>cloth_hood</x:v>
      </x:c>
      <x:c r="H49" t="str">
        <x:v>MVP</x:v>
      </x:c>
      <x:c r="I49" t="str">
        <x:v>P1</x:v>
      </x:c>
      <x:c r="J49" t="str">
        <x:v>B08_EQUIPMENT_T2</x:v>
      </x:c>
      <x:c r="K49" t="str">
        <x:v>Image to 3D</x:v>
      </x:c>
      <x:c r="L49" t="str">
        <x:v>Yes</x:v>
      </x:c>
      <x:c r="M49" t="n">
        <x:v>1500</x:v>
      </x:c>
      <x:c r="N49" t="str">
        <x:v>1024</x:v>
      </x:c>
      <x:c r="O49" t="str">
        <x:v>No</x:v>
      </x:c>
      <x:c r="P49" t="str">
        <x:v>None</x:v>
      </x:c>
      <x:c r="Q49" t="str">
        <x:v>Prompts/ConceptArt/equipment_cloth_hood_t02_base_concept_sheet.txt</x:v>
      </x:c>
      <x:c r="R49" t="str">
        <x:v>Prompts/Meshy/BaseGeometry/equipment_cloth_hood_t02_base_geometry.txt</x:v>
      </x:c>
      <x:c r="S49" t="str">
        <x:v>Prompts/TextureVariants/equipment_cloth_hood_t02_base_rarity_variants.txt</x:v>
      </x:c>
      <x:c r="T49" t="n">
        <x:v>2</x:v>
      </x:c>
      <x:c r="U49" t="n">
        <x:v>2</x:v>
      </x:c>
      <x:c r="V49" t="n">
        <x:v>1</x:v>
      </x:c>
      <x:c r="W49" t="n">
        <x:v>1</x:v>
      </x:c>
      <x:c r="X49" t="n">
        <x:v>0</x:v>
      </x:c>
      <x:c r="Y49" t="str">
        <x:v>readable at inventory scale; tier identity clear without UI; all six rarity variants preserve family; pivot and scale correct; no fragile geometry; URP PBR maps valid</x:v>
      </x:c>
      <x:c r="Z49" t="str">
        <x:v>Assets/_Game/Art/Equipment/ClothArmor/cloth_hood/T2/Models</x:v>
      </x:c>
      <x:c r="AA49" t="str">
        <x:v>Not Started</x:v>
      </x:c>
      <x:c r="AB49" t="str">
        <x:v>Pending</x:v>
      </x:c>
      <x:c r="AC49" s="18" t="n">
        <x:f>T49*'Settings &amp; Rates'!$B$5+U49*'Settings &amp; Rates'!$B$6+V49*'Settings &amp; Rates'!$B$7+W49*'Settings &amp; Rates'!$B$8+X49*'Settings &amp; Rates'!$B$9</x:f>
        <x:v>55</x:v>
      </x:c>
      <x:c r="AD49" s="18" t="n">
        <x:f>SUMIF('Attempt Log'!$B$2:$B$101,A49,'Attempt Log'!$K$2:$K$101)</x:f>
        <x:v>0</x:v>
      </x:c>
      <x:c r="AE49" s="18" t="n">
        <x:f>AD49-AC49</x:f>
        <x:v>-55</x:v>
      </x:c>
      <x:c r="AF49" t="n">
        <x:f>COUNTIF('Attempt Log'!$B$2:$B$101,A49)</x:f>
        <x:v>0</x:v>
      </x:c>
      <x:c r="AG49" t="n">
        <x:f>IFERROR(SUMIFS('Attempt Log'!$U$2:$U$101,'Attempt Log'!$B$2:$B$101,A49,'Attempt Log'!$N$2:$N$101,"Yes")/COUNTIFS('Attempt Log'!$B$2:$B$101,A49,'Attempt Log'!$N$2:$N$101,"Yes"),0)</x:f>
        <x:v>0</x:v>
      </x:c>
    </x:row>
    <x:row r="50">
      <x:c r="A50" t="str">
        <x:v>equipment_cloth_robe_t02_base</x:v>
      </x:c>
      <x:c r="B50" t="str">
        <x:v>Manto Arcano T2</x:v>
      </x:c>
      <x:c r="C50" t="str">
        <x:v>Arcane Robe T2</x:v>
      </x:c>
      <x:c r="D50" t="str">
        <x:v>Task017</x:v>
      </x:c>
      <x:c r="E50" t="str">
        <x:v>Equipment</x:v>
      </x:c>
      <x:c r="F50" t="str">
        <x:v>Cloth Armor</x:v>
      </x:c>
      <x:c r="G50" t="str">
        <x:v>cloth_robe</x:v>
      </x:c>
      <x:c r="H50" t="str">
        <x:v>MVP</x:v>
      </x:c>
      <x:c r="I50" t="str">
        <x:v>P1</x:v>
      </x:c>
      <x:c r="J50" t="str">
        <x:v>B08_EQUIPMENT_T2</x:v>
      </x:c>
      <x:c r="K50" t="str">
        <x:v>Image to 3D</x:v>
      </x:c>
      <x:c r="L50" t="str">
        <x:v>Yes</x:v>
      </x:c>
      <x:c r="M50" t="n">
        <x:v>3350</x:v>
      </x:c>
      <x:c r="N50" t="str">
        <x:v>1024</x:v>
      </x:c>
      <x:c r="O50" t="str">
        <x:v>No</x:v>
      </x:c>
      <x:c r="P50" t="str">
        <x:v>None</x:v>
      </x:c>
      <x:c r="Q50" t="str">
        <x:v>Prompts/ConceptArt/equipment_cloth_robe_t02_base_concept_sheet.txt</x:v>
      </x:c>
      <x:c r="R50" t="str">
        <x:v>Prompts/Meshy/BaseGeometry/equipment_cloth_robe_t02_base_geometry.txt</x:v>
      </x:c>
      <x:c r="S50" t="str">
        <x:v>Prompts/TextureVariants/equipment_cloth_robe_t02_base_rarity_variants.txt</x:v>
      </x:c>
      <x:c r="T50" t="n">
        <x:v>2</x:v>
      </x:c>
      <x:c r="U50" t="n">
        <x:v>2</x:v>
      </x:c>
      <x:c r="V50" t="n">
        <x:v>1</x:v>
      </x:c>
      <x:c r="W50" t="n">
        <x:v>1</x:v>
      </x:c>
      <x:c r="X50" t="n">
        <x:v>0</x:v>
      </x:c>
      <x:c r="Y50" t="str">
        <x:v>readable at inventory scale; tier identity clear without UI; all six rarity variants preserve family; pivot and scale correct; no fragile geometry; URP PBR maps valid</x:v>
      </x:c>
      <x:c r="Z50" t="str">
        <x:v>Assets/_Game/Art/Equipment/ClothArmor/cloth_robe/T2/Models</x:v>
      </x:c>
      <x:c r="AA50" t="str">
        <x:v>Not Started</x:v>
      </x:c>
      <x:c r="AB50" t="str">
        <x:v>Pending</x:v>
      </x:c>
      <x:c r="AC50" s="18" t="n">
        <x:f>T50*'Settings &amp; Rates'!$B$5+U50*'Settings &amp; Rates'!$B$6+V50*'Settings &amp; Rates'!$B$7+W50*'Settings &amp; Rates'!$B$8+X50*'Settings &amp; Rates'!$B$9</x:f>
        <x:v>55</x:v>
      </x:c>
      <x:c r="AD50" s="18" t="n">
        <x:f>SUMIF('Attempt Log'!$B$2:$B$101,A50,'Attempt Log'!$K$2:$K$101)</x:f>
        <x:v>0</x:v>
      </x:c>
      <x:c r="AE50" s="18" t="n">
        <x:f>AD50-AC50</x:f>
        <x:v>-55</x:v>
      </x:c>
      <x:c r="AF50" t="n">
        <x:f>COUNTIF('Attempt Log'!$B$2:$B$101,A50)</x:f>
        <x:v>0</x:v>
      </x:c>
      <x:c r="AG50" t="n">
        <x:f>IFERROR(SUMIFS('Attempt Log'!$U$2:$U$101,'Attempt Log'!$B$2:$B$101,A50,'Attempt Log'!$N$2:$N$101,"Yes")/COUNTIFS('Attempt Log'!$B$2:$B$101,A50,'Attempt Log'!$N$2:$N$101,"Yes"),0)</x:f>
        <x:v>0</x:v>
      </x:c>
    </x:row>
    <x:row r="51">
      <x:c r="A51" t="str">
        <x:v>equipment_heavy_boots_t02_base</x:v>
      </x:c>
      <x:c r="B51" t="str">
        <x:v>Botas Pesadas T2</x:v>
      </x:c>
      <x:c r="C51" t="str">
        <x:v>Heavy Boots T2</x:v>
      </x:c>
      <x:c r="D51" t="str">
        <x:v>Task017</x:v>
      </x:c>
      <x:c r="E51" t="str">
        <x:v>Equipment</x:v>
      </x:c>
      <x:c r="F51" t="str">
        <x:v>Heavy Armor</x:v>
      </x:c>
      <x:c r="G51" t="str">
        <x:v>heavy_boots</x:v>
      </x:c>
      <x:c r="H51" t="str">
        <x:v>MVP</x:v>
      </x:c>
      <x:c r="I51" t="str">
        <x:v>P1</x:v>
      </x:c>
      <x:c r="J51" t="str">
        <x:v>B08_EQUIPMENT_T2</x:v>
      </x:c>
      <x:c r="K51" t="str">
        <x:v>Image to 3D</x:v>
      </x:c>
      <x:c r="L51" t="str">
        <x:v>Yes</x:v>
      </x:c>
      <x:c r="M51" t="n">
        <x:v>1750</x:v>
      </x:c>
      <x:c r="N51" t="str">
        <x:v>1024</x:v>
      </x:c>
      <x:c r="O51" t="str">
        <x:v>No</x:v>
      </x:c>
      <x:c r="P51" t="str">
        <x:v>None</x:v>
      </x:c>
      <x:c r="Q51" t="str">
        <x:v>Prompts/ConceptArt/equipment_heavy_boots_t02_base_concept_sheet.txt</x:v>
      </x:c>
      <x:c r="R51" t="str">
        <x:v>Prompts/Meshy/BaseGeometry/equipment_heavy_boots_t02_base_geometry.txt</x:v>
      </x:c>
      <x:c r="S51" t="str">
        <x:v>Prompts/TextureVariants/equipment_heavy_boots_t02_base_rarity_variants.txt</x:v>
      </x:c>
      <x:c r="T51" t="n">
        <x:v>2</x:v>
      </x:c>
      <x:c r="U51" t="n">
        <x:v>2</x:v>
      </x:c>
      <x:c r="V51" t="n">
        <x:v>1</x:v>
      </x:c>
      <x:c r="W51" t="n">
        <x:v>1</x:v>
      </x:c>
      <x:c r="X51" t="n">
        <x:v>0</x:v>
      </x:c>
      <x:c r="Y51" t="str">
        <x:v>readable at inventory scale; tier identity clear without UI; all six rarity variants preserve family; pivot and scale correct; no fragile geometry; URP PBR maps valid</x:v>
      </x:c>
      <x:c r="Z51" t="str">
        <x:v>Assets/_Game/Art/Equipment/HeavyArmor/heavy_boots/T2/Models</x:v>
      </x:c>
      <x:c r="AA51" t="str">
        <x:v>Not Started</x:v>
      </x:c>
      <x:c r="AB51" t="str">
        <x:v>Pending</x:v>
      </x:c>
      <x:c r="AC51" s="18" t="n">
        <x:f>T51*'Settings &amp; Rates'!$B$5+U51*'Settings &amp; Rates'!$B$6+V51*'Settings &amp; Rates'!$B$7+W51*'Settings &amp; Rates'!$B$8+X51*'Settings &amp; Rates'!$B$9</x:f>
        <x:v>55</x:v>
      </x:c>
      <x:c r="AD51" s="18" t="n">
        <x:f>SUMIF('Attempt Log'!$B$2:$B$101,A51,'Attempt Log'!$K$2:$K$101)</x:f>
        <x:v>0</x:v>
      </x:c>
      <x:c r="AE51" s="18" t="n">
        <x:f>AD51-AC51</x:f>
        <x:v>-55</x:v>
      </x:c>
      <x:c r="AF51" t="n">
        <x:f>COUNTIF('Attempt Log'!$B$2:$B$101,A51)</x:f>
        <x:v>0</x:v>
      </x:c>
      <x:c r="AG51" t="n">
        <x:f>IFERROR(SUMIFS('Attempt Log'!$U$2:$U$101,'Attempt Log'!$B$2:$B$101,A51,'Attempt Log'!$N$2:$N$101,"Yes")/COUNTIFS('Attempt Log'!$B$2:$B$101,A51,'Attempt Log'!$N$2:$N$101,"Yes"),0)</x:f>
        <x:v>0</x:v>
      </x:c>
    </x:row>
    <x:row r="52">
      <x:c r="A52" t="str">
        <x:v>equipment_heavy_chest_t02_base</x:v>
      </x:c>
      <x:c r="B52" t="str">
        <x:v>Peitoral Pesado T2</x:v>
      </x:c>
      <x:c r="C52" t="str">
        <x:v>Heavy Chest Armor T2</x:v>
      </x:c>
      <x:c r="D52" t="str">
        <x:v>Task017</x:v>
      </x:c>
      <x:c r="E52" t="str">
        <x:v>Equipment</x:v>
      </x:c>
      <x:c r="F52" t="str">
        <x:v>Heavy Armor</x:v>
      </x:c>
      <x:c r="G52" t="str">
        <x:v>heavy_chest</x:v>
      </x:c>
      <x:c r="H52" t="str">
        <x:v>MVP</x:v>
      </x:c>
      <x:c r="I52" t="str">
        <x:v>P1</x:v>
      </x:c>
      <x:c r="J52" t="str">
        <x:v>B08_EQUIPMENT_T2</x:v>
      </x:c>
      <x:c r="K52" t="str">
        <x:v>Image to 3D</x:v>
      </x:c>
      <x:c r="L52" t="str">
        <x:v>Yes</x:v>
      </x:c>
      <x:c r="M52" t="n">
        <x:v>3750</x:v>
      </x:c>
      <x:c r="N52" t="str">
        <x:v>1024</x:v>
      </x:c>
      <x:c r="O52" t="str">
        <x:v>No</x:v>
      </x:c>
      <x:c r="P52" t="str">
        <x:v>None</x:v>
      </x:c>
      <x:c r="Q52" t="str">
        <x:v>Prompts/ConceptArt/equipment_heavy_chest_t02_base_concept_sheet.txt</x:v>
      </x:c>
      <x:c r="R52" t="str">
        <x:v>Prompts/Meshy/BaseGeometry/equipment_heavy_chest_t02_base_geometry.txt</x:v>
      </x:c>
      <x:c r="S52" t="str">
        <x:v>Prompts/TextureVariants/equipment_heavy_chest_t02_base_rarity_variants.txt</x:v>
      </x:c>
      <x:c r="T52" t="n">
        <x:v>2</x:v>
      </x:c>
      <x:c r="U52" t="n">
        <x:v>2</x:v>
      </x:c>
      <x:c r="V52" t="n">
        <x:v>1</x:v>
      </x:c>
      <x:c r="W52" t="n">
        <x:v>1</x:v>
      </x:c>
      <x:c r="X52" t="n">
        <x:v>0</x:v>
      </x:c>
      <x:c r="Y52" t="str">
        <x:v>readable at inventory scale; tier identity clear without UI; all six rarity variants preserve family; pivot and scale correct; no fragile geometry; URP PBR maps valid</x:v>
      </x:c>
      <x:c r="Z52" t="str">
        <x:v>Assets/_Game/Art/Equipment/HeavyArmor/heavy_chest/T2/Models</x:v>
      </x:c>
      <x:c r="AA52" t="str">
        <x:v>Not Started</x:v>
      </x:c>
      <x:c r="AB52" t="str">
        <x:v>Pending</x:v>
      </x:c>
      <x:c r="AC52" s="18" t="n">
        <x:f>T52*'Settings &amp; Rates'!$B$5+U52*'Settings &amp; Rates'!$B$6+V52*'Settings &amp; Rates'!$B$7+W52*'Settings &amp; Rates'!$B$8+X52*'Settings &amp; Rates'!$B$9</x:f>
        <x:v>55</x:v>
      </x:c>
      <x:c r="AD52" s="18" t="n">
        <x:f>SUMIF('Attempt Log'!$B$2:$B$101,A52,'Attempt Log'!$K$2:$K$101)</x:f>
        <x:v>0</x:v>
      </x:c>
      <x:c r="AE52" s="18" t="n">
        <x:f>AD52-AC52</x:f>
        <x:v>-55</x:v>
      </x:c>
      <x:c r="AF52" t="n">
        <x:f>COUNTIF('Attempt Log'!$B$2:$B$101,A52)</x:f>
        <x:v>0</x:v>
      </x:c>
      <x:c r="AG52" t="n">
        <x:f>IFERROR(SUMIFS('Attempt Log'!$U$2:$U$101,'Attempt Log'!$B$2:$B$101,A52,'Attempt Log'!$N$2:$N$101,"Yes")/COUNTIFS('Attempt Log'!$B$2:$B$101,A52,'Attempt Log'!$N$2:$N$101,"Yes"),0)</x:f>
        <x:v>0</x:v>
      </x:c>
    </x:row>
    <x:row r="53">
      <x:c r="A53" t="str">
        <x:v>equipment_heavy_gloves_t02_base</x:v>
      </x:c>
      <x:c r="B53" t="str">
        <x:v>Manoplas Pesadas T2</x:v>
      </x:c>
      <x:c r="C53" t="str">
        <x:v>Heavy Gauntlets T2</x:v>
      </x:c>
      <x:c r="D53" t="str">
        <x:v>Task017</x:v>
      </x:c>
      <x:c r="E53" t="str">
        <x:v>Equipment</x:v>
      </x:c>
      <x:c r="F53" t="str">
        <x:v>Heavy Armor</x:v>
      </x:c>
      <x:c r="G53" t="str">
        <x:v>heavy_gloves</x:v>
      </x:c>
      <x:c r="H53" t="str">
        <x:v>MVP</x:v>
      </x:c>
      <x:c r="I53" t="str">
        <x:v>P1</x:v>
      </x:c>
      <x:c r="J53" t="str">
        <x:v>B08_EQUIPMENT_T2</x:v>
      </x:c>
      <x:c r="K53" t="str">
        <x:v>Image to 3D</x:v>
      </x:c>
      <x:c r="L53" t="str">
        <x:v>Yes</x:v>
      </x:c>
      <x:c r="M53" t="n">
        <x:v>1550</x:v>
      </x:c>
      <x:c r="N53" t="str">
        <x:v>1024</x:v>
      </x:c>
      <x:c r="O53" t="str">
        <x:v>No</x:v>
      </x:c>
      <x:c r="P53" t="str">
        <x:v>None</x:v>
      </x:c>
      <x:c r="Q53" t="str">
        <x:v>Prompts/ConceptArt/equipment_heavy_gloves_t02_base_concept_sheet.txt</x:v>
      </x:c>
      <x:c r="R53" t="str">
        <x:v>Prompts/Meshy/BaseGeometry/equipment_heavy_gloves_t02_base_geometry.txt</x:v>
      </x:c>
      <x:c r="S53" t="str">
        <x:v>Prompts/TextureVariants/equipment_heavy_gloves_t02_base_rarity_variants.txt</x:v>
      </x:c>
      <x:c r="T53" t="n">
        <x:v>2</x:v>
      </x:c>
      <x:c r="U53" t="n">
        <x:v>2</x:v>
      </x:c>
      <x:c r="V53" t="n">
        <x:v>1</x:v>
      </x:c>
      <x:c r="W53" t="n">
        <x:v>1</x:v>
      </x:c>
      <x:c r="X53" t="n">
        <x:v>0</x:v>
      </x:c>
      <x:c r="Y53" t="str">
        <x:v>readable at inventory scale; tier identity clear without UI; all six rarity variants preserve family; pivot and scale correct; no fragile geometry; URP PBR maps valid</x:v>
      </x:c>
      <x:c r="Z53" t="str">
        <x:v>Assets/_Game/Art/Equipment/HeavyArmor/heavy_gloves/T2/Models</x:v>
      </x:c>
      <x:c r="AA53" t="str">
        <x:v>Not Started</x:v>
      </x:c>
      <x:c r="AB53" t="str">
        <x:v>Pending</x:v>
      </x:c>
      <x:c r="AC53" s="18" t="n">
        <x:f>T53*'Settings &amp; Rates'!$B$5+U53*'Settings &amp; Rates'!$B$6+V53*'Settings &amp; Rates'!$B$7+W53*'Settings &amp; Rates'!$B$8+X53*'Settings &amp; Rates'!$B$9</x:f>
        <x:v>55</x:v>
      </x:c>
      <x:c r="AD53" s="18" t="n">
        <x:f>SUMIF('Attempt Log'!$B$2:$B$101,A53,'Attempt Log'!$K$2:$K$101)</x:f>
        <x:v>0</x:v>
      </x:c>
      <x:c r="AE53" s="18" t="n">
        <x:f>AD53-AC53</x:f>
        <x:v>-55</x:v>
      </x:c>
      <x:c r="AF53" t="n">
        <x:f>COUNTIF('Attempt Log'!$B$2:$B$101,A53)</x:f>
        <x:v>0</x:v>
      </x:c>
      <x:c r="AG53" t="n">
        <x:f>IFERROR(SUMIFS('Attempt Log'!$U$2:$U$101,'Attempt Log'!$B$2:$B$101,A53,'Attempt Log'!$N$2:$N$101,"Yes")/COUNTIFS('Attempt Log'!$B$2:$B$101,A53,'Attempt Log'!$N$2:$N$101,"Yes"),0)</x:f>
        <x:v>0</x:v>
      </x:c>
    </x:row>
    <x:row r="54">
      <x:c r="A54" t="str">
        <x:v>equipment_heavy_helmet_t02_base</x:v>
      </x:c>
      <x:c r="B54" t="str">
        <x:v>Elmo Pesado T2</x:v>
      </x:c>
      <x:c r="C54" t="str">
        <x:v>Heavy Helmet T2</x:v>
      </x:c>
      <x:c r="D54" t="str">
        <x:v>Task017</x:v>
      </x:c>
      <x:c r="E54" t="str">
        <x:v>Equipment</x:v>
      </x:c>
      <x:c r="F54" t="str">
        <x:v>Heavy Armor</x:v>
      </x:c>
      <x:c r="G54" t="str">
        <x:v>heavy_helmet</x:v>
      </x:c>
      <x:c r="H54" t="str">
        <x:v>MVP</x:v>
      </x:c>
      <x:c r="I54" t="str">
        <x:v>P1</x:v>
      </x:c>
      <x:c r="J54" t="str">
        <x:v>B08_EQUIPMENT_T2</x:v>
      </x:c>
      <x:c r="K54" t="str">
        <x:v>Image to 3D</x:v>
      </x:c>
      <x:c r="L54" t="str">
        <x:v>Yes</x:v>
      </x:c>
      <x:c r="M54" t="n">
        <x:v>2200</x:v>
      </x:c>
      <x:c r="N54" t="str">
        <x:v>1024</x:v>
      </x:c>
      <x:c r="O54" t="str">
        <x:v>No</x:v>
      </x:c>
      <x:c r="P54" t="str">
        <x:v>None</x:v>
      </x:c>
      <x:c r="Q54" t="str">
        <x:v>Prompts/ConceptArt/equipment_heavy_helmet_t02_base_concept_sheet.txt</x:v>
      </x:c>
      <x:c r="R54" t="str">
        <x:v>Prompts/Meshy/BaseGeometry/equipment_heavy_helmet_t02_base_geometry.txt</x:v>
      </x:c>
      <x:c r="S54" t="str">
        <x:v>Prompts/TextureVariants/equipment_heavy_helmet_t02_base_rarity_variants.txt</x:v>
      </x:c>
      <x:c r="T54" t="n">
        <x:v>2</x:v>
      </x:c>
      <x:c r="U54" t="n">
        <x:v>2</x:v>
      </x:c>
      <x:c r="V54" t="n">
        <x:v>1</x:v>
      </x:c>
      <x:c r="W54" t="n">
        <x:v>1</x:v>
      </x:c>
      <x:c r="X54" t="n">
        <x:v>0</x:v>
      </x:c>
      <x:c r="Y54" t="str">
        <x:v>readable at inventory scale; tier identity clear without UI; all six rarity variants preserve family; pivot and scale correct; no fragile geometry; URP PBR maps valid</x:v>
      </x:c>
      <x:c r="Z54" t="str">
        <x:v>Assets/_Game/Art/Equipment/HeavyArmor/heavy_helmet/T2/Models</x:v>
      </x:c>
      <x:c r="AA54" t="str">
        <x:v>Not Started</x:v>
      </x:c>
      <x:c r="AB54" t="str">
        <x:v>Pending</x:v>
      </x:c>
      <x:c r="AC54" s="18" t="n">
        <x:f>T54*'Settings &amp; Rates'!$B$5+U54*'Settings &amp; Rates'!$B$6+V54*'Settings &amp; Rates'!$B$7+W54*'Settings &amp; Rates'!$B$8+X54*'Settings &amp; Rates'!$B$9</x:f>
        <x:v>55</x:v>
      </x:c>
      <x:c r="AD54" s="18" t="n">
        <x:f>SUMIF('Attempt Log'!$B$2:$B$101,A54,'Attempt Log'!$K$2:$K$101)</x:f>
        <x:v>0</x:v>
      </x:c>
      <x:c r="AE54" s="18" t="n">
        <x:f>AD54-AC54</x:f>
        <x:v>-55</x:v>
      </x:c>
      <x:c r="AF54" t="n">
        <x:f>COUNTIF('Attempt Log'!$B$2:$B$101,A54)</x:f>
        <x:v>0</x:v>
      </x:c>
      <x:c r="AG54" t="n">
        <x:f>IFERROR(SUMIFS('Attempt Log'!$U$2:$U$101,'Attempt Log'!$B$2:$B$101,A54,'Attempt Log'!$N$2:$N$101,"Yes")/COUNTIFS('Attempt Log'!$B$2:$B$101,A54,'Attempt Log'!$N$2:$N$101,"Yes"),0)</x:f>
        <x:v>0</x:v>
      </x:c>
    </x:row>
    <x:row r="55">
      <x:c r="A55" t="str">
        <x:v>equipment_light_boots_t02_base</x:v>
      </x:c>
      <x:c r="B55" t="str">
        <x:v>Botas Leves T2</x:v>
      </x:c>
      <x:c r="C55" t="str">
        <x:v>Light Boots T2</x:v>
      </x:c>
      <x:c r="D55" t="str">
        <x:v>Task017</x:v>
      </x:c>
      <x:c r="E55" t="str">
        <x:v>Equipment</x:v>
      </x:c>
      <x:c r="F55" t="str">
        <x:v>Light Armor</x:v>
      </x:c>
      <x:c r="G55" t="str">
        <x:v>light_boots</x:v>
      </x:c>
      <x:c r="H55" t="str">
        <x:v>MVP</x:v>
      </x:c>
      <x:c r="I55" t="str">
        <x:v>P1</x:v>
      </x:c>
      <x:c r="J55" t="str">
        <x:v>B08_EQUIPMENT_T2</x:v>
      </x:c>
      <x:c r="K55" t="str">
        <x:v>Image to 3D</x:v>
      </x:c>
      <x:c r="L55" t="str">
        <x:v>Yes</x:v>
      </x:c>
      <x:c r="M55" t="n">
        <x:v>1450</x:v>
      </x:c>
      <x:c r="N55" t="str">
        <x:v>1024</x:v>
      </x:c>
      <x:c r="O55" t="str">
        <x:v>No</x:v>
      </x:c>
      <x:c r="P55" t="str">
        <x:v>None</x:v>
      </x:c>
      <x:c r="Q55" t="str">
        <x:v>Prompts/ConceptArt/equipment_light_boots_t02_base_concept_sheet.txt</x:v>
      </x:c>
      <x:c r="R55" t="str">
        <x:v>Prompts/Meshy/BaseGeometry/equipment_light_boots_t02_base_geometry.txt</x:v>
      </x:c>
      <x:c r="S55" t="str">
        <x:v>Prompts/TextureVariants/equipment_light_boots_t02_base_rarity_variants.txt</x:v>
      </x:c>
      <x:c r="T55" t="n">
        <x:v>2</x:v>
      </x:c>
      <x:c r="U55" t="n">
        <x:v>2</x:v>
      </x:c>
      <x:c r="V55" t="n">
        <x:v>1</x:v>
      </x:c>
      <x:c r="W55" t="n">
        <x:v>1</x:v>
      </x:c>
      <x:c r="X55" t="n">
        <x:v>0</x:v>
      </x:c>
      <x:c r="Y55" t="str">
        <x:v>readable at inventory scale; tier identity clear without UI; all six rarity variants preserve family; pivot and scale correct; no fragile geometry; URP PBR maps valid</x:v>
      </x:c>
      <x:c r="Z55" t="str">
        <x:v>Assets/_Game/Art/Equipment/LightArmor/light_boots/T2/Models</x:v>
      </x:c>
      <x:c r="AA55" t="str">
        <x:v>Not Started</x:v>
      </x:c>
      <x:c r="AB55" t="str">
        <x:v>Pending</x:v>
      </x:c>
      <x:c r="AC55" s="18" t="n">
        <x:f>T55*'Settings &amp; Rates'!$B$5+U55*'Settings &amp; Rates'!$B$6+V55*'Settings &amp; Rates'!$B$7+W55*'Settings &amp; Rates'!$B$8+X55*'Settings &amp; Rates'!$B$9</x:f>
        <x:v>55</x:v>
      </x:c>
      <x:c r="AD55" s="18" t="n">
        <x:f>SUMIF('Attempt Log'!$B$2:$B$101,A55,'Attempt Log'!$K$2:$K$101)</x:f>
        <x:v>0</x:v>
      </x:c>
      <x:c r="AE55" s="18" t="n">
        <x:f>AD55-AC55</x:f>
        <x:v>-55</x:v>
      </x:c>
      <x:c r="AF55" t="n">
        <x:f>COUNTIF('Attempt Log'!$B$2:$B$101,A55)</x:f>
        <x:v>0</x:v>
      </x:c>
      <x:c r="AG55" t="n">
        <x:f>IFERROR(SUMIFS('Attempt Log'!$U$2:$U$101,'Attempt Log'!$B$2:$B$101,A55,'Attempt Log'!$N$2:$N$101,"Yes")/COUNTIFS('Attempt Log'!$B$2:$B$101,A55,'Attempt Log'!$N$2:$N$101,"Yes"),0)</x:f>
        <x:v>0</x:v>
      </x:c>
    </x:row>
    <x:row r="56">
      <x:c r="A56" t="str">
        <x:v>equipment_light_chest_t02_base</x:v>
      </x:c>
      <x:c r="B56" t="str">
        <x:v>Armadura Leve T2</x:v>
      </x:c>
      <x:c r="C56" t="str">
        <x:v>Light Chest Armor T2</x:v>
      </x:c>
      <x:c r="D56" t="str">
        <x:v>Task017</x:v>
      </x:c>
      <x:c r="E56" t="str">
        <x:v>Equipment</x:v>
      </x:c>
      <x:c r="F56" t="str">
        <x:v>Light Armor</x:v>
      </x:c>
      <x:c r="G56" t="str">
        <x:v>light_chest</x:v>
      </x:c>
      <x:c r="H56" t="str">
        <x:v>MVP</x:v>
      </x:c>
      <x:c r="I56" t="str">
        <x:v>P1</x:v>
      </x:c>
      <x:c r="J56" t="str">
        <x:v>B08_EQUIPMENT_T2</x:v>
      </x:c>
      <x:c r="K56" t="str">
        <x:v>Image to 3D</x:v>
      </x:c>
      <x:c r="L56" t="str">
        <x:v>Yes</x:v>
      </x:c>
      <x:c r="M56" t="n">
        <x:v>2800</x:v>
      </x:c>
      <x:c r="N56" t="str">
        <x:v>1024</x:v>
      </x:c>
      <x:c r="O56" t="str">
        <x:v>No</x:v>
      </x:c>
      <x:c r="P56" t="str">
        <x:v>None</x:v>
      </x:c>
      <x:c r="Q56" t="str">
        <x:v>Prompts/ConceptArt/equipment_light_chest_t02_base_concept_sheet.txt</x:v>
      </x:c>
      <x:c r="R56" t="str">
        <x:v>Prompts/Meshy/BaseGeometry/equipment_light_chest_t02_base_geometry.txt</x:v>
      </x:c>
      <x:c r="S56" t="str">
        <x:v>Prompts/TextureVariants/equipment_light_chest_t02_base_rarity_variants.txt</x:v>
      </x:c>
      <x:c r="T56" t="n">
        <x:v>2</x:v>
      </x:c>
      <x:c r="U56" t="n">
        <x:v>2</x:v>
      </x:c>
      <x:c r="V56" t="n">
        <x:v>1</x:v>
      </x:c>
      <x:c r="W56" t="n">
        <x:v>1</x:v>
      </x:c>
      <x:c r="X56" t="n">
        <x:v>0</x:v>
      </x:c>
      <x:c r="Y56" t="str">
        <x:v>readable at inventory scale; tier identity clear without UI; all six rarity variants preserve family; pivot and scale correct; no fragile geometry; URP PBR maps valid</x:v>
      </x:c>
      <x:c r="Z56" t="str">
        <x:v>Assets/_Game/Art/Equipment/LightArmor/light_chest/T2/Models</x:v>
      </x:c>
      <x:c r="AA56" t="str">
        <x:v>Not Started</x:v>
      </x:c>
      <x:c r="AB56" t="str">
        <x:v>Pending</x:v>
      </x:c>
      <x:c r="AC56" s="18" t="n">
        <x:f>T56*'Settings &amp; Rates'!$B$5+U56*'Settings &amp; Rates'!$B$6+V56*'Settings &amp; Rates'!$B$7+W56*'Settings &amp; Rates'!$B$8+X56*'Settings &amp; Rates'!$B$9</x:f>
        <x:v>55</x:v>
      </x:c>
      <x:c r="AD56" s="18" t="n">
        <x:f>SUMIF('Attempt Log'!$B$2:$B$101,A56,'Attempt Log'!$K$2:$K$101)</x:f>
        <x:v>0</x:v>
      </x:c>
      <x:c r="AE56" s="18" t="n">
        <x:f>AD56-AC56</x:f>
        <x:v>-55</x:v>
      </x:c>
      <x:c r="AF56" t="n">
        <x:f>COUNTIF('Attempt Log'!$B$2:$B$101,A56)</x:f>
        <x:v>0</x:v>
      </x:c>
      <x:c r="AG56" t="n">
        <x:f>IFERROR(SUMIFS('Attempt Log'!$U$2:$U$101,'Attempt Log'!$B$2:$B$101,A56,'Attempt Log'!$N$2:$N$101,"Yes")/COUNTIFS('Attempt Log'!$B$2:$B$101,A56,'Attempt Log'!$N$2:$N$101,"Yes"),0)</x:f>
        <x:v>0</x:v>
      </x:c>
    </x:row>
    <x:row r="57">
      <x:c r="A57" t="str">
        <x:v>equipment_light_gloves_t02_base</x:v>
      </x:c>
      <x:c r="B57" t="str">
        <x:v>Luvas Leves T2</x:v>
      </x:c>
      <x:c r="C57" t="str">
        <x:v>Light Gloves T2</x:v>
      </x:c>
      <x:c r="D57" t="str">
        <x:v>Task017</x:v>
      </x:c>
      <x:c r="E57" t="str">
        <x:v>Equipment</x:v>
      </x:c>
      <x:c r="F57" t="str">
        <x:v>Light Armor</x:v>
      </x:c>
      <x:c r="G57" t="str">
        <x:v>light_gloves</x:v>
      </x:c>
      <x:c r="H57" t="str">
        <x:v>MVP</x:v>
      </x:c>
      <x:c r="I57" t="str">
        <x:v>P1</x:v>
      </x:c>
      <x:c r="J57" t="str">
        <x:v>B08_EQUIPMENT_T2</x:v>
      </x:c>
      <x:c r="K57" t="str">
        <x:v>Image to 3D</x:v>
      </x:c>
      <x:c r="L57" t="str">
        <x:v>Yes</x:v>
      </x:c>
      <x:c r="M57" t="n">
        <x:v>1200</x:v>
      </x:c>
      <x:c r="N57" t="str">
        <x:v>1024</x:v>
      </x:c>
      <x:c r="O57" t="str">
        <x:v>No</x:v>
      </x:c>
      <x:c r="P57" t="str">
        <x:v>None</x:v>
      </x:c>
      <x:c r="Q57" t="str">
        <x:v>Prompts/ConceptArt/equipment_light_gloves_t02_base_concept_sheet.txt</x:v>
      </x:c>
      <x:c r="R57" t="str">
        <x:v>Prompts/Meshy/BaseGeometry/equipment_light_gloves_t02_base_geometry.txt</x:v>
      </x:c>
      <x:c r="S57" t="str">
        <x:v>Prompts/TextureVariants/equipment_light_gloves_t02_base_rarity_variants.txt</x:v>
      </x:c>
      <x:c r="T57" t="n">
        <x:v>2</x:v>
      </x:c>
      <x:c r="U57" t="n">
        <x:v>2</x:v>
      </x:c>
      <x:c r="V57" t="n">
        <x:v>1</x:v>
      </x:c>
      <x:c r="W57" t="n">
        <x:v>1</x:v>
      </x:c>
      <x:c r="X57" t="n">
        <x:v>0</x:v>
      </x:c>
      <x:c r="Y57" t="str">
        <x:v>readable at inventory scale; tier identity clear without UI; all six rarity variants preserve family; pivot and scale correct; no fragile geometry; URP PBR maps valid</x:v>
      </x:c>
      <x:c r="Z57" t="str">
        <x:v>Assets/_Game/Art/Equipment/LightArmor/light_gloves/T2/Models</x:v>
      </x:c>
      <x:c r="AA57" t="str">
        <x:v>Not Started</x:v>
      </x:c>
      <x:c r="AB57" t="str">
        <x:v>Pending</x:v>
      </x:c>
      <x:c r="AC57" s="18" t="n">
        <x:f>T57*'Settings &amp; Rates'!$B$5+U57*'Settings &amp; Rates'!$B$6+V57*'Settings &amp; Rates'!$B$7+W57*'Settings &amp; Rates'!$B$8+X57*'Settings &amp; Rates'!$B$9</x:f>
        <x:v>55</x:v>
      </x:c>
      <x:c r="AD57" s="18" t="n">
        <x:f>SUMIF('Attempt Log'!$B$2:$B$101,A57,'Attempt Log'!$K$2:$K$101)</x:f>
        <x:v>0</x:v>
      </x:c>
      <x:c r="AE57" s="18" t="n">
        <x:f>AD57-AC57</x:f>
        <x:v>-55</x:v>
      </x:c>
      <x:c r="AF57" t="n">
        <x:f>COUNTIF('Attempt Log'!$B$2:$B$101,A57)</x:f>
        <x:v>0</x:v>
      </x:c>
      <x:c r="AG57" t="n">
        <x:f>IFERROR(SUMIFS('Attempt Log'!$U$2:$U$101,'Attempt Log'!$B$2:$B$101,A57,'Attempt Log'!$N$2:$N$101,"Yes")/COUNTIFS('Attempt Log'!$B$2:$B$101,A57,'Attempt Log'!$N$2:$N$101,"Yes"),0)</x:f>
        <x:v>0</x:v>
      </x:c>
    </x:row>
    <x:row r="58">
      <x:c r="A58" t="str">
        <x:v>equipment_light_hood_t02_base</x:v>
      </x:c>
      <x:c r="B58" t="str">
        <x:v>Capuz Leve T2</x:v>
      </x:c>
      <x:c r="C58" t="str">
        <x:v>Light Hood T2</x:v>
      </x:c>
      <x:c r="D58" t="str">
        <x:v>Task017</x:v>
      </x:c>
      <x:c r="E58" t="str">
        <x:v>Equipment</x:v>
      </x:c>
      <x:c r="F58" t="str">
        <x:v>Light Armor</x:v>
      </x:c>
      <x:c r="G58" t="str">
        <x:v>light_hood</x:v>
      </x:c>
      <x:c r="H58" t="str">
        <x:v>MVP</x:v>
      </x:c>
      <x:c r="I58" t="str">
        <x:v>P1</x:v>
      </x:c>
      <x:c r="J58" t="str">
        <x:v>B08_EQUIPMENT_T2</x:v>
      </x:c>
      <x:c r="K58" t="str">
        <x:v>Image to 3D</x:v>
      </x:c>
      <x:c r="L58" t="str">
        <x:v>Yes</x:v>
      </x:c>
      <x:c r="M58" t="n">
        <x:v>1450</x:v>
      </x:c>
      <x:c r="N58" t="str">
        <x:v>1024</x:v>
      </x:c>
      <x:c r="O58" t="str">
        <x:v>No</x:v>
      </x:c>
      <x:c r="P58" t="str">
        <x:v>None</x:v>
      </x:c>
      <x:c r="Q58" t="str">
        <x:v>Prompts/ConceptArt/equipment_light_hood_t02_base_concept_sheet.txt</x:v>
      </x:c>
      <x:c r="R58" t="str">
        <x:v>Prompts/Meshy/BaseGeometry/equipment_light_hood_t02_base_geometry.txt</x:v>
      </x:c>
      <x:c r="S58" t="str">
        <x:v>Prompts/TextureVariants/equipment_light_hood_t02_base_rarity_variants.txt</x:v>
      </x:c>
      <x:c r="T58" t="n">
        <x:v>2</x:v>
      </x:c>
      <x:c r="U58" t="n">
        <x:v>2</x:v>
      </x:c>
      <x:c r="V58" t="n">
        <x:v>1</x:v>
      </x:c>
      <x:c r="W58" t="n">
        <x:v>1</x:v>
      </x:c>
      <x:c r="X58" t="n">
        <x:v>0</x:v>
      </x:c>
      <x:c r="Y58" t="str">
        <x:v>readable at inventory scale; tier identity clear without UI; all six rarity variants preserve family; pivot and scale correct; no fragile geometry; URP PBR maps valid</x:v>
      </x:c>
      <x:c r="Z58" t="str">
        <x:v>Assets/_Game/Art/Equipment/LightArmor/light_hood/T2/Models</x:v>
      </x:c>
      <x:c r="AA58" t="str">
        <x:v>Not Started</x:v>
      </x:c>
      <x:c r="AB58" t="str">
        <x:v>Pending</x:v>
      </x:c>
      <x:c r="AC58" s="18" t="n">
        <x:f>T58*'Settings &amp; Rates'!$B$5+U58*'Settings &amp; Rates'!$B$6+V58*'Settings &amp; Rates'!$B$7+W58*'Settings &amp; Rates'!$B$8+X58*'Settings &amp; Rates'!$B$9</x:f>
        <x:v>55</x:v>
      </x:c>
      <x:c r="AD58" s="18" t="n">
        <x:f>SUMIF('Attempt Log'!$B$2:$B$101,A58,'Attempt Log'!$K$2:$K$101)</x:f>
        <x:v>0</x:v>
      </x:c>
      <x:c r="AE58" s="18" t="n">
        <x:f>AD58-AC58</x:f>
        <x:v>-55</x:v>
      </x:c>
      <x:c r="AF58" t="n">
        <x:f>COUNTIF('Attempt Log'!$B$2:$B$101,A58)</x:f>
        <x:v>0</x:v>
      </x:c>
      <x:c r="AG58" t="n">
        <x:f>IFERROR(SUMIFS('Attempt Log'!$U$2:$U$101,'Attempt Log'!$B$2:$B$101,A58,'Attempt Log'!$N$2:$N$101,"Yes")/COUNTIFS('Attempt Log'!$B$2:$B$101,A58,'Attempt Log'!$N$2:$N$101,"Yes"),0)</x:f>
        <x:v>0</x:v>
      </x:c>
    </x:row>
    <x:row r="59">
      <x:c r="A59" t="str">
        <x:v>equipment_longbow_t02_base</x:v>
      </x:c>
      <x:c r="B59" t="str">
        <x:v>Arco Longo T2</x:v>
      </x:c>
      <x:c r="C59" t="str">
        <x:v>Longbow T2</x:v>
      </x:c>
      <x:c r="D59" t="str">
        <x:v>Task017</x:v>
      </x:c>
      <x:c r="E59" t="str">
        <x:v>Equipment</x:v>
      </x:c>
      <x:c r="F59" t="str">
        <x:v>Weapon</x:v>
      </x:c>
      <x:c r="G59" t="str">
        <x:v>longbow</x:v>
      </x:c>
      <x:c r="H59" t="str">
        <x:v>MVP</x:v>
      </x:c>
      <x:c r="I59" t="str">
        <x:v>P1</x:v>
      </x:c>
      <x:c r="J59" t="str">
        <x:v>B08_EQUIPMENT_T2</x:v>
      </x:c>
      <x:c r="K59" t="str">
        <x:v>Text to 3D</x:v>
      </x:c>
      <x:c r="L59" t="str">
        <x:v>Optional</x:v>
      </x:c>
      <x:c r="M59" t="n">
        <x:v>1700</x:v>
      </x:c>
      <x:c r="N59" t="str">
        <x:v>1024</x:v>
      </x:c>
      <x:c r="O59" t="str">
        <x:v>No</x:v>
      </x:c>
      <x:c r="P59" t="str">
        <x:v>None</x:v>
      </x:c>
      <x:c r="Q59" t="str">
        <x:v>Prompts/ConceptArt/equipment_longbow_t02_base_concept_sheet.txt</x:v>
      </x:c>
      <x:c r="R59" t="str">
        <x:v>Prompts/Meshy/BaseGeometry/equipment_longbow_t02_base_geometry.txt</x:v>
      </x:c>
      <x:c r="S59" t="str">
        <x:v>Prompts/TextureVariants/equipment_longbow_t02_base_rarity_variants.txt</x:v>
      </x:c>
      <x:c r="T59" t="n">
        <x:v>1</x:v>
      </x:c>
      <x:c r="U59" t="n">
        <x:v>2</x:v>
      </x:c>
      <x:c r="V59" t="n">
        <x:v>1</x:v>
      </x:c>
      <x:c r="W59" t="n">
        <x:v>1</x:v>
      </x:c>
      <x:c r="X59" t="n">
        <x:v>0</x:v>
      </x:c>
      <x:c r="Y59" t="str">
        <x:v>readable at inventory scale; tier identity clear without UI; all six rarity variants preserve family; pivot and scale correct; no fragile geometry; URP PBR maps valid</x:v>
      </x:c>
      <x:c r="Z59" t="str">
        <x:v>Assets/_Game/Art/Equipment/Weapon/longbow/T2/Models</x:v>
      </x:c>
      <x:c r="AA59" t="str">
        <x:v>Not Started</x:v>
      </x:c>
      <x:c r="AB59" t="str">
        <x:v>Pending</x:v>
      </x:c>
      <x:c r="AC59" s="18" t="n">
        <x:f>T59*'Settings &amp; Rates'!$B$5+U59*'Settings &amp; Rates'!$B$6+V59*'Settings &amp; Rates'!$B$7+W59*'Settings &amp; Rates'!$B$8+X59*'Settings &amp; Rates'!$B$9</x:f>
        <x:v>55</x:v>
      </x:c>
      <x:c r="AD59" s="18" t="n">
        <x:f>SUMIF('Attempt Log'!$B$2:$B$101,A59,'Attempt Log'!$K$2:$K$101)</x:f>
        <x:v>0</x:v>
      </x:c>
      <x:c r="AE59" s="18" t="n">
        <x:f>AD59-AC59</x:f>
        <x:v>-55</x:v>
      </x:c>
      <x:c r="AF59" t="n">
        <x:f>COUNTIF('Attempt Log'!$B$2:$B$101,A59)</x:f>
        <x:v>0</x:v>
      </x:c>
      <x:c r="AG59" t="n">
        <x:f>IFERROR(SUMIFS('Attempt Log'!$U$2:$U$101,'Attempt Log'!$B$2:$B$101,A59,'Attempt Log'!$N$2:$N$101,"Yes")/COUNTIFS('Attempt Log'!$B$2:$B$101,A59,'Attempt Log'!$N$2:$N$101,"Yes"),0)</x:f>
        <x:v>0</x:v>
      </x:c>
    </x:row>
    <x:row r="60">
      <x:c r="A60" t="str">
        <x:v>equipment_ring_t02_base</x:v>
      </x:c>
      <x:c r="B60" t="str">
        <x:v>Anel T2</x:v>
      </x:c>
      <x:c r="C60" t="str">
        <x:v>Ring T2</x:v>
      </x:c>
      <x:c r="D60" t="str">
        <x:v>Task017</x:v>
      </x:c>
      <x:c r="E60" t="str">
        <x:v>Equipment</x:v>
      </x:c>
      <x:c r="F60" t="str">
        <x:v>Accessory</x:v>
      </x:c>
      <x:c r="G60" t="str">
        <x:v>ring</x:v>
      </x:c>
      <x:c r="H60" t="str">
        <x:v>MVP</x:v>
      </x:c>
      <x:c r="I60" t="str">
        <x:v>P1</x:v>
      </x:c>
      <x:c r="J60" t="str">
        <x:v>B08_EQUIPMENT_T2</x:v>
      </x:c>
      <x:c r="K60" t="str">
        <x:v>Text to 3D</x:v>
      </x:c>
      <x:c r="L60" t="str">
        <x:v>Optional</x:v>
      </x:c>
      <x:c r="M60" t="n">
        <x:v>550</x:v>
      </x:c>
      <x:c r="N60" t="str">
        <x:v>512</x:v>
      </x:c>
      <x:c r="O60" t="str">
        <x:v>No</x:v>
      </x:c>
      <x:c r="P60" t="str">
        <x:v>None</x:v>
      </x:c>
      <x:c r="Q60" t="str">
        <x:v>Prompts/ConceptArt/equipment_ring_t02_base_concept_sheet.txt</x:v>
      </x:c>
      <x:c r="R60" t="str">
        <x:v>Prompts/Meshy/BaseGeometry/equipment_ring_t02_base_geometry.txt</x:v>
      </x:c>
      <x:c r="S60" t="str">
        <x:v>Prompts/TextureVariants/equipment_ring_t02_base_rarity_variants.txt</x:v>
      </x:c>
      <x:c r="T60" t="n">
        <x:v>1</x:v>
      </x:c>
      <x:c r="U60" t="n">
        <x:v>2</x:v>
      </x:c>
      <x:c r="V60" t="n">
        <x:v>1</x:v>
      </x:c>
      <x:c r="W60" t="n">
        <x:v>1</x:v>
      </x:c>
      <x:c r="X60" t="n">
        <x:v>0</x:v>
      </x:c>
      <x:c r="Y60" t="str">
        <x:v>readable at inventory scale; tier identity clear without UI; all six rarity variants preserve family; pivot and scale correct; no fragile geometry; URP PBR maps valid</x:v>
      </x:c>
      <x:c r="Z60" t="str">
        <x:v>Assets/_Game/Art/Equipment/Accessory/ring/T2/Models</x:v>
      </x:c>
      <x:c r="AA60" t="str">
        <x:v>Not Started</x:v>
      </x:c>
      <x:c r="AB60" t="str">
        <x:v>Pending</x:v>
      </x:c>
      <x:c r="AC60" s="18" t="n">
        <x:f>T60*'Settings &amp; Rates'!$B$5+U60*'Settings &amp; Rates'!$B$6+V60*'Settings &amp; Rates'!$B$7+W60*'Settings &amp; Rates'!$B$8+X60*'Settings &amp; Rates'!$B$9</x:f>
        <x:v>55</x:v>
      </x:c>
      <x:c r="AD60" s="18" t="n">
        <x:f>SUMIF('Attempt Log'!$B$2:$B$101,A60,'Attempt Log'!$K$2:$K$101)</x:f>
        <x:v>0</x:v>
      </x:c>
      <x:c r="AE60" s="18" t="n">
        <x:f>AD60-AC60</x:f>
        <x:v>-55</x:v>
      </x:c>
      <x:c r="AF60" t="n">
        <x:f>COUNTIF('Attempt Log'!$B$2:$B$101,A60)</x:f>
        <x:v>0</x:v>
      </x:c>
      <x:c r="AG60" t="n">
        <x:f>IFERROR(SUMIFS('Attempt Log'!$U$2:$U$101,'Attempt Log'!$B$2:$B$101,A60,'Attempt Log'!$N$2:$N$101,"Yes")/COUNTIFS('Attempt Log'!$B$2:$B$101,A60,'Attempt Log'!$N$2:$N$101,"Yes"),0)</x:f>
        <x:v>0</x:v>
      </x:c>
    </x:row>
    <x:row r="61">
      <x:c r="A61" t="str">
        <x:v>equipment_shield_t02_base</x:v>
      </x:c>
      <x:c r="B61" t="str">
        <x:v>Escudo T2</x:v>
      </x:c>
      <x:c r="C61" t="str">
        <x:v>Shield T2</x:v>
      </x:c>
      <x:c r="D61" t="str">
        <x:v>Task017</x:v>
      </x:c>
      <x:c r="E61" t="str">
        <x:v>Equipment</x:v>
      </x:c>
      <x:c r="F61" t="str">
        <x:v>Weapon</x:v>
      </x:c>
      <x:c r="G61" t="str">
        <x:v>shield</x:v>
      </x:c>
      <x:c r="H61" t="str">
        <x:v>MVP</x:v>
      </x:c>
      <x:c r="I61" t="str">
        <x:v>P1</x:v>
      </x:c>
      <x:c r="J61" t="str">
        <x:v>B08_EQUIPMENT_T2</x:v>
      </x:c>
      <x:c r="K61" t="str">
        <x:v>Text to 3D</x:v>
      </x:c>
      <x:c r="L61" t="str">
        <x:v>Optional</x:v>
      </x:c>
      <x:c r="M61" t="n">
        <x:v>2500</x:v>
      </x:c>
      <x:c r="N61" t="str">
        <x:v>1024</x:v>
      </x:c>
      <x:c r="O61" t="str">
        <x:v>No</x:v>
      </x:c>
      <x:c r="P61" t="str">
        <x:v>None</x:v>
      </x:c>
      <x:c r="Q61" t="str">
        <x:v>Prompts/ConceptArt/equipment_shield_t02_base_concept_sheet.txt</x:v>
      </x:c>
      <x:c r="R61" t="str">
        <x:v>Prompts/Meshy/BaseGeometry/equipment_shield_t02_base_geometry.txt</x:v>
      </x:c>
      <x:c r="S61" t="str">
        <x:v>Prompts/TextureVariants/equipment_shield_t02_base_rarity_variants.txt</x:v>
      </x:c>
      <x:c r="T61" t="n">
        <x:v>1</x:v>
      </x:c>
      <x:c r="U61" t="n">
        <x:v>2</x:v>
      </x:c>
      <x:c r="V61" t="n">
        <x:v>1</x:v>
      </x:c>
      <x:c r="W61" t="n">
        <x:v>1</x:v>
      </x:c>
      <x:c r="X61" t="n">
        <x:v>0</x:v>
      </x:c>
      <x:c r="Y61" t="str">
        <x:v>readable at inventory scale; tier identity clear without UI; all six rarity variants preserve family; pivot and scale correct; no fragile geometry; URP PBR maps valid</x:v>
      </x:c>
      <x:c r="Z61" t="str">
        <x:v>Assets/_Game/Art/Equipment/Weapon/shield/T2/Models</x:v>
      </x:c>
      <x:c r="AA61" t="str">
        <x:v>Not Started</x:v>
      </x:c>
      <x:c r="AB61" t="str">
        <x:v>Pending</x:v>
      </x:c>
      <x:c r="AC61" s="18" t="n">
        <x:f>T61*'Settings &amp; Rates'!$B$5+U61*'Settings &amp; Rates'!$B$6+V61*'Settings &amp; Rates'!$B$7+W61*'Settings &amp; Rates'!$B$8+X61*'Settings &amp; Rates'!$B$9</x:f>
        <x:v>55</x:v>
      </x:c>
      <x:c r="AD61" s="18" t="n">
        <x:f>SUMIF('Attempt Log'!$B$2:$B$101,A61,'Attempt Log'!$K$2:$K$101)</x:f>
        <x:v>0</x:v>
      </x:c>
      <x:c r="AE61" s="18" t="n">
        <x:f>AD61-AC61</x:f>
        <x:v>-55</x:v>
      </x:c>
      <x:c r="AF61" t="n">
        <x:f>COUNTIF('Attempt Log'!$B$2:$B$101,A61)</x:f>
        <x:v>0</x:v>
      </x:c>
      <x:c r="AG61" t="n">
        <x:f>IFERROR(SUMIFS('Attempt Log'!$U$2:$U$101,'Attempt Log'!$B$2:$B$101,A61,'Attempt Log'!$N$2:$N$101,"Yes")/COUNTIFS('Attempt Log'!$B$2:$B$101,A61,'Attempt Log'!$N$2:$N$101,"Yes"),0)</x:f>
        <x:v>0</x:v>
      </x:c>
    </x:row>
    <x:row r="62">
      <x:c r="A62" t="str">
        <x:v>equipment_staff_t02_base</x:v>
      </x:c>
      <x:c r="B62" t="str">
        <x:v>Cajado T2</x:v>
      </x:c>
      <x:c r="C62" t="str">
        <x:v>Staff T2</x:v>
      </x:c>
      <x:c r="D62" t="str">
        <x:v>Task017</x:v>
      </x:c>
      <x:c r="E62" t="str">
        <x:v>Equipment</x:v>
      </x:c>
      <x:c r="F62" t="str">
        <x:v>Weapon</x:v>
      </x:c>
      <x:c r="G62" t="str">
        <x:v>staff</x:v>
      </x:c>
      <x:c r="H62" t="str">
        <x:v>MVP</x:v>
      </x:c>
      <x:c r="I62" t="str">
        <x:v>P1</x:v>
      </x:c>
      <x:c r="J62" t="str">
        <x:v>B08_EQUIPMENT_T2</x:v>
      </x:c>
      <x:c r="K62" t="str">
        <x:v>Text to 3D</x:v>
      </x:c>
      <x:c r="L62" t="str">
        <x:v>Optional</x:v>
      </x:c>
      <x:c r="M62" t="n">
        <x:v>2400</x:v>
      </x:c>
      <x:c r="N62" t="str">
        <x:v>1024</x:v>
      </x:c>
      <x:c r="O62" t="str">
        <x:v>No</x:v>
      </x:c>
      <x:c r="P62" t="str">
        <x:v>None</x:v>
      </x:c>
      <x:c r="Q62" t="str">
        <x:v>Prompts/ConceptArt/equipment_staff_t02_base_concept_sheet.txt</x:v>
      </x:c>
      <x:c r="R62" t="str">
        <x:v>Prompts/Meshy/BaseGeometry/equipment_staff_t02_base_geometry.txt</x:v>
      </x:c>
      <x:c r="S62" t="str">
        <x:v>Prompts/TextureVariants/equipment_staff_t02_base_rarity_variants.txt</x:v>
      </x:c>
      <x:c r="T62" t="n">
        <x:v>1</x:v>
      </x:c>
      <x:c r="U62" t="n">
        <x:v>2</x:v>
      </x:c>
      <x:c r="V62" t="n">
        <x:v>1</x:v>
      </x:c>
      <x:c r="W62" t="n">
        <x:v>1</x:v>
      </x:c>
      <x:c r="X62" t="n">
        <x:v>0</x:v>
      </x:c>
      <x:c r="Y62" t="str">
        <x:v>readable at inventory scale; tier identity clear without UI; all six rarity variants preserve family; pivot and scale correct; no fragile geometry; URP PBR maps valid</x:v>
      </x:c>
      <x:c r="Z62" t="str">
        <x:v>Assets/_Game/Art/Equipment/Weapon/staff/T2/Models</x:v>
      </x:c>
      <x:c r="AA62" t="str">
        <x:v>Not Started</x:v>
      </x:c>
      <x:c r="AB62" t="str">
        <x:v>Pending</x:v>
      </x:c>
      <x:c r="AC62" s="18" t="n">
        <x:f>T62*'Settings &amp; Rates'!$B$5+U62*'Settings &amp; Rates'!$B$6+V62*'Settings &amp; Rates'!$B$7+W62*'Settings &amp; Rates'!$B$8+X62*'Settings &amp; Rates'!$B$9</x:f>
        <x:v>55</x:v>
      </x:c>
      <x:c r="AD62" s="18" t="n">
        <x:f>SUMIF('Attempt Log'!$B$2:$B$101,A62,'Attempt Log'!$K$2:$K$101)</x:f>
        <x:v>0</x:v>
      </x:c>
      <x:c r="AE62" s="18" t="n">
        <x:f>AD62-AC62</x:f>
        <x:v>-55</x:v>
      </x:c>
      <x:c r="AF62" t="n">
        <x:f>COUNTIF('Attempt Log'!$B$2:$B$101,A62)</x:f>
        <x:v>0</x:v>
      </x:c>
      <x:c r="AG62" t="n">
        <x:f>IFERROR(SUMIFS('Attempt Log'!$U$2:$U$101,'Attempt Log'!$B$2:$B$101,A62,'Attempt Log'!$N$2:$N$101,"Yes")/COUNTIFS('Attempt Log'!$B$2:$B$101,A62,'Attempt Log'!$N$2:$N$101,"Yes"),0)</x:f>
        <x:v>0</x:v>
      </x:c>
    </x:row>
    <x:row r="63">
      <x:c r="A63" t="str">
        <x:v>equipment_sword_1h_t02_base</x:v>
      </x:c>
      <x:c r="B63" t="str">
        <x:v>Espada de Uma Mão T2</x:v>
      </x:c>
      <x:c r="C63" t="str">
        <x:v>One-Handed Sword T2</x:v>
      </x:c>
      <x:c r="D63" t="str">
        <x:v>Task017</x:v>
      </x:c>
      <x:c r="E63" t="str">
        <x:v>Equipment</x:v>
      </x:c>
      <x:c r="F63" t="str">
        <x:v>Weapon</x:v>
      </x:c>
      <x:c r="G63" t="str">
        <x:v>sword_1h</x:v>
      </x:c>
      <x:c r="H63" t="str">
        <x:v>MVP</x:v>
      </x:c>
      <x:c r="I63" t="str">
        <x:v>P1</x:v>
      </x:c>
      <x:c r="J63" t="str">
        <x:v>B08_EQUIPMENT_T2</x:v>
      </x:c>
      <x:c r="K63" t="str">
        <x:v>Text to 3D</x:v>
      </x:c>
      <x:c r="L63" t="str">
        <x:v>Optional</x:v>
      </x:c>
      <x:c r="M63" t="n">
        <x:v>2000</x:v>
      </x:c>
      <x:c r="N63" t="str">
        <x:v>1024</x:v>
      </x:c>
      <x:c r="O63" t="str">
        <x:v>No</x:v>
      </x:c>
      <x:c r="P63" t="str">
        <x:v>None</x:v>
      </x:c>
      <x:c r="Q63" t="str">
        <x:v>Prompts/ConceptArt/equipment_sword_1h_t02_base_concept_sheet.txt</x:v>
      </x:c>
      <x:c r="R63" t="str">
        <x:v>Prompts/Meshy/BaseGeometry/equipment_sword_1h_t02_base_geometry.txt</x:v>
      </x:c>
      <x:c r="S63" t="str">
        <x:v>Prompts/TextureVariants/equipment_sword_1h_t02_base_rarity_variants.txt</x:v>
      </x:c>
      <x:c r="T63" t="n">
        <x:v>1</x:v>
      </x:c>
      <x:c r="U63" t="n">
        <x:v>2</x:v>
      </x:c>
      <x:c r="V63" t="n">
        <x:v>1</x:v>
      </x:c>
      <x:c r="W63" t="n">
        <x:v>1</x:v>
      </x:c>
      <x:c r="X63" t="n">
        <x:v>0</x:v>
      </x:c>
      <x:c r="Y63" t="str">
        <x:v>readable at inventory scale; tier identity clear without UI; all six rarity variants preserve family; pivot and scale correct; no fragile geometry; URP PBR maps valid</x:v>
      </x:c>
      <x:c r="Z63" t="str">
        <x:v>Assets/_Game/Art/Equipment/Weapon/sword_1h/T2/Models</x:v>
      </x:c>
      <x:c r="AA63" t="str">
        <x:v>Not Started</x:v>
      </x:c>
      <x:c r="AB63" t="str">
        <x:v>Pending</x:v>
      </x:c>
      <x:c r="AC63" s="18" t="n">
        <x:f>T63*'Settings &amp; Rates'!$B$5+U63*'Settings &amp; Rates'!$B$6+V63*'Settings &amp; Rates'!$B$7+W63*'Settings &amp; Rates'!$B$8+X63*'Settings &amp; Rates'!$B$9</x:f>
        <x:v>55</x:v>
      </x:c>
      <x:c r="AD63" s="18" t="n">
        <x:f>SUMIF('Attempt Log'!$B$2:$B$101,A63,'Attempt Log'!$K$2:$K$101)</x:f>
        <x:v>0</x:v>
      </x:c>
      <x:c r="AE63" s="18" t="n">
        <x:f>AD63-AC63</x:f>
        <x:v>-55</x:v>
      </x:c>
      <x:c r="AF63" t="n">
        <x:f>COUNTIF('Attempt Log'!$B$2:$B$101,A63)</x:f>
        <x:v>0</x:v>
      </x:c>
      <x:c r="AG63" t="n">
        <x:f>IFERROR(SUMIFS('Attempt Log'!$U$2:$U$101,'Attempt Log'!$B$2:$B$101,A63,'Attempt Log'!$N$2:$N$101,"Yes")/COUNTIFS('Attempt Log'!$B$2:$B$101,A63,'Attempt Log'!$N$2:$N$101,"Yes"),0)</x:f>
        <x:v>0</x:v>
      </x:c>
    </x:row>
    <x:row r="64">
      <x:c r="A64" t="str">
        <x:v>equipment_amulet_t03_base</x:v>
      </x:c>
      <x:c r="B64" t="str">
        <x:v>Amuleto T3</x:v>
      </x:c>
      <x:c r="C64" t="str">
        <x:v>Amulet T3</x:v>
      </x:c>
      <x:c r="D64" t="str">
        <x:v>Task017</x:v>
      </x:c>
      <x:c r="E64" t="str">
        <x:v>Equipment</x:v>
      </x:c>
      <x:c r="F64" t="str">
        <x:v>Accessory</x:v>
      </x:c>
      <x:c r="G64" t="str">
        <x:v>amulet</x:v>
      </x:c>
      <x:c r="H64" t="str">
        <x:v>MVP</x:v>
      </x:c>
      <x:c r="I64" t="str">
        <x:v>P1</x:v>
      </x:c>
      <x:c r="J64" t="str">
        <x:v>B09_EQUIPMENT_T3</x:v>
      </x:c>
      <x:c r="K64" t="str">
        <x:v>Text to 3D</x:v>
      </x:c>
      <x:c r="L64" t="str">
        <x:v>Optional</x:v>
      </x:c>
      <x:c r="M64" t="n">
        <x:v>900</x:v>
      </x:c>
      <x:c r="N64" t="str">
        <x:v>512</x:v>
      </x:c>
      <x:c r="O64" t="str">
        <x:v>No</x:v>
      </x:c>
      <x:c r="P64" t="str">
        <x:v>None</x:v>
      </x:c>
      <x:c r="Q64" t="str">
        <x:v>Prompts/ConceptArt/equipment_amulet_t03_base_concept_sheet.txt</x:v>
      </x:c>
      <x:c r="R64" t="str">
        <x:v>Prompts/Meshy/BaseGeometry/equipment_amulet_t03_base_geometry.txt</x:v>
      </x:c>
      <x:c r="S64" t="str">
        <x:v>Prompts/TextureVariants/equipment_amulet_t03_base_rarity_variants.txt</x:v>
      </x:c>
      <x:c r="T64" t="n">
        <x:v>1</x:v>
      </x:c>
      <x:c r="U64" t="n">
        <x:v>2</x:v>
      </x:c>
      <x:c r="V64" t="n">
        <x:v>1</x:v>
      </x:c>
      <x:c r="W64" t="n">
        <x:v>1</x:v>
      </x:c>
      <x:c r="X64" t="n">
        <x:v>0</x:v>
      </x:c>
      <x:c r="Y64" t="str">
        <x:v>readable at inventory scale; tier identity clear without UI; all six rarity variants preserve family; pivot and scale correct; no fragile geometry; URP PBR maps valid</x:v>
      </x:c>
      <x:c r="Z64" t="str">
        <x:v>Assets/_Game/Art/Equipment/Accessory/amulet/T3/Models</x:v>
      </x:c>
      <x:c r="AA64" t="str">
        <x:v>Not Started</x:v>
      </x:c>
      <x:c r="AB64" t="str">
        <x:v>Pending</x:v>
      </x:c>
      <x:c r="AC64" s="18" t="n">
        <x:f>T64*'Settings &amp; Rates'!$B$5+U64*'Settings &amp; Rates'!$B$6+V64*'Settings &amp; Rates'!$B$7+W64*'Settings &amp; Rates'!$B$8+X64*'Settings &amp; Rates'!$B$9</x:f>
        <x:v>55</x:v>
      </x:c>
      <x:c r="AD64" s="18" t="n">
        <x:f>SUMIF('Attempt Log'!$B$2:$B$101,A64,'Attempt Log'!$K$2:$K$101)</x:f>
        <x:v>0</x:v>
      </x:c>
      <x:c r="AE64" s="18" t="n">
        <x:f>AD64-AC64</x:f>
        <x:v>-55</x:v>
      </x:c>
      <x:c r="AF64" t="n">
        <x:f>COUNTIF('Attempt Log'!$B$2:$B$101,A64)</x:f>
        <x:v>0</x:v>
      </x:c>
      <x:c r="AG64" t="n">
        <x:f>IFERROR(SUMIFS('Attempt Log'!$U$2:$U$101,'Attempt Log'!$B$2:$B$101,A64,'Attempt Log'!$N$2:$N$101,"Yes")/COUNTIFS('Attempt Log'!$B$2:$B$101,A64,'Attempt Log'!$N$2:$N$101,"Yes"),0)</x:f>
        <x:v>0</x:v>
      </x:c>
    </x:row>
    <x:row r="65">
      <x:c r="A65" t="str">
        <x:v>equipment_cloth_boots_t03_base</x:v>
      </x:c>
      <x:c r="B65" t="str">
        <x:v>Botas Arcanas T3</x:v>
      </x:c>
      <x:c r="C65" t="str">
        <x:v>Arcane Boots T3</x:v>
      </x:c>
      <x:c r="D65" t="str">
        <x:v>Task017</x:v>
      </x:c>
      <x:c r="E65" t="str">
        <x:v>Equipment</x:v>
      </x:c>
      <x:c r="F65" t="str">
        <x:v>Cloth Armor</x:v>
      </x:c>
      <x:c r="G65" t="str">
        <x:v>cloth_boots</x:v>
      </x:c>
      <x:c r="H65" t="str">
        <x:v>MVP</x:v>
      </x:c>
      <x:c r="I65" t="str">
        <x:v>P1</x:v>
      </x:c>
      <x:c r="J65" t="str">
        <x:v>B09_EQUIPMENT_T3</x:v>
      </x:c>
      <x:c r="K65" t="str">
        <x:v>Image to 3D</x:v>
      </x:c>
      <x:c r="L65" t="str">
        <x:v>Yes</x:v>
      </x:c>
      <x:c r="M65" t="n">
        <x:v>1450</x:v>
      </x:c>
      <x:c r="N65" t="str">
        <x:v>1024</x:v>
      </x:c>
      <x:c r="O65" t="str">
        <x:v>No</x:v>
      </x:c>
      <x:c r="P65" t="str">
        <x:v>None</x:v>
      </x:c>
      <x:c r="Q65" t="str">
        <x:v>Prompts/ConceptArt/equipment_cloth_boots_t03_base_concept_sheet.txt</x:v>
      </x:c>
      <x:c r="R65" t="str">
        <x:v>Prompts/Meshy/BaseGeometry/equipment_cloth_boots_t03_base_geometry.txt</x:v>
      </x:c>
      <x:c r="S65" t="str">
        <x:v>Prompts/TextureVariants/equipment_cloth_boots_t03_base_rarity_variants.txt</x:v>
      </x:c>
      <x:c r="T65" t="n">
        <x:v>2</x:v>
      </x:c>
      <x:c r="U65" t="n">
        <x:v>2</x:v>
      </x:c>
      <x:c r="V65" t="n">
        <x:v>1</x:v>
      </x:c>
      <x:c r="W65" t="n">
        <x:v>1</x:v>
      </x:c>
      <x:c r="X65" t="n">
        <x:v>0</x:v>
      </x:c>
      <x:c r="Y65" t="str">
        <x:v>readable at inventory scale; tier identity clear without UI; all six rarity variants preserve family; pivot and scale correct; no fragile geometry; URP PBR maps valid</x:v>
      </x:c>
      <x:c r="Z65" t="str">
        <x:v>Assets/_Game/Art/Equipment/ClothArmor/cloth_boots/T3/Models</x:v>
      </x:c>
      <x:c r="AA65" t="str">
        <x:v>Not Started</x:v>
      </x:c>
      <x:c r="AB65" t="str">
        <x:v>Pending</x:v>
      </x:c>
      <x:c r="AC65" s="18" t="n">
        <x:f>T65*'Settings &amp; Rates'!$B$5+U65*'Settings &amp; Rates'!$B$6+V65*'Settings &amp; Rates'!$B$7+W65*'Settings &amp; Rates'!$B$8+X65*'Settings &amp; Rates'!$B$9</x:f>
        <x:v>55</x:v>
      </x:c>
      <x:c r="AD65" s="18" t="n">
        <x:f>SUMIF('Attempt Log'!$B$2:$B$101,A65,'Attempt Log'!$K$2:$K$101)</x:f>
        <x:v>0</x:v>
      </x:c>
      <x:c r="AE65" s="18" t="n">
        <x:f>AD65-AC65</x:f>
        <x:v>-55</x:v>
      </x:c>
      <x:c r="AF65" t="n">
        <x:f>COUNTIF('Attempt Log'!$B$2:$B$101,A65)</x:f>
        <x:v>0</x:v>
      </x:c>
      <x:c r="AG65" t="n">
        <x:f>IFERROR(SUMIFS('Attempt Log'!$U$2:$U$101,'Attempt Log'!$B$2:$B$101,A65,'Attempt Log'!$N$2:$N$101,"Yes")/COUNTIFS('Attempt Log'!$B$2:$B$101,A65,'Attempt Log'!$N$2:$N$101,"Yes"),0)</x:f>
        <x:v>0</x:v>
      </x:c>
    </x:row>
    <x:row r="66">
      <x:c r="A66" t="str">
        <x:v>equipment_cloth_gloves_t03_base</x:v>
      </x:c>
      <x:c r="B66" t="str">
        <x:v>Luvas Arcanas T3</x:v>
      </x:c>
      <x:c r="C66" t="str">
        <x:v>Arcane Gloves T3</x:v>
      </x:c>
      <x:c r="D66" t="str">
        <x:v>Task017</x:v>
      </x:c>
      <x:c r="E66" t="str">
        <x:v>Equipment</x:v>
      </x:c>
      <x:c r="F66" t="str">
        <x:v>Cloth Armor</x:v>
      </x:c>
      <x:c r="G66" t="str">
        <x:v>cloth_gloves</x:v>
      </x:c>
      <x:c r="H66" t="str">
        <x:v>MVP</x:v>
      </x:c>
      <x:c r="I66" t="str">
        <x:v>P1</x:v>
      </x:c>
      <x:c r="J66" t="str">
        <x:v>B09_EQUIPMENT_T3</x:v>
      </x:c>
      <x:c r="K66" t="str">
        <x:v>Image to 3D</x:v>
      </x:c>
      <x:c r="L66" t="str">
        <x:v>Yes</x:v>
      </x:c>
      <x:c r="M66" t="n">
        <x:v>1200</x:v>
      </x:c>
      <x:c r="N66" t="str">
        <x:v>1024</x:v>
      </x:c>
      <x:c r="O66" t="str">
        <x:v>No</x:v>
      </x:c>
      <x:c r="P66" t="str">
        <x:v>None</x:v>
      </x:c>
      <x:c r="Q66" t="str">
        <x:v>Prompts/ConceptArt/equipment_cloth_gloves_t03_base_concept_sheet.txt</x:v>
      </x:c>
      <x:c r="R66" t="str">
        <x:v>Prompts/Meshy/BaseGeometry/equipment_cloth_gloves_t03_base_geometry.txt</x:v>
      </x:c>
      <x:c r="S66" t="str">
        <x:v>Prompts/TextureVariants/equipment_cloth_gloves_t03_base_rarity_variants.txt</x:v>
      </x:c>
      <x:c r="T66" t="n">
        <x:v>2</x:v>
      </x:c>
      <x:c r="U66" t="n">
        <x:v>2</x:v>
      </x:c>
      <x:c r="V66" t="n">
        <x:v>1</x:v>
      </x:c>
      <x:c r="W66" t="n">
        <x:v>1</x:v>
      </x:c>
      <x:c r="X66" t="n">
        <x:v>0</x:v>
      </x:c>
      <x:c r="Y66" t="str">
        <x:v>readable at inventory scale; tier identity clear without UI; all six rarity variants preserve family; pivot and scale correct; no fragile geometry; URP PBR maps valid</x:v>
      </x:c>
      <x:c r="Z66" t="str">
        <x:v>Assets/_Game/Art/Equipment/ClothArmor/cloth_gloves/T3/Models</x:v>
      </x:c>
      <x:c r="AA66" t="str">
        <x:v>Not Started</x:v>
      </x:c>
      <x:c r="AB66" t="str">
        <x:v>Pending</x:v>
      </x:c>
      <x:c r="AC66" s="18" t="n">
        <x:f>T66*'Settings &amp; Rates'!$B$5+U66*'Settings &amp; Rates'!$B$6+V66*'Settings &amp; Rates'!$B$7+W66*'Settings &amp; Rates'!$B$8+X66*'Settings &amp; Rates'!$B$9</x:f>
        <x:v>55</x:v>
      </x:c>
      <x:c r="AD66" s="18" t="n">
        <x:f>SUMIF('Attempt Log'!$B$2:$B$101,A66,'Attempt Log'!$K$2:$K$101)</x:f>
        <x:v>0</x:v>
      </x:c>
      <x:c r="AE66" s="18" t="n">
        <x:f>AD66-AC66</x:f>
        <x:v>-55</x:v>
      </x:c>
      <x:c r="AF66" t="n">
        <x:f>COUNTIF('Attempt Log'!$B$2:$B$101,A66)</x:f>
        <x:v>0</x:v>
      </x:c>
      <x:c r="AG66" t="n">
        <x:f>IFERROR(SUMIFS('Attempt Log'!$U$2:$U$101,'Attempt Log'!$B$2:$B$101,A66,'Attempt Log'!$N$2:$N$101,"Yes")/COUNTIFS('Attempt Log'!$B$2:$B$101,A66,'Attempt Log'!$N$2:$N$101,"Yes"),0)</x:f>
        <x:v>0</x:v>
      </x:c>
    </x:row>
    <x:row r="67">
      <x:c r="A67" t="str">
        <x:v>equipment_cloth_hood_t03_base</x:v>
      </x:c>
      <x:c r="B67" t="str">
        <x:v>Capuz Arcano T3</x:v>
      </x:c>
      <x:c r="C67" t="str">
        <x:v>Arcane Hood T3</x:v>
      </x:c>
      <x:c r="D67" t="str">
        <x:v>Task017</x:v>
      </x:c>
      <x:c r="E67" t="str">
        <x:v>Equipment</x:v>
      </x:c>
      <x:c r="F67" t="str">
        <x:v>Cloth Armor</x:v>
      </x:c>
      <x:c r="G67" t="str">
        <x:v>cloth_hood</x:v>
      </x:c>
      <x:c r="H67" t="str">
        <x:v>MVP</x:v>
      </x:c>
      <x:c r="I67" t="str">
        <x:v>P1</x:v>
      </x:c>
      <x:c r="J67" t="str">
        <x:v>B09_EQUIPMENT_T3</x:v>
      </x:c>
      <x:c r="K67" t="str">
        <x:v>Image to 3D</x:v>
      </x:c>
      <x:c r="L67" t="str">
        <x:v>Yes</x:v>
      </x:c>
      <x:c r="M67" t="n">
        <x:v>1500</x:v>
      </x:c>
      <x:c r="N67" t="str">
        <x:v>1024</x:v>
      </x:c>
      <x:c r="O67" t="str">
        <x:v>No</x:v>
      </x:c>
      <x:c r="P67" t="str">
        <x:v>None</x:v>
      </x:c>
      <x:c r="Q67" t="str">
        <x:v>Prompts/ConceptArt/equipment_cloth_hood_t03_base_concept_sheet.txt</x:v>
      </x:c>
      <x:c r="R67" t="str">
        <x:v>Prompts/Meshy/BaseGeometry/equipment_cloth_hood_t03_base_geometry.txt</x:v>
      </x:c>
      <x:c r="S67" t="str">
        <x:v>Prompts/TextureVariants/equipment_cloth_hood_t03_base_rarity_variants.txt</x:v>
      </x:c>
      <x:c r="T67" t="n">
        <x:v>2</x:v>
      </x:c>
      <x:c r="U67" t="n">
        <x:v>2</x:v>
      </x:c>
      <x:c r="V67" t="n">
        <x:v>1</x:v>
      </x:c>
      <x:c r="W67" t="n">
        <x:v>1</x:v>
      </x:c>
      <x:c r="X67" t="n">
        <x:v>0</x:v>
      </x:c>
      <x:c r="Y67" t="str">
        <x:v>readable at inventory scale; tier identity clear without UI; all six rarity variants preserve family; pivot and scale correct; no fragile geometry; URP PBR maps valid</x:v>
      </x:c>
      <x:c r="Z67" t="str">
        <x:v>Assets/_Game/Art/Equipment/ClothArmor/cloth_hood/T3/Models</x:v>
      </x:c>
      <x:c r="AA67" t="str">
        <x:v>Not Started</x:v>
      </x:c>
      <x:c r="AB67" t="str">
        <x:v>Pending</x:v>
      </x:c>
      <x:c r="AC67" s="18" t="n">
        <x:f>T67*'Settings &amp; Rates'!$B$5+U67*'Settings &amp; Rates'!$B$6+V67*'Settings &amp; Rates'!$B$7+W67*'Settings &amp; Rates'!$B$8+X67*'Settings &amp; Rates'!$B$9</x:f>
        <x:v>55</x:v>
      </x:c>
      <x:c r="AD67" s="18" t="n">
        <x:f>SUMIF('Attempt Log'!$B$2:$B$101,A67,'Attempt Log'!$K$2:$K$101)</x:f>
        <x:v>0</x:v>
      </x:c>
      <x:c r="AE67" s="18" t="n">
        <x:f>AD67-AC67</x:f>
        <x:v>-55</x:v>
      </x:c>
      <x:c r="AF67" t="n">
        <x:f>COUNTIF('Attempt Log'!$B$2:$B$101,A67)</x:f>
        <x:v>0</x:v>
      </x:c>
      <x:c r="AG67" t="n">
        <x:f>IFERROR(SUMIFS('Attempt Log'!$U$2:$U$101,'Attempt Log'!$B$2:$B$101,A67,'Attempt Log'!$N$2:$N$101,"Yes")/COUNTIFS('Attempt Log'!$B$2:$B$101,A67,'Attempt Log'!$N$2:$N$101,"Yes"),0)</x:f>
        <x:v>0</x:v>
      </x:c>
    </x:row>
    <x:row r="68">
      <x:c r="A68" t="str">
        <x:v>equipment_cloth_robe_t03_base</x:v>
      </x:c>
      <x:c r="B68" t="str">
        <x:v>Manto Arcano T3</x:v>
      </x:c>
      <x:c r="C68" t="str">
        <x:v>Arcane Robe T3</x:v>
      </x:c>
      <x:c r="D68" t="str">
        <x:v>Task017</x:v>
      </x:c>
      <x:c r="E68" t="str">
        <x:v>Equipment</x:v>
      </x:c>
      <x:c r="F68" t="str">
        <x:v>Cloth Armor</x:v>
      </x:c>
      <x:c r="G68" t="str">
        <x:v>cloth_robe</x:v>
      </x:c>
      <x:c r="H68" t="str">
        <x:v>MVP</x:v>
      </x:c>
      <x:c r="I68" t="str">
        <x:v>P1</x:v>
      </x:c>
      <x:c r="J68" t="str">
        <x:v>B09_EQUIPMENT_T3</x:v>
      </x:c>
      <x:c r="K68" t="str">
        <x:v>Image to 3D</x:v>
      </x:c>
      <x:c r="L68" t="str">
        <x:v>Yes</x:v>
      </x:c>
      <x:c r="M68" t="n">
        <x:v>3350</x:v>
      </x:c>
      <x:c r="N68" t="str">
        <x:v>1024</x:v>
      </x:c>
      <x:c r="O68" t="str">
        <x:v>No</x:v>
      </x:c>
      <x:c r="P68" t="str">
        <x:v>None</x:v>
      </x:c>
      <x:c r="Q68" t="str">
        <x:v>Prompts/ConceptArt/equipment_cloth_robe_t03_base_concept_sheet.txt</x:v>
      </x:c>
      <x:c r="R68" t="str">
        <x:v>Prompts/Meshy/BaseGeometry/equipment_cloth_robe_t03_base_geometry.txt</x:v>
      </x:c>
      <x:c r="S68" t="str">
        <x:v>Prompts/TextureVariants/equipment_cloth_robe_t03_base_rarity_variants.txt</x:v>
      </x:c>
      <x:c r="T68" t="n">
        <x:v>2</x:v>
      </x:c>
      <x:c r="U68" t="n">
        <x:v>2</x:v>
      </x:c>
      <x:c r="V68" t="n">
        <x:v>1</x:v>
      </x:c>
      <x:c r="W68" t="n">
        <x:v>1</x:v>
      </x:c>
      <x:c r="X68" t="n">
        <x:v>0</x:v>
      </x:c>
      <x:c r="Y68" t="str">
        <x:v>readable at inventory scale; tier identity clear without UI; all six rarity variants preserve family; pivot and scale correct; no fragile geometry; URP PBR maps valid</x:v>
      </x:c>
      <x:c r="Z68" t="str">
        <x:v>Assets/_Game/Art/Equipment/ClothArmor/cloth_robe/T3/Models</x:v>
      </x:c>
      <x:c r="AA68" t="str">
        <x:v>Not Started</x:v>
      </x:c>
      <x:c r="AB68" t="str">
        <x:v>Pending</x:v>
      </x:c>
      <x:c r="AC68" s="18" t="n">
        <x:f>T68*'Settings &amp; Rates'!$B$5+U68*'Settings &amp; Rates'!$B$6+V68*'Settings &amp; Rates'!$B$7+W68*'Settings &amp; Rates'!$B$8+X68*'Settings &amp; Rates'!$B$9</x:f>
        <x:v>55</x:v>
      </x:c>
      <x:c r="AD68" s="18" t="n">
        <x:f>SUMIF('Attempt Log'!$B$2:$B$101,A68,'Attempt Log'!$K$2:$K$101)</x:f>
        <x:v>0</x:v>
      </x:c>
      <x:c r="AE68" s="18" t="n">
        <x:f>AD68-AC68</x:f>
        <x:v>-55</x:v>
      </x:c>
      <x:c r="AF68" t="n">
        <x:f>COUNTIF('Attempt Log'!$B$2:$B$101,A68)</x:f>
        <x:v>0</x:v>
      </x:c>
      <x:c r="AG68" t="n">
        <x:f>IFERROR(SUMIFS('Attempt Log'!$U$2:$U$101,'Attempt Log'!$B$2:$B$101,A68,'Attempt Log'!$N$2:$N$101,"Yes")/COUNTIFS('Attempt Log'!$B$2:$B$101,A68,'Attempt Log'!$N$2:$N$101,"Yes"),0)</x:f>
        <x:v>0</x:v>
      </x:c>
    </x:row>
    <x:row r="69">
      <x:c r="A69" t="str">
        <x:v>equipment_heavy_boots_t03_base</x:v>
      </x:c>
      <x:c r="B69" t="str">
        <x:v>Botas Pesadas T3</x:v>
      </x:c>
      <x:c r="C69" t="str">
        <x:v>Heavy Boots T3</x:v>
      </x:c>
      <x:c r="D69" t="str">
        <x:v>Task017</x:v>
      </x:c>
      <x:c r="E69" t="str">
        <x:v>Equipment</x:v>
      </x:c>
      <x:c r="F69" t="str">
        <x:v>Heavy Armor</x:v>
      </x:c>
      <x:c r="G69" t="str">
        <x:v>heavy_boots</x:v>
      </x:c>
      <x:c r="H69" t="str">
        <x:v>MVP</x:v>
      </x:c>
      <x:c r="I69" t="str">
        <x:v>P1</x:v>
      </x:c>
      <x:c r="J69" t="str">
        <x:v>B09_EQUIPMENT_T3</x:v>
      </x:c>
      <x:c r="K69" t="str">
        <x:v>Image to 3D</x:v>
      </x:c>
      <x:c r="L69" t="str">
        <x:v>Yes</x:v>
      </x:c>
      <x:c r="M69" t="n">
        <x:v>1750</x:v>
      </x:c>
      <x:c r="N69" t="str">
        <x:v>1024</x:v>
      </x:c>
      <x:c r="O69" t="str">
        <x:v>No</x:v>
      </x:c>
      <x:c r="P69" t="str">
        <x:v>None</x:v>
      </x:c>
      <x:c r="Q69" t="str">
        <x:v>Prompts/ConceptArt/equipment_heavy_boots_t03_base_concept_sheet.txt</x:v>
      </x:c>
      <x:c r="R69" t="str">
        <x:v>Prompts/Meshy/BaseGeometry/equipment_heavy_boots_t03_base_geometry.txt</x:v>
      </x:c>
      <x:c r="S69" t="str">
        <x:v>Prompts/TextureVariants/equipment_heavy_boots_t03_base_rarity_variants.txt</x:v>
      </x:c>
      <x:c r="T69" t="n">
        <x:v>2</x:v>
      </x:c>
      <x:c r="U69" t="n">
        <x:v>2</x:v>
      </x:c>
      <x:c r="V69" t="n">
        <x:v>1</x:v>
      </x:c>
      <x:c r="W69" t="n">
        <x:v>1</x:v>
      </x:c>
      <x:c r="X69" t="n">
        <x:v>0</x:v>
      </x:c>
      <x:c r="Y69" t="str">
        <x:v>readable at inventory scale; tier identity clear without UI; all six rarity variants preserve family; pivot and scale correct; no fragile geometry; URP PBR maps valid</x:v>
      </x:c>
      <x:c r="Z69" t="str">
        <x:v>Assets/_Game/Art/Equipment/HeavyArmor/heavy_boots/T3/Models</x:v>
      </x:c>
      <x:c r="AA69" t="str">
        <x:v>Not Started</x:v>
      </x:c>
      <x:c r="AB69" t="str">
        <x:v>Pending</x:v>
      </x:c>
      <x:c r="AC69" s="18" t="n">
        <x:f>T69*'Settings &amp; Rates'!$B$5+U69*'Settings &amp; Rates'!$B$6+V69*'Settings &amp; Rates'!$B$7+W69*'Settings &amp; Rates'!$B$8+X69*'Settings &amp; Rates'!$B$9</x:f>
        <x:v>55</x:v>
      </x:c>
      <x:c r="AD69" s="18" t="n">
        <x:f>SUMIF('Attempt Log'!$B$2:$B$101,A69,'Attempt Log'!$K$2:$K$101)</x:f>
        <x:v>0</x:v>
      </x:c>
      <x:c r="AE69" s="18" t="n">
        <x:f>AD69-AC69</x:f>
        <x:v>-55</x:v>
      </x:c>
      <x:c r="AF69" t="n">
        <x:f>COUNTIF('Attempt Log'!$B$2:$B$101,A69)</x:f>
        <x:v>0</x:v>
      </x:c>
      <x:c r="AG69" t="n">
        <x:f>IFERROR(SUMIFS('Attempt Log'!$U$2:$U$101,'Attempt Log'!$B$2:$B$101,A69,'Attempt Log'!$N$2:$N$101,"Yes")/COUNTIFS('Attempt Log'!$B$2:$B$101,A69,'Attempt Log'!$N$2:$N$101,"Yes"),0)</x:f>
        <x:v>0</x:v>
      </x:c>
    </x:row>
    <x:row r="70">
      <x:c r="A70" t="str">
        <x:v>equipment_heavy_chest_t03_base</x:v>
      </x:c>
      <x:c r="B70" t="str">
        <x:v>Peitoral Pesado T3</x:v>
      </x:c>
      <x:c r="C70" t="str">
        <x:v>Heavy Chest Armor T3</x:v>
      </x:c>
      <x:c r="D70" t="str">
        <x:v>Task017</x:v>
      </x:c>
      <x:c r="E70" t="str">
        <x:v>Equipment</x:v>
      </x:c>
      <x:c r="F70" t="str">
        <x:v>Heavy Armor</x:v>
      </x:c>
      <x:c r="G70" t="str">
        <x:v>heavy_chest</x:v>
      </x:c>
      <x:c r="H70" t="str">
        <x:v>MVP</x:v>
      </x:c>
      <x:c r="I70" t="str">
        <x:v>P1</x:v>
      </x:c>
      <x:c r="J70" t="str">
        <x:v>B09_EQUIPMENT_T3</x:v>
      </x:c>
      <x:c r="K70" t="str">
        <x:v>Image to 3D</x:v>
      </x:c>
      <x:c r="L70" t="str">
        <x:v>Yes</x:v>
      </x:c>
      <x:c r="M70" t="n">
        <x:v>3750</x:v>
      </x:c>
      <x:c r="N70" t="str">
        <x:v>1024</x:v>
      </x:c>
      <x:c r="O70" t="str">
        <x:v>No</x:v>
      </x:c>
      <x:c r="P70" t="str">
        <x:v>None</x:v>
      </x:c>
      <x:c r="Q70" t="str">
        <x:v>Prompts/ConceptArt/equipment_heavy_chest_t03_base_concept_sheet.txt</x:v>
      </x:c>
      <x:c r="R70" t="str">
        <x:v>Prompts/Meshy/BaseGeometry/equipment_heavy_chest_t03_base_geometry.txt</x:v>
      </x:c>
      <x:c r="S70" t="str">
        <x:v>Prompts/TextureVariants/equipment_heavy_chest_t03_base_rarity_variants.txt</x:v>
      </x:c>
      <x:c r="T70" t="n">
        <x:v>2</x:v>
      </x:c>
      <x:c r="U70" t="n">
        <x:v>2</x:v>
      </x:c>
      <x:c r="V70" t="n">
        <x:v>1</x:v>
      </x:c>
      <x:c r="W70" t="n">
        <x:v>1</x:v>
      </x:c>
      <x:c r="X70" t="n">
        <x:v>0</x:v>
      </x:c>
      <x:c r="Y70" t="str">
        <x:v>readable at inventory scale; tier identity clear without UI; all six rarity variants preserve family; pivot and scale correct; no fragile geometry; URP PBR maps valid</x:v>
      </x:c>
      <x:c r="Z70" t="str">
        <x:v>Assets/_Game/Art/Equipment/HeavyArmor/heavy_chest/T3/Models</x:v>
      </x:c>
      <x:c r="AA70" t="str">
        <x:v>Not Started</x:v>
      </x:c>
      <x:c r="AB70" t="str">
        <x:v>Pending</x:v>
      </x:c>
      <x:c r="AC70" s="18" t="n">
        <x:f>T70*'Settings &amp; Rates'!$B$5+U70*'Settings &amp; Rates'!$B$6+V70*'Settings &amp; Rates'!$B$7+W70*'Settings &amp; Rates'!$B$8+X70*'Settings &amp; Rates'!$B$9</x:f>
        <x:v>55</x:v>
      </x:c>
      <x:c r="AD70" s="18" t="n">
        <x:f>SUMIF('Attempt Log'!$B$2:$B$101,A70,'Attempt Log'!$K$2:$K$101)</x:f>
        <x:v>0</x:v>
      </x:c>
      <x:c r="AE70" s="18" t="n">
        <x:f>AD70-AC70</x:f>
        <x:v>-55</x:v>
      </x:c>
      <x:c r="AF70" t="n">
        <x:f>COUNTIF('Attempt Log'!$B$2:$B$101,A70)</x:f>
        <x:v>0</x:v>
      </x:c>
      <x:c r="AG70" t="n">
        <x:f>IFERROR(SUMIFS('Attempt Log'!$U$2:$U$101,'Attempt Log'!$B$2:$B$101,A70,'Attempt Log'!$N$2:$N$101,"Yes")/COUNTIFS('Attempt Log'!$B$2:$B$101,A70,'Attempt Log'!$N$2:$N$101,"Yes"),0)</x:f>
        <x:v>0</x:v>
      </x:c>
    </x:row>
    <x:row r="71">
      <x:c r="A71" t="str">
        <x:v>equipment_heavy_gloves_t03_base</x:v>
      </x:c>
      <x:c r="B71" t="str">
        <x:v>Manoplas Pesadas T3</x:v>
      </x:c>
      <x:c r="C71" t="str">
        <x:v>Heavy Gauntlets T3</x:v>
      </x:c>
      <x:c r="D71" t="str">
        <x:v>Task017</x:v>
      </x:c>
      <x:c r="E71" t="str">
        <x:v>Equipment</x:v>
      </x:c>
      <x:c r="F71" t="str">
        <x:v>Heavy Armor</x:v>
      </x:c>
      <x:c r="G71" t="str">
        <x:v>heavy_gloves</x:v>
      </x:c>
      <x:c r="H71" t="str">
        <x:v>MVP</x:v>
      </x:c>
      <x:c r="I71" t="str">
        <x:v>P1</x:v>
      </x:c>
      <x:c r="J71" t="str">
        <x:v>B09_EQUIPMENT_T3</x:v>
      </x:c>
      <x:c r="K71" t="str">
        <x:v>Image to 3D</x:v>
      </x:c>
      <x:c r="L71" t="str">
        <x:v>Yes</x:v>
      </x:c>
      <x:c r="M71" t="n">
        <x:v>1550</x:v>
      </x:c>
      <x:c r="N71" t="str">
        <x:v>1024</x:v>
      </x:c>
      <x:c r="O71" t="str">
        <x:v>No</x:v>
      </x:c>
      <x:c r="P71" t="str">
        <x:v>None</x:v>
      </x:c>
      <x:c r="Q71" t="str">
        <x:v>Prompts/ConceptArt/equipment_heavy_gloves_t03_base_concept_sheet.txt</x:v>
      </x:c>
      <x:c r="R71" t="str">
        <x:v>Prompts/Meshy/BaseGeometry/equipment_heavy_gloves_t03_base_geometry.txt</x:v>
      </x:c>
      <x:c r="S71" t="str">
        <x:v>Prompts/TextureVariants/equipment_heavy_gloves_t03_base_rarity_variants.txt</x:v>
      </x:c>
      <x:c r="T71" t="n">
        <x:v>2</x:v>
      </x:c>
      <x:c r="U71" t="n">
        <x:v>2</x:v>
      </x:c>
      <x:c r="V71" t="n">
        <x:v>1</x:v>
      </x:c>
      <x:c r="W71" t="n">
        <x:v>1</x:v>
      </x:c>
      <x:c r="X71" t="n">
        <x:v>0</x:v>
      </x:c>
      <x:c r="Y71" t="str">
        <x:v>readable at inventory scale; tier identity clear without UI; all six rarity variants preserve family; pivot and scale correct; no fragile geometry; URP PBR maps valid</x:v>
      </x:c>
      <x:c r="Z71" t="str">
        <x:v>Assets/_Game/Art/Equipment/HeavyArmor/heavy_gloves/T3/Models</x:v>
      </x:c>
      <x:c r="AA71" t="str">
        <x:v>Not Started</x:v>
      </x:c>
      <x:c r="AB71" t="str">
        <x:v>Pending</x:v>
      </x:c>
      <x:c r="AC71" s="18" t="n">
        <x:f>T71*'Settings &amp; Rates'!$B$5+U71*'Settings &amp; Rates'!$B$6+V71*'Settings &amp; Rates'!$B$7+W71*'Settings &amp; Rates'!$B$8+X71*'Settings &amp; Rates'!$B$9</x:f>
        <x:v>55</x:v>
      </x:c>
      <x:c r="AD71" s="18" t="n">
        <x:f>SUMIF('Attempt Log'!$B$2:$B$101,A71,'Attempt Log'!$K$2:$K$101)</x:f>
        <x:v>0</x:v>
      </x:c>
      <x:c r="AE71" s="18" t="n">
        <x:f>AD71-AC71</x:f>
        <x:v>-55</x:v>
      </x:c>
      <x:c r="AF71" t="n">
        <x:f>COUNTIF('Attempt Log'!$B$2:$B$101,A71)</x:f>
        <x:v>0</x:v>
      </x:c>
      <x:c r="AG71" t="n">
        <x:f>IFERROR(SUMIFS('Attempt Log'!$U$2:$U$101,'Attempt Log'!$B$2:$B$101,A71,'Attempt Log'!$N$2:$N$101,"Yes")/COUNTIFS('Attempt Log'!$B$2:$B$101,A71,'Attempt Log'!$N$2:$N$101,"Yes"),0)</x:f>
        <x:v>0</x:v>
      </x:c>
    </x:row>
    <x:row r="72">
      <x:c r="A72" t="str">
        <x:v>equipment_heavy_helmet_t03_base</x:v>
      </x:c>
      <x:c r="B72" t="str">
        <x:v>Elmo Pesado T3</x:v>
      </x:c>
      <x:c r="C72" t="str">
        <x:v>Heavy Helmet T3</x:v>
      </x:c>
      <x:c r="D72" t="str">
        <x:v>Task017</x:v>
      </x:c>
      <x:c r="E72" t="str">
        <x:v>Equipment</x:v>
      </x:c>
      <x:c r="F72" t="str">
        <x:v>Heavy Armor</x:v>
      </x:c>
      <x:c r="G72" t="str">
        <x:v>heavy_helmet</x:v>
      </x:c>
      <x:c r="H72" t="str">
        <x:v>MVP</x:v>
      </x:c>
      <x:c r="I72" t="str">
        <x:v>P1</x:v>
      </x:c>
      <x:c r="J72" t="str">
        <x:v>B09_EQUIPMENT_T3</x:v>
      </x:c>
      <x:c r="K72" t="str">
        <x:v>Image to 3D</x:v>
      </x:c>
      <x:c r="L72" t="str">
        <x:v>Yes</x:v>
      </x:c>
      <x:c r="M72" t="n">
        <x:v>2200</x:v>
      </x:c>
      <x:c r="N72" t="str">
        <x:v>1024</x:v>
      </x:c>
      <x:c r="O72" t="str">
        <x:v>No</x:v>
      </x:c>
      <x:c r="P72" t="str">
        <x:v>None</x:v>
      </x:c>
      <x:c r="Q72" t="str">
        <x:v>Prompts/ConceptArt/equipment_heavy_helmet_t03_base_concept_sheet.txt</x:v>
      </x:c>
      <x:c r="R72" t="str">
        <x:v>Prompts/Meshy/BaseGeometry/equipment_heavy_helmet_t03_base_geometry.txt</x:v>
      </x:c>
      <x:c r="S72" t="str">
        <x:v>Prompts/TextureVariants/equipment_heavy_helmet_t03_base_rarity_variants.txt</x:v>
      </x:c>
      <x:c r="T72" t="n">
        <x:v>2</x:v>
      </x:c>
      <x:c r="U72" t="n">
        <x:v>2</x:v>
      </x:c>
      <x:c r="V72" t="n">
        <x:v>1</x:v>
      </x:c>
      <x:c r="W72" t="n">
        <x:v>1</x:v>
      </x:c>
      <x:c r="X72" t="n">
        <x:v>0</x:v>
      </x:c>
      <x:c r="Y72" t="str">
        <x:v>readable at inventory scale; tier identity clear without UI; all six rarity variants preserve family; pivot and scale correct; no fragile geometry; URP PBR maps valid</x:v>
      </x:c>
      <x:c r="Z72" t="str">
        <x:v>Assets/_Game/Art/Equipment/HeavyArmor/heavy_helmet/T3/Models</x:v>
      </x:c>
      <x:c r="AA72" t="str">
        <x:v>Not Started</x:v>
      </x:c>
      <x:c r="AB72" t="str">
        <x:v>Pending</x:v>
      </x:c>
      <x:c r="AC72" s="18" t="n">
        <x:f>T72*'Settings &amp; Rates'!$B$5+U72*'Settings &amp; Rates'!$B$6+V72*'Settings &amp; Rates'!$B$7+W72*'Settings &amp; Rates'!$B$8+X72*'Settings &amp; Rates'!$B$9</x:f>
        <x:v>55</x:v>
      </x:c>
      <x:c r="AD72" s="18" t="n">
        <x:f>SUMIF('Attempt Log'!$B$2:$B$101,A72,'Attempt Log'!$K$2:$K$101)</x:f>
        <x:v>0</x:v>
      </x:c>
      <x:c r="AE72" s="18" t="n">
        <x:f>AD72-AC72</x:f>
        <x:v>-55</x:v>
      </x:c>
      <x:c r="AF72" t="n">
        <x:f>COUNTIF('Attempt Log'!$B$2:$B$101,A72)</x:f>
        <x:v>0</x:v>
      </x:c>
      <x:c r="AG72" t="n">
        <x:f>IFERROR(SUMIFS('Attempt Log'!$U$2:$U$101,'Attempt Log'!$B$2:$B$101,A72,'Attempt Log'!$N$2:$N$101,"Yes")/COUNTIFS('Attempt Log'!$B$2:$B$101,A72,'Attempt Log'!$N$2:$N$101,"Yes"),0)</x:f>
        <x:v>0</x:v>
      </x:c>
    </x:row>
    <x:row r="73">
      <x:c r="A73" t="str">
        <x:v>equipment_light_boots_t03_base</x:v>
      </x:c>
      <x:c r="B73" t="str">
        <x:v>Botas Leves T3</x:v>
      </x:c>
      <x:c r="C73" t="str">
        <x:v>Light Boots T3</x:v>
      </x:c>
      <x:c r="D73" t="str">
        <x:v>Task017</x:v>
      </x:c>
      <x:c r="E73" t="str">
        <x:v>Equipment</x:v>
      </x:c>
      <x:c r="F73" t="str">
        <x:v>Light Armor</x:v>
      </x:c>
      <x:c r="G73" t="str">
        <x:v>light_boots</x:v>
      </x:c>
      <x:c r="H73" t="str">
        <x:v>MVP</x:v>
      </x:c>
      <x:c r="I73" t="str">
        <x:v>P1</x:v>
      </x:c>
      <x:c r="J73" t="str">
        <x:v>B09_EQUIPMENT_T3</x:v>
      </x:c>
      <x:c r="K73" t="str">
        <x:v>Image to 3D</x:v>
      </x:c>
      <x:c r="L73" t="str">
        <x:v>Yes</x:v>
      </x:c>
      <x:c r="M73" t="n">
        <x:v>1450</x:v>
      </x:c>
      <x:c r="N73" t="str">
        <x:v>1024</x:v>
      </x:c>
      <x:c r="O73" t="str">
        <x:v>No</x:v>
      </x:c>
      <x:c r="P73" t="str">
        <x:v>None</x:v>
      </x:c>
      <x:c r="Q73" t="str">
        <x:v>Prompts/ConceptArt/equipment_light_boots_t03_base_concept_sheet.txt</x:v>
      </x:c>
      <x:c r="R73" t="str">
        <x:v>Prompts/Meshy/BaseGeometry/equipment_light_boots_t03_base_geometry.txt</x:v>
      </x:c>
      <x:c r="S73" t="str">
        <x:v>Prompts/TextureVariants/equipment_light_boots_t03_base_rarity_variants.txt</x:v>
      </x:c>
      <x:c r="T73" t="n">
        <x:v>2</x:v>
      </x:c>
      <x:c r="U73" t="n">
        <x:v>2</x:v>
      </x:c>
      <x:c r="V73" t="n">
        <x:v>1</x:v>
      </x:c>
      <x:c r="W73" t="n">
        <x:v>1</x:v>
      </x:c>
      <x:c r="X73" t="n">
        <x:v>0</x:v>
      </x:c>
      <x:c r="Y73" t="str">
        <x:v>readable at inventory scale; tier identity clear without UI; all six rarity variants preserve family; pivot and scale correct; no fragile geometry; URP PBR maps valid</x:v>
      </x:c>
      <x:c r="Z73" t="str">
        <x:v>Assets/_Game/Art/Equipment/LightArmor/light_boots/T3/Models</x:v>
      </x:c>
      <x:c r="AA73" t="str">
        <x:v>Not Started</x:v>
      </x:c>
      <x:c r="AB73" t="str">
        <x:v>Pending</x:v>
      </x:c>
      <x:c r="AC73" s="18" t="n">
        <x:f>T73*'Settings &amp; Rates'!$B$5+U73*'Settings &amp; Rates'!$B$6+V73*'Settings &amp; Rates'!$B$7+W73*'Settings &amp; Rates'!$B$8+X73*'Settings &amp; Rates'!$B$9</x:f>
        <x:v>55</x:v>
      </x:c>
      <x:c r="AD73" s="18" t="n">
        <x:f>SUMIF('Attempt Log'!$B$2:$B$101,A73,'Attempt Log'!$K$2:$K$101)</x:f>
        <x:v>0</x:v>
      </x:c>
      <x:c r="AE73" s="18" t="n">
        <x:f>AD73-AC73</x:f>
        <x:v>-55</x:v>
      </x:c>
      <x:c r="AF73" t="n">
        <x:f>COUNTIF('Attempt Log'!$B$2:$B$101,A73)</x:f>
        <x:v>0</x:v>
      </x:c>
      <x:c r="AG73" t="n">
        <x:f>IFERROR(SUMIFS('Attempt Log'!$U$2:$U$101,'Attempt Log'!$B$2:$B$101,A73,'Attempt Log'!$N$2:$N$101,"Yes")/COUNTIFS('Attempt Log'!$B$2:$B$101,A73,'Attempt Log'!$N$2:$N$101,"Yes"),0)</x:f>
        <x:v>0</x:v>
      </x:c>
    </x:row>
    <x:row r="74">
      <x:c r="A74" t="str">
        <x:v>equipment_light_chest_t03_base</x:v>
      </x:c>
      <x:c r="B74" t="str">
        <x:v>Armadura Leve T3</x:v>
      </x:c>
      <x:c r="C74" t="str">
        <x:v>Light Chest Armor T3</x:v>
      </x:c>
      <x:c r="D74" t="str">
        <x:v>Task017</x:v>
      </x:c>
      <x:c r="E74" t="str">
        <x:v>Equipment</x:v>
      </x:c>
      <x:c r="F74" t="str">
        <x:v>Light Armor</x:v>
      </x:c>
      <x:c r="G74" t="str">
        <x:v>light_chest</x:v>
      </x:c>
      <x:c r="H74" t="str">
        <x:v>MVP</x:v>
      </x:c>
      <x:c r="I74" t="str">
        <x:v>P1</x:v>
      </x:c>
      <x:c r="J74" t="str">
        <x:v>B09_EQUIPMENT_T3</x:v>
      </x:c>
      <x:c r="K74" t="str">
        <x:v>Image to 3D</x:v>
      </x:c>
      <x:c r="L74" t="str">
        <x:v>Yes</x:v>
      </x:c>
      <x:c r="M74" t="n">
        <x:v>2800</x:v>
      </x:c>
      <x:c r="N74" t="str">
        <x:v>1024</x:v>
      </x:c>
      <x:c r="O74" t="str">
        <x:v>No</x:v>
      </x:c>
      <x:c r="P74" t="str">
        <x:v>None</x:v>
      </x:c>
      <x:c r="Q74" t="str">
        <x:v>Prompts/ConceptArt/equipment_light_chest_t03_base_concept_sheet.txt</x:v>
      </x:c>
      <x:c r="R74" t="str">
        <x:v>Prompts/Meshy/BaseGeometry/equipment_light_chest_t03_base_geometry.txt</x:v>
      </x:c>
      <x:c r="S74" t="str">
        <x:v>Prompts/TextureVariants/equipment_light_chest_t03_base_rarity_variants.txt</x:v>
      </x:c>
      <x:c r="T74" t="n">
        <x:v>2</x:v>
      </x:c>
      <x:c r="U74" t="n">
        <x:v>2</x:v>
      </x:c>
      <x:c r="V74" t="n">
        <x:v>1</x:v>
      </x:c>
      <x:c r="W74" t="n">
        <x:v>1</x:v>
      </x:c>
      <x:c r="X74" t="n">
        <x:v>0</x:v>
      </x:c>
      <x:c r="Y74" t="str">
        <x:v>readable at inventory scale; tier identity clear without UI; all six rarity variants preserve family; pivot and scale correct; no fragile geometry; URP PBR maps valid</x:v>
      </x:c>
      <x:c r="Z74" t="str">
        <x:v>Assets/_Game/Art/Equipment/LightArmor/light_chest/T3/Models</x:v>
      </x:c>
      <x:c r="AA74" t="str">
        <x:v>Not Started</x:v>
      </x:c>
      <x:c r="AB74" t="str">
        <x:v>Pending</x:v>
      </x:c>
      <x:c r="AC74" s="18" t="n">
        <x:f>T74*'Settings &amp; Rates'!$B$5+U74*'Settings &amp; Rates'!$B$6+V74*'Settings &amp; Rates'!$B$7+W74*'Settings &amp; Rates'!$B$8+X74*'Settings &amp; Rates'!$B$9</x:f>
        <x:v>55</x:v>
      </x:c>
      <x:c r="AD74" s="18" t="n">
        <x:f>SUMIF('Attempt Log'!$B$2:$B$101,A74,'Attempt Log'!$K$2:$K$101)</x:f>
        <x:v>0</x:v>
      </x:c>
      <x:c r="AE74" s="18" t="n">
        <x:f>AD74-AC74</x:f>
        <x:v>-55</x:v>
      </x:c>
      <x:c r="AF74" t="n">
        <x:f>COUNTIF('Attempt Log'!$B$2:$B$101,A74)</x:f>
        <x:v>0</x:v>
      </x:c>
      <x:c r="AG74" t="n">
        <x:f>IFERROR(SUMIFS('Attempt Log'!$U$2:$U$101,'Attempt Log'!$B$2:$B$101,A74,'Attempt Log'!$N$2:$N$101,"Yes")/COUNTIFS('Attempt Log'!$B$2:$B$101,A74,'Attempt Log'!$N$2:$N$101,"Yes"),0)</x:f>
        <x:v>0</x:v>
      </x:c>
    </x:row>
    <x:row r="75">
      <x:c r="A75" t="str">
        <x:v>equipment_light_gloves_t03_base</x:v>
      </x:c>
      <x:c r="B75" t="str">
        <x:v>Luvas Leves T3</x:v>
      </x:c>
      <x:c r="C75" t="str">
        <x:v>Light Gloves T3</x:v>
      </x:c>
      <x:c r="D75" t="str">
        <x:v>Task017</x:v>
      </x:c>
      <x:c r="E75" t="str">
        <x:v>Equipment</x:v>
      </x:c>
      <x:c r="F75" t="str">
        <x:v>Light Armor</x:v>
      </x:c>
      <x:c r="G75" t="str">
        <x:v>light_gloves</x:v>
      </x:c>
      <x:c r="H75" t="str">
        <x:v>MVP</x:v>
      </x:c>
      <x:c r="I75" t="str">
        <x:v>P1</x:v>
      </x:c>
      <x:c r="J75" t="str">
        <x:v>B09_EQUIPMENT_T3</x:v>
      </x:c>
      <x:c r="K75" t="str">
        <x:v>Image to 3D</x:v>
      </x:c>
      <x:c r="L75" t="str">
        <x:v>Yes</x:v>
      </x:c>
      <x:c r="M75" t="n">
        <x:v>1200</x:v>
      </x:c>
      <x:c r="N75" t="str">
        <x:v>1024</x:v>
      </x:c>
      <x:c r="O75" t="str">
        <x:v>No</x:v>
      </x:c>
      <x:c r="P75" t="str">
        <x:v>None</x:v>
      </x:c>
      <x:c r="Q75" t="str">
        <x:v>Prompts/ConceptArt/equipment_light_gloves_t03_base_concept_sheet.txt</x:v>
      </x:c>
      <x:c r="R75" t="str">
        <x:v>Prompts/Meshy/BaseGeometry/equipment_light_gloves_t03_base_geometry.txt</x:v>
      </x:c>
      <x:c r="S75" t="str">
        <x:v>Prompts/TextureVariants/equipment_light_gloves_t03_base_rarity_variants.txt</x:v>
      </x:c>
      <x:c r="T75" t="n">
        <x:v>2</x:v>
      </x:c>
      <x:c r="U75" t="n">
        <x:v>2</x:v>
      </x:c>
      <x:c r="V75" t="n">
        <x:v>1</x:v>
      </x:c>
      <x:c r="W75" t="n">
        <x:v>1</x:v>
      </x:c>
      <x:c r="X75" t="n">
        <x:v>0</x:v>
      </x:c>
      <x:c r="Y75" t="str">
        <x:v>readable at inventory scale; tier identity clear without UI; all six rarity variants preserve family; pivot and scale correct; no fragile geometry; URP PBR maps valid</x:v>
      </x:c>
      <x:c r="Z75" t="str">
        <x:v>Assets/_Game/Art/Equipment/LightArmor/light_gloves/T3/Models</x:v>
      </x:c>
      <x:c r="AA75" t="str">
        <x:v>Not Started</x:v>
      </x:c>
      <x:c r="AB75" t="str">
        <x:v>Pending</x:v>
      </x:c>
      <x:c r="AC75" s="18" t="n">
        <x:f>T75*'Settings &amp; Rates'!$B$5+U75*'Settings &amp; Rates'!$B$6+V75*'Settings &amp; Rates'!$B$7+W75*'Settings &amp; Rates'!$B$8+X75*'Settings &amp; Rates'!$B$9</x:f>
        <x:v>55</x:v>
      </x:c>
      <x:c r="AD75" s="18" t="n">
        <x:f>SUMIF('Attempt Log'!$B$2:$B$101,A75,'Attempt Log'!$K$2:$K$101)</x:f>
        <x:v>0</x:v>
      </x:c>
      <x:c r="AE75" s="18" t="n">
        <x:f>AD75-AC75</x:f>
        <x:v>-55</x:v>
      </x:c>
      <x:c r="AF75" t="n">
        <x:f>COUNTIF('Attempt Log'!$B$2:$B$101,A75)</x:f>
        <x:v>0</x:v>
      </x:c>
      <x:c r="AG75" t="n">
        <x:f>IFERROR(SUMIFS('Attempt Log'!$U$2:$U$101,'Attempt Log'!$B$2:$B$101,A75,'Attempt Log'!$N$2:$N$101,"Yes")/COUNTIFS('Attempt Log'!$B$2:$B$101,A75,'Attempt Log'!$N$2:$N$101,"Yes"),0)</x:f>
        <x:v>0</x:v>
      </x:c>
    </x:row>
    <x:row r="76">
      <x:c r="A76" t="str">
        <x:v>equipment_light_hood_t03_base</x:v>
      </x:c>
      <x:c r="B76" t="str">
        <x:v>Capuz Leve T3</x:v>
      </x:c>
      <x:c r="C76" t="str">
        <x:v>Light Hood T3</x:v>
      </x:c>
      <x:c r="D76" t="str">
        <x:v>Task017</x:v>
      </x:c>
      <x:c r="E76" t="str">
        <x:v>Equipment</x:v>
      </x:c>
      <x:c r="F76" t="str">
        <x:v>Light Armor</x:v>
      </x:c>
      <x:c r="G76" t="str">
        <x:v>light_hood</x:v>
      </x:c>
      <x:c r="H76" t="str">
        <x:v>MVP</x:v>
      </x:c>
      <x:c r="I76" t="str">
        <x:v>P1</x:v>
      </x:c>
      <x:c r="J76" t="str">
        <x:v>B09_EQUIPMENT_T3</x:v>
      </x:c>
      <x:c r="K76" t="str">
        <x:v>Image to 3D</x:v>
      </x:c>
      <x:c r="L76" t="str">
        <x:v>Yes</x:v>
      </x:c>
      <x:c r="M76" t="n">
        <x:v>1450</x:v>
      </x:c>
      <x:c r="N76" t="str">
        <x:v>1024</x:v>
      </x:c>
      <x:c r="O76" t="str">
        <x:v>No</x:v>
      </x:c>
      <x:c r="P76" t="str">
        <x:v>None</x:v>
      </x:c>
      <x:c r="Q76" t="str">
        <x:v>Prompts/ConceptArt/equipment_light_hood_t03_base_concept_sheet.txt</x:v>
      </x:c>
      <x:c r="R76" t="str">
        <x:v>Prompts/Meshy/BaseGeometry/equipment_light_hood_t03_base_geometry.txt</x:v>
      </x:c>
      <x:c r="S76" t="str">
        <x:v>Prompts/TextureVariants/equipment_light_hood_t03_base_rarity_variants.txt</x:v>
      </x:c>
      <x:c r="T76" t="n">
        <x:v>2</x:v>
      </x:c>
      <x:c r="U76" t="n">
        <x:v>2</x:v>
      </x:c>
      <x:c r="V76" t="n">
        <x:v>1</x:v>
      </x:c>
      <x:c r="W76" t="n">
        <x:v>1</x:v>
      </x:c>
      <x:c r="X76" t="n">
        <x:v>0</x:v>
      </x:c>
      <x:c r="Y76" t="str">
        <x:v>readable at inventory scale; tier identity clear without UI; all six rarity variants preserve family; pivot and scale correct; no fragile geometry; URP PBR maps valid</x:v>
      </x:c>
      <x:c r="Z76" t="str">
        <x:v>Assets/_Game/Art/Equipment/LightArmor/light_hood/T3/Models</x:v>
      </x:c>
      <x:c r="AA76" t="str">
        <x:v>Not Started</x:v>
      </x:c>
      <x:c r="AB76" t="str">
        <x:v>Pending</x:v>
      </x:c>
      <x:c r="AC76" s="18" t="n">
        <x:f>T76*'Settings &amp; Rates'!$B$5+U76*'Settings &amp; Rates'!$B$6+V76*'Settings &amp; Rates'!$B$7+W76*'Settings &amp; Rates'!$B$8+X76*'Settings &amp; Rates'!$B$9</x:f>
        <x:v>55</x:v>
      </x:c>
      <x:c r="AD76" s="18" t="n">
        <x:f>SUMIF('Attempt Log'!$B$2:$B$101,A76,'Attempt Log'!$K$2:$K$101)</x:f>
        <x:v>0</x:v>
      </x:c>
      <x:c r="AE76" s="18" t="n">
        <x:f>AD76-AC76</x:f>
        <x:v>-55</x:v>
      </x:c>
      <x:c r="AF76" t="n">
        <x:f>COUNTIF('Attempt Log'!$B$2:$B$101,A76)</x:f>
        <x:v>0</x:v>
      </x:c>
      <x:c r="AG76" t="n">
        <x:f>IFERROR(SUMIFS('Attempt Log'!$U$2:$U$101,'Attempt Log'!$B$2:$B$101,A76,'Attempt Log'!$N$2:$N$101,"Yes")/COUNTIFS('Attempt Log'!$B$2:$B$101,A76,'Attempt Log'!$N$2:$N$101,"Yes"),0)</x:f>
        <x:v>0</x:v>
      </x:c>
    </x:row>
    <x:row r="77">
      <x:c r="A77" t="str">
        <x:v>equipment_longbow_t03_base</x:v>
      </x:c>
      <x:c r="B77" t="str">
        <x:v>Arco Longo T3</x:v>
      </x:c>
      <x:c r="C77" t="str">
        <x:v>Longbow T3</x:v>
      </x:c>
      <x:c r="D77" t="str">
        <x:v>Task017</x:v>
      </x:c>
      <x:c r="E77" t="str">
        <x:v>Equipment</x:v>
      </x:c>
      <x:c r="F77" t="str">
        <x:v>Weapon</x:v>
      </x:c>
      <x:c r="G77" t="str">
        <x:v>longbow</x:v>
      </x:c>
      <x:c r="H77" t="str">
        <x:v>MVP</x:v>
      </x:c>
      <x:c r="I77" t="str">
        <x:v>P1</x:v>
      </x:c>
      <x:c r="J77" t="str">
        <x:v>B09_EQUIPMENT_T3</x:v>
      </x:c>
      <x:c r="K77" t="str">
        <x:v>Text to 3D</x:v>
      </x:c>
      <x:c r="L77" t="str">
        <x:v>Optional</x:v>
      </x:c>
      <x:c r="M77" t="n">
        <x:v>1700</x:v>
      </x:c>
      <x:c r="N77" t="str">
        <x:v>1024</x:v>
      </x:c>
      <x:c r="O77" t="str">
        <x:v>No</x:v>
      </x:c>
      <x:c r="P77" t="str">
        <x:v>None</x:v>
      </x:c>
      <x:c r="Q77" t="str">
        <x:v>Prompts/ConceptArt/equipment_longbow_t03_base_concept_sheet.txt</x:v>
      </x:c>
      <x:c r="R77" t="str">
        <x:v>Prompts/Meshy/BaseGeometry/equipment_longbow_t03_base_geometry.txt</x:v>
      </x:c>
      <x:c r="S77" t="str">
        <x:v>Prompts/TextureVariants/equipment_longbow_t03_base_rarity_variants.txt</x:v>
      </x:c>
      <x:c r="T77" t="n">
        <x:v>1</x:v>
      </x:c>
      <x:c r="U77" t="n">
        <x:v>2</x:v>
      </x:c>
      <x:c r="V77" t="n">
        <x:v>1</x:v>
      </x:c>
      <x:c r="W77" t="n">
        <x:v>1</x:v>
      </x:c>
      <x:c r="X77" t="n">
        <x:v>0</x:v>
      </x:c>
      <x:c r="Y77" t="str">
        <x:v>readable at inventory scale; tier identity clear without UI; all six rarity variants preserve family; pivot and scale correct; no fragile geometry; URP PBR maps valid</x:v>
      </x:c>
      <x:c r="Z77" t="str">
        <x:v>Assets/_Game/Art/Equipment/Weapon/longbow/T3/Models</x:v>
      </x:c>
      <x:c r="AA77" t="str">
        <x:v>Not Started</x:v>
      </x:c>
      <x:c r="AB77" t="str">
        <x:v>Pending</x:v>
      </x:c>
      <x:c r="AC77" s="18" t="n">
        <x:f>T77*'Settings &amp; Rates'!$B$5+U77*'Settings &amp; Rates'!$B$6+V77*'Settings &amp; Rates'!$B$7+W77*'Settings &amp; Rates'!$B$8+X77*'Settings &amp; Rates'!$B$9</x:f>
        <x:v>55</x:v>
      </x:c>
      <x:c r="AD77" s="18" t="n">
        <x:f>SUMIF('Attempt Log'!$B$2:$B$101,A77,'Attempt Log'!$K$2:$K$101)</x:f>
        <x:v>0</x:v>
      </x:c>
      <x:c r="AE77" s="18" t="n">
        <x:f>AD77-AC77</x:f>
        <x:v>-55</x:v>
      </x:c>
      <x:c r="AF77" t="n">
        <x:f>COUNTIF('Attempt Log'!$B$2:$B$101,A77)</x:f>
        <x:v>0</x:v>
      </x:c>
      <x:c r="AG77" t="n">
        <x:f>IFERROR(SUMIFS('Attempt Log'!$U$2:$U$101,'Attempt Log'!$B$2:$B$101,A77,'Attempt Log'!$N$2:$N$101,"Yes")/COUNTIFS('Attempt Log'!$B$2:$B$101,A77,'Attempt Log'!$N$2:$N$101,"Yes"),0)</x:f>
        <x:v>0</x:v>
      </x:c>
    </x:row>
    <x:row r="78">
      <x:c r="A78" t="str">
        <x:v>equipment_ring_t03_base</x:v>
      </x:c>
      <x:c r="B78" t="str">
        <x:v>Anel T3</x:v>
      </x:c>
      <x:c r="C78" t="str">
        <x:v>Ring T3</x:v>
      </x:c>
      <x:c r="D78" t="str">
        <x:v>Task017</x:v>
      </x:c>
      <x:c r="E78" t="str">
        <x:v>Equipment</x:v>
      </x:c>
      <x:c r="F78" t="str">
        <x:v>Accessory</x:v>
      </x:c>
      <x:c r="G78" t="str">
        <x:v>ring</x:v>
      </x:c>
      <x:c r="H78" t="str">
        <x:v>MVP</x:v>
      </x:c>
      <x:c r="I78" t="str">
        <x:v>P1</x:v>
      </x:c>
      <x:c r="J78" t="str">
        <x:v>B09_EQUIPMENT_T3</x:v>
      </x:c>
      <x:c r="K78" t="str">
        <x:v>Text to 3D</x:v>
      </x:c>
      <x:c r="L78" t="str">
        <x:v>Optional</x:v>
      </x:c>
      <x:c r="M78" t="n">
        <x:v>550</x:v>
      </x:c>
      <x:c r="N78" t="str">
        <x:v>512</x:v>
      </x:c>
      <x:c r="O78" t="str">
        <x:v>No</x:v>
      </x:c>
      <x:c r="P78" t="str">
        <x:v>None</x:v>
      </x:c>
      <x:c r="Q78" t="str">
        <x:v>Prompts/ConceptArt/equipment_ring_t03_base_concept_sheet.txt</x:v>
      </x:c>
      <x:c r="R78" t="str">
        <x:v>Prompts/Meshy/BaseGeometry/equipment_ring_t03_base_geometry.txt</x:v>
      </x:c>
      <x:c r="S78" t="str">
        <x:v>Prompts/TextureVariants/equipment_ring_t03_base_rarity_variants.txt</x:v>
      </x:c>
      <x:c r="T78" t="n">
        <x:v>1</x:v>
      </x:c>
      <x:c r="U78" t="n">
        <x:v>2</x:v>
      </x:c>
      <x:c r="V78" t="n">
        <x:v>1</x:v>
      </x:c>
      <x:c r="W78" t="n">
        <x:v>1</x:v>
      </x:c>
      <x:c r="X78" t="n">
        <x:v>0</x:v>
      </x:c>
      <x:c r="Y78" t="str">
        <x:v>readable at inventory scale; tier identity clear without UI; all six rarity variants preserve family; pivot and scale correct; no fragile geometry; URP PBR maps valid</x:v>
      </x:c>
      <x:c r="Z78" t="str">
        <x:v>Assets/_Game/Art/Equipment/Accessory/ring/T3/Models</x:v>
      </x:c>
      <x:c r="AA78" t="str">
        <x:v>Not Started</x:v>
      </x:c>
      <x:c r="AB78" t="str">
        <x:v>Pending</x:v>
      </x:c>
      <x:c r="AC78" s="18" t="n">
        <x:f>T78*'Settings &amp; Rates'!$B$5+U78*'Settings &amp; Rates'!$B$6+V78*'Settings &amp; Rates'!$B$7+W78*'Settings &amp; Rates'!$B$8+X78*'Settings &amp; Rates'!$B$9</x:f>
        <x:v>55</x:v>
      </x:c>
      <x:c r="AD78" s="18" t="n">
        <x:f>SUMIF('Attempt Log'!$B$2:$B$101,A78,'Attempt Log'!$K$2:$K$101)</x:f>
        <x:v>0</x:v>
      </x:c>
      <x:c r="AE78" s="18" t="n">
        <x:f>AD78-AC78</x:f>
        <x:v>-55</x:v>
      </x:c>
      <x:c r="AF78" t="n">
        <x:f>COUNTIF('Attempt Log'!$B$2:$B$101,A78)</x:f>
        <x:v>0</x:v>
      </x:c>
      <x:c r="AG78" t="n">
        <x:f>IFERROR(SUMIFS('Attempt Log'!$U$2:$U$101,'Attempt Log'!$B$2:$B$101,A78,'Attempt Log'!$N$2:$N$101,"Yes")/COUNTIFS('Attempt Log'!$B$2:$B$101,A78,'Attempt Log'!$N$2:$N$101,"Yes"),0)</x:f>
        <x:v>0</x:v>
      </x:c>
    </x:row>
    <x:row r="79">
      <x:c r="A79" t="str">
        <x:v>equipment_shield_t03_base</x:v>
      </x:c>
      <x:c r="B79" t="str">
        <x:v>Escudo T3</x:v>
      </x:c>
      <x:c r="C79" t="str">
        <x:v>Shield T3</x:v>
      </x:c>
      <x:c r="D79" t="str">
        <x:v>Task017</x:v>
      </x:c>
      <x:c r="E79" t="str">
        <x:v>Equipment</x:v>
      </x:c>
      <x:c r="F79" t="str">
        <x:v>Weapon</x:v>
      </x:c>
      <x:c r="G79" t="str">
        <x:v>shield</x:v>
      </x:c>
      <x:c r="H79" t="str">
        <x:v>MVP</x:v>
      </x:c>
      <x:c r="I79" t="str">
        <x:v>P1</x:v>
      </x:c>
      <x:c r="J79" t="str">
        <x:v>B09_EQUIPMENT_T3</x:v>
      </x:c>
      <x:c r="K79" t="str">
        <x:v>Text to 3D</x:v>
      </x:c>
      <x:c r="L79" t="str">
        <x:v>Optional</x:v>
      </x:c>
      <x:c r="M79" t="n">
        <x:v>2500</x:v>
      </x:c>
      <x:c r="N79" t="str">
        <x:v>1024</x:v>
      </x:c>
      <x:c r="O79" t="str">
        <x:v>No</x:v>
      </x:c>
      <x:c r="P79" t="str">
        <x:v>None</x:v>
      </x:c>
      <x:c r="Q79" t="str">
        <x:v>Prompts/ConceptArt/equipment_shield_t03_base_concept_sheet.txt</x:v>
      </x:c>
      <x:c r="R79" t="str">
        <x:v>Prompts/Meshy/BaseGeometry/equipment_shield_t03_base_geometry.txt</x:v>
      </x:c>
      <x:c r="S79" t="str">
        <x:v>Prompts/TextureVariants/equipment_shield_t03_base_rarity_variants.txt</x:v>
      </x:c>
      <x:c r="T79" t="n">
        <x:v>1</x:v>
      </x:c>
      <x:c r="U79" t="n">
        <x:v>2</x:v>
      </x:c>
      <x:c r="V79" t="n">
        <x:v>1</x:v>
      </x:c>
      <x:c r="W79" t="n">
        <x:v>1</x:v>
      </x:c>
      <x:c r="X79" t="n">
        <x:v>0</x:v>
      </x:c>
      <x:c r="Y79" t="str">
        <x:v>readable at inventory scale; tier identity clear without UI; all six rarity variants preserve family; pivot and scale correct; no fragile geometry; URP PBR maps valid</x:v>
      </x:c>
      <x:c r="Z79" t="str">
        <x:v>Assets/_Game/Art/Equipment/Weapon/shield/T3/Models</x:v>
      </x:c>
      <x:c r="AA79" t="str">
        <x:v>Not Started</x:v>
      </x:c>
      <x:c r="AB79" t="str">
        <x:v>Pending</x:v>
      </x:c>
      <x:c r="AC79" s="18" t="n">
        <x:f>T79*'Settings &amp; Rates'!$B$5+U79*'Settings &amp; Rates'!$B$6+V79*'Settings &amp; Rates'!$B$7+W79*'Settings &amp; Rates'!$B$8+X79*'Settings &amp; Rates'!$B$9</x:f>
        <x:v>55</x:v>
      </x:c>
      <x:c r="AD79" s="18" t="n">
        <x:f>SUMIF('Attempt Log'!$B$2:$B$101,A79,'Attempt Log'!$K$2:$K$101)</x:f>
        <x:v>0</x:v>
      </x:c>
      <x:c r="AE79" s="18" t="n">
        <x:f>AD79-AC79</x:f>
        <x:v>-55</x:v>
      </x:c>
      <x:c r="AF79" t="n">
        <x:f>COUNTIF('Attempt Log'!$B$2:$B$101,A79)</x:f>
        <x:v>0</x:v>
      </x:c>
      <x:c r="AG79" t="n">
        <x:f>IFERROR(SUMIFS('Attempt Log'!$U$2:$U$101,'Attempt Log'!$B$2:$B$101,A79,'Attempt Log'!$N$2:$N$101,"Yes")/COUNTIFS('Attempt Log'!$B$2:$B$101,A79,'Attempt Log'!$N$2:$N$101,"Yes"),0)</x:f>
        <x:v>0</x:v>
      </x:c>
    </x:row>
    <x:row r="80">
      <x:c r="A80" t="str">
        <x:v>equipment_staff_t03_base</x:v>
      </x:c>
      <x:c r="B80" t="str">
        <x:v>Cajado T3</x:v>
      </x:c>
      <x:c r="C80" t="str">
        <x:v>Staff T3</x:v>
      </x:c>
      <x:c r="D80" t="str">
        <x:v>Task017</x:v>
      </x:c>
      <x:c r="E80" t="str">
        <x:v>Equipment</x:v>
      </x:c>
      <x:c r="F80" t="str">
        <x:v>Weapon</x:v>
      </x:c>
      <x:c r="G80" t="str">
        <x:v>staff</x:v>
      </x:c>
      <x:c r="H80" t="str">
        <x:v>MVP</x:v>
      </x:c>
      <x:c r="I80" t="str">
        <x:v>P1</x:v>
      </x:c>
      <x:c r="J80" t="str">
        <x:v>B09_EQUIPMENT_T3</x:v>
      </x:c>
      <x:c r="K80" t="str">
        <x:v>Text to 3D</x:v>
      </x:c>
      <x:c r="L80" t="str">
        <x:v>Optional</x:v>
      </x:c>
      <x:c r="M80" t="n">
        <x:v>2400</x:v>
      </x:c>
      <x:c r="N80" t="str">
        <x:v>1024</x:v>
      </x:c>
      <x:c r="O80" t="str">
        <x:v>No</x:v>
      </x:c>
      <x:c r="P80" t="str">
        <x:v>None</x:v>
      </x:c>
      <x:c r="Q80" t="str">
        <x:v>Prompts/ConceptArt/equipment_staff_t03_base_concept_sheet.txt</x:v>
      </x:c>
      <x:c r="R80" t="str">
        <x:v>Prompts/Meshy/BaseGeometry/equipment_staff_t03_base_geometry.txt</x:v>
      </x:c>
      <x:c r="S80" t="str">
        <x:v>Prompts/TextureVariants/equipment_staff_t03_base_rarity_variants.txt</x:v>
      </x:c>
      <x:c r="T80" t="n">
        <x:v>1</x:v>
      </x:c>
      <x:c r="U80" t="n">
        <x:v>2</x:v>
      </x:c>
      <x:c r="V80" t="n">
        <x:v>1</x:v>
      </x:c>
      <x:c r="W80" t="n">
        <x:v>1</x:v>
      </x:c>
      <x:c r="X80" t="n">
        <x:v>0</x:v>
      </x:c>
      <x:c r="Y80" t="str">
        <x:v>readable at inventory scale; tier identity clear without UI; all six rarity variants preserve family; pivot and scale correct; no fragile geometry; URP PBR maps valid</x:v>
      </x:c>
      <x:c r="Z80" t="str">
        <x:v>Assets/_Game/Art/Equipment/Weapon/staff/T3/Models</x:v>
      </x:c>
      <x:c r="AA80" t="str">
        <x:v>Not Started</x:v>
      </x:c>
      <x:c r="AB80" t="str">
        <x:v>Pending</x:v>
      </x:c>
      <x:c r="AC80" s="18" t="n">
        <x:f>T80*'Settings &amp; Rates'!$B$5+U80*'Settings &amp; Rates'!$B$6+V80*'Settings &amp; Rates'!$B$7+W80*'Settings &amp; Rates'!$B$8+X80*'Settings &amp; Rates'!$B$9</x:f>
        <x:v>55</x:v>
      </x:c>
      <x:c r="AD80" s="18" t="n">
        <x:f>SUMIF('Attempt Log'!$B$2:$B$101,A80,'Attempt Log'!$K$2:$K$101)</x:f>
        <x:v>0</x:v>
      </x:c>
      <x:c r="AE80" s="18" t="n">
        <x:f>AD80-AC80</x:f>
        <x:v>-55</x:v>
      </x:c>
      <x:c r="AF80" t="n">
        <x:f>COUNTIF('Attempt Log'!$B$2:$B$101,A80)</x:f>
        <x:v>0</x:v>
      </x:c>
      <x:c r="AG80" t="n">
        <x:f>IFERROR(SUMIFS('Attempt Log'!$U$2:$U$101,'Attempt Log'!$B$2:$B$101,A80,'Attempt Log'!$N$2:$N$101,"Yes")/COUNTIFS('Attempt Log'!$B$2:$B$101,A80,'Attempt Log'!$N$2:$N$101,"Yes"),0)</x:f>
        <x:v>0</x:v>
      </x:c>
    </x:row>
    <x:row r="81">
      <x:c r="A81" t="str">
        <x:v>equipment_sword_1h_t03_base</x:v>
      </x:c>
      <x:c r="B81" t="str">
        <x:v>Espada de Uma Mão T3</x:v>
      </x:c>
      <x:c r="C81" t="str">
        <x:v>One-Handed Sword T3</x:v>
      </x:c>
      <x:c r="D81" t="str">
        <x:v>Task017</x:v>
      </x:c>
      <x:c r="E81" t="str">
        <x:v>Equipment</x:v>
      </x:c>
      <x:c r="F81" t="str">
        <x:v>Weapon</x:v>
      </x:c>
      <x:c r="G81" t="str">
        <x:v>sword_1h</x:v>
      </x:c>
      <x:c r="H81" t="str">
        <x:v>MVP</x:v>
      </x:c>
      <x:c r="I81" t="str">
        <x:v>P1</x:v>
      </x:c>
      <x:c r="J81" t="str">
        <x:v>B09_EQUIPMENT_T3</x:v>
      </x:c>
      <x:c r="K81" t="str">
        <x:v>Text to 3D</x:v>
      </x:c>
      <x:c r="L81" t="str">
        <x:v>Optional</x:v>
      </x:c>
      <x:c r="M81" t="n">
        <x:v>2000</x:v>
      </x:c>
      <x:c r="N81" t="str">
        <x:v>1024</x:v>
      </x:c>
      <x:c r="O81" t="str">
        <x:v>No</x:v>
      </x:c>
      <x:c r="P81" t="str">
        <x:v>None</x:v>
      </x:c>
      <x:c r="Q81" t="str">
        <x:v>Prompts/ConceptArt/equipment_sword_1h_t03_base_concept_sheet.txt</x:v>
      </x:c>
      <x:c r="R81" t="str">
        <x:v>Prompts/Meshy/BaseGeometry/equipment_sword_1h_t03_base_geometry.txt</x:v>
      </x:c>
      <x:c r="S81" t="str">
        <x:v>Prompts/TextureVariants/equipment_sword_1h_t03_base_rarity_variants.txt</x:v>
      </x:c>
      <x:c r="T81" t="n">
        <x:v>1</x:v>
      </x:c>
      <x:c r="U81" t="n">
        <x:v>2</x:v>
      </x:c>
      <x:c r="V81" t="n">
        <x:v>1</x:v>
      </x:c>
      <x:c r="W81" t="n">
        <x:v>1</x:v>
      </x:c>
      <x:c r="X81" t="n">
        <x:v>0</x:v>
      </x:c>
      <x:c r="Y81" t="str">
        <x:v>readable at inventory scale; tier identity clear without UI; all six rarity variants preserve family; pivot and scale correct; no fragile geometry; URP PBR maps valid</x:v>
      </x:c>
      <x:c r="Z81" t="str">
        <x:v>Assets/_Game/Art/Equipment/Weapon/sword_1h/T3/Models</x:v>
      </x:c>
      <x:c r="AA81" t="str">
        <x:v>Not Started</x:v>
      </x:c>
      <x:c r="AB81" t="str">
        <x:v>Pending</x:v>
      </x:c>
      <x:c r="AC81" s="18" t="n">
        <x:f>T81*'Settings &amp; Rates'!$B$5+U81*'Settings &amp; Rates'!$B$6+V81*'Settings &amp; Rates'!$B$7+W81*'Settings &amp; Rates'!$B$8+X81*'Settings &amp; Rates'!$B$9</x:f>
        <x:v>55</x:v>
      </x:c>
      <x:c r="AD81" s="18" t="n">
        <x:f>SUMIF('Attempt Log'!$B$2:$B$101,A81,'Attempt Log'!$K$2:$K$101)</x:f>
        <x:v>0</x:v>
      </x:c>
      <x:c r="AE81" s="18" t="n">
        <x:f>AD81-AC81</x:f>
        <x:v>-55</x:v>
      </x:c>
      <x:c r="AF81" t="n">
        <x:f>COUNTIF('Attempt Log'!$B$2:$B$101,A81)</x:f>
        <x:v>0</x:v>
      </x:c>
      <x:c r="AG81" t="n">
        <x:f>IFERROR(SUMIFS('Attempt Log'!$U$2:$U$101,'Attempt Log'!$B$2:$B$101,A81,'Attempt Log'!$N$2:$N$101,"Yes")/COUNTIFS('Attempt Log'!$B$2:$B$101,A81,'Attempt Log'!$N$2:$N$101,"Yes"),0)</x:f>
        <x:v>0</x:v>
      </x:c>
    </x:row>
    <x:row r="82">
      <x:c r="A82" t="str">
        <x:v>equipment_amulet_t04_base</x:v>
      </x:c>
      <x:c r="B82" t="str">
        <x:v>Amuleto T4</x:v>
      </x:c>
      <x:c r="C82" t="str">
        <x:v>Amulet T4</x:v>
      </x:c>
      <x:c r="D82" t="str">
        <x:v>Task017</x:v>
      </x:c>
      <x:c r="E82" t="str">
        <x:v>Equipment</x:v>
      </x:c>
      <x:c r="F82" t="str">
        <x:v>Accessory</x:v>
      </x:c>
      <x:c r="G82" t="str">
        <x:v>amulet</x:v>
      </x:c>
      <x:c r="H82" t="str">
        <x:v>Season 1</x:v>
      </x:c>
      <x:c r="I82" t="str">
        <x:v>P2</x:v>
      </x:c>
      <x:c r="J82" t="str">
        <x:v>B10_EQUIPMENT_T4</x:v>
      </x:c>
      <x:c r="K82" t="str">
        <x:v>Text to 3D</x:v>
      </x:c>
      <x:c r="L82" t="str">
        <x:v>Optional</x:v>
      </x:c>
      <x:c r="M82" t="n">
        <x:v>900</x:v>
      </x:c>
      <x:c r="N82" t="str">
        <x:v>512</x:v>
      </x:c>
      <x:c r="O82" t="str">
        <x:v>No</x:v>
      </x:c>
      <x:c r="P82" t="str">
        <x:v>None</x:v>
      </x:c>
      <x:c r="Q82" t="str">
        <x:v>Prompts/ConceptArt/equipment_amulet_t04_base_concept_sheet.txt</x:v>
      </x:c>
      <x:c r="R82" t="str">
        <x:v>Prompts/Meshy/BaseGeometry/equipment_amulet_t04_base_geometry.txt</x:v>
      </x:c>
      <x:c r="S82" t="str">
        <x:v>Prompts/TextureVariants/equipment_amulet_t04_base_rarity_variants.txt</x:v>
      </x:c>
      <x:c r="T82" t="n">
        <x:v>1</x:v>
      </x:c>
      <x:c r="U82" t="n">
        <x:v>2</x:v>
      </x:c>
      <x:c r="V82" t="n">
        <x:v>1</x:v>
      </x:c>
      <x:c r="W82" t="n">
        <x:v>1</x:v>
      </x:c>
      <x:c r="X82" t="n">
        <x:v>0</x:v>
      </x:c>
      <x:c r="Y82" t="str">
        <x:v>readable at inventory scale; tier identity clear without UI; all six rarity variants preserve family; pivot and scale correct; no fragile geometry; URP PBR maps valid</x:v>
      </x:c>
      <x:c r="Z82" t="str">
        <x:v>Assets/_Game/Art/Equipment/Accessory/amulet/T4/Models</x:v>
      </x:c>
      <x:c r="AA82" t="str">
        <x:v>Not Started</x:v>
      </x:c>
      <x:c r="AB82" t="str">
        <x:v>Pending</x:v>
      </x:c>
      <x:c r="AC82" s="18" t="n">
        <x:f>T82*'Settings &amp; Rates'!$B$5+U82*'Settings &amp; Rates'!$B$6+V82*'Settings &amp; Rates'!$B$7+W82*'Settings &amp; Rates'!$B$8+X82*'Settings &amp; Rates'!$B$9</x:f>
        <x:v>55</x:v>
      </x:c>
      <x:c r="AD82" s="18" t="n">
        <x:f>SUMIF('Attempt Log'!$B$2:$B$101,A82,'Attempt Log'!$K$2:$K$101)</x:f>
        <x:v>0</x:v>
      </x:c>
      <x:c r="AE82" s="18" t="n">
        <x:f>AD82-AC82</x:f>
        <x:v>-55</x:v>
      </x:c>
      <x:c r="AF82" t="n">
        <x:f>COUNTIF('Attempt Log'!$B$2:$B$101,A82)</x:f>
        <x:v>0</x:v>
      </x:c>
      <x:c r="AG82" t="n">
        <x:f>IFERROR(SUMIFS('Attempt Log'!$U$2:$U$101,'Attempt Log'!$B$2:$B$101,A82,'Attempt Log'!$N$2:$N$101,"Yes")/COUNTIFS('Attempt Log'!$B$2:$B$101,A82,'Attempt Log'!$N$2:$N$101,"Yes"),0)</x:f>
        <x:v>0</x:v>
      </x:c>
    </x:row>
    <x:row r="83">
      <x:c r="A83" t="str">
        <x:v>equipment_cloth_boots_t04_base</x:v>
      </x:c>
      <x:c r="B83" t="str">
        <x:v>Botas Arcanas T4</x:v>
      </x:c>
      <x:c r="C83" t="str">
        <x:v>Arcane Boots T4</x:v>
      </x:c>
      <x:c r="D83" t="str">
        <x:v>Task017</x:v>
      </x:c>
      <x:c r="E83" t="str">
        <x:v>Equipment</x:v>
      </x:c>
      <x:c r="F83" t="str">
        <x:v>Cloth Armor</x:v>
      </x:c>
      <x:c r="G83" t="str">
        <x:v>cloth_boots</x:v>
      </x:c>
      <x:c r="H83" t="str">
        <x:v>Season 1</x:v>
      </x:c>
      <x:c r="I83" t="str">
        <x:v>P2</x:v>
      </x:c>
      <x:c r="J83" t="str">
        <x:v>B10_EQUIPMENT_T4</x:v>
      </x:c>
      <x:c r="K83" t="str">
        <x:v>Image to 3D</x:v>
      </x:c>
      <x:c r="L83" t="str">
        <x:v>Yes</x:v>
      </x:c>
      <x:c r="M83" t="n">
        <x:v>1450</x:v>
      </x:c>
      <x:c r="N83" t="str">
        <x:v>1024</x:v>
      </x:c>
      <x:c r="O83" t="str">
        <x:v>No</x:v>
      </x:c>
      <x:c r="P83" t="str">
        <x:v>None</x:v>
      </x:c>
      <x:c r="Q83" t="str">
        <x:v>Prompts/ConceptArt/equipment_cloth_boots_t04_base_concept_sheet.txt</x:v>
      </x:c>
      <x:c r="R83" t="str">
        <x:v>Prompts/Meshy/BaseGeometry/equipment_cloth_boots_t04_base_geometry.txt</x:v>
      </x:c>
      <x:c r="S83" t="str">
        <x:v>Prompts/TextureVariants/equipment_cloth_boots_t04_base_rarity_variants.txt</x:v>
      </x:c>
      <x:c r="T83" t="n">
        <x:v>2</x:v>
      </x:c>
      <x:c r="U83" t="n">
        <x:v>2</x:v>
      </x:c>
      <x:c r="V83" t="n">
        <x:v>1</x:v>
      </x:c>
      <x:c r="W83" t="n">
        <x:v>1</x:v>
      </x:c>
      <x:c r="X83" t="n">
        <x:v>0</x:v>
      </x:c>
      <x:c r="Y83" t="str">
        <x:v>readable at inventory scale; tier identity clear without UI; all six rarity variants preserve family; pivot and scale correct; no fragile geometry; URP PBR maps valid</x:v>
      </x:c>
      <x:c r="Z83" t="str">
        <x:v>Assets/_Game/Art/Equipment/ClothArmor/cloth_boots/T4/Models</x:v>
      </x:c>
      <x:c r="AA83" t="str">
        <x:v>Not Started</x:v>
      </x:c>
      <x:c r="AB83" t="str">
        <x:v>Pending</x:v>
      </x:c>
      <x:c r="AC83" s="18" t="n">
        <x:f>T83*'Settings &amp; Rates'!$B$5+U83*'Settings &amp; Rates'!$B$6+V83*'Settings &amp; Rates'!$B$7+W83*'Settings &amp; Rates'!$B$8+X83*'Settings &amp; Rates'!$B$9</x:f>
        <x:v>55</x:v>
      </x:c>
      <x:c r="AD83" s="18" t="n">
        <x:f>SUMIF('Attempt Log'!$B$2:$B$101,A83,'Attempt Log'!$K$2:$K$101)</x:f>
        <x:v>0</x:v>
      </x:c>
      <x:c r="AE83" s="18" t="n">
        <x:f>AD83-AC83</x:f>
        <x:v>-55</x:v>
      </x:c>
      <x:c r="AF83" t="n">
        <x:f>COUNTIF('Attempt Log'!$B$2:$B$101,A83)</x:f>
        <x:v>0</x:v>
      </x:c>
      <x:c r="AG83" t="n">
        <x:f>IFERROR(SUMIFS('Attempt Log'!$U$2:$U$101,'Attempt Log'!$B$2:$B$101,A83,'Attempt Log'!$N$2:$N$101,"Yes")/COUNTIFS('Attempt Log'!$B$2:$B$101,A83,'Attempt Log'!$N$2:$N$101,"Yes"),0)</x:f>
        <x:v>0</x:v>
      </x:c>
    </x:row>
    <x:row r="84">
      <x:c r="A84" t="str">
        <x:v>equipment_cloth_gloves_t04_base</x:v>
      </x:c>
      <x:c r="B84" t="str">
        <x:v>Luvas Arcanas T4</x:v>
      </x:c>
      <x:c r="C84" t="str">
        <x:v>Arcane Gloves T4</x:v>
      </x:c>
      <x:c r="D84" t="str">
        <x:v>Task017</x:v>
      </x:c>
      <x:c r="E84" t="str">
        <x:v>Equipment</x:v>
      </x:c>
      <x:c r="F84" t="str">
        <x:v>Cloth Armor</x:v>
      </x:c>
      <x:c r="G84" t="str">
        <x:v>cloth_gloves</x:v>
      </x:c>
      <x:c r="H84" t="str">
        <x:v>Season 1</x:v>
      </x:c>
      <x:c r="I84" t="str">
        <x:v>P2</x:v>
      </x:c>
      <x:c r="J84" t="str">
        <x:v>B10_EQUIPMENT_T4</x:v>
      </x:c>
      <x:c r="K84" t="str">
        <x:v>Image to 3D</x:v>
      </x:c>
      <x:c r="L84" t="str">
        <x:v>Yes</x:v>
      </x:c>
      <x:c r="M84" t="n">
        <x:v>1200</x:v>
      </x:c>
      <x:c r="N84" t="str">
        <x:v>1024</x:v>
      </x:c>
      <x:c r="O84" t="str">
        <x:v>No</x:v>
      </x:c>
      <x:c r="P84" t="str">
        <x:v>None</x:v>
      </x:c>
      <x:c r="Q84" t="str">
        <x:v>Prompts/ConceptArt/equipment_cloth_gloves_t04_base_concept_sheet.txt</x:v>
      </x:c>
      <x:c r="R84" t="str">
        <x:v>Prompts/Meshy/BaseGeometry/equipment_cloth_gloves_t04_base_geometry.txt</x:v>
      </x:c>
      <x:c r="S84" t="str">
        <x:v>Prompts/TextureVariants/equipment_cloth_gloves_t04_base_rarity_variants.txt</x:v>
      </x:c>
      <x:c r="T84" t="n">
        <x:v>2</x:v>
      </x:c>
      <x:c r="U84" t="n">
        <x:v>2</x:v>
      </x:c>
      <x:c r="V84" t="n">
        <x:v>1</x:v>
      </x:c>
      <x:c r="W84" t="n">
        <x:v>1</x:v>
      </x:c>
      <x:c r="X84" t="n">
        <x:v>0</x:v>
      </x:c>
      <x:c r="Y84" t="str">
        <x:v>readable at inventory scale; tier identity clear without UI; all six rarity variants preserve family; pivot and scale correct; no fragile geometry; URP PBR maps valid</x:v>
      </x:c>
      <x:c r="Z84" t="str">
        <x:v>Assets/_Game/Art/Equipment/ClothArmor/cloth_gloves/T4/Models</x:v>
      </x:c>
      <x:c r="AA84" t="str">
        <x:v>Not Started</x:v>
      </x:c>
      <x:c r="AB84" t="str">
        <x:v>Pending</x:v>
      </x:c>
      <x:c r="AC84" s="18" t="n">
        <x:f>T84*'Settings &amp; Rates'!$B$5+U84*'Settings &amp; Rates'!$B$6+V84*'Settings &amp; Rates'!$B$7+W84*'Settings &amp; Rates'!$B$8+X84*'Settings &amp; Rates'!$B$9</x:f>
        <x:v>55</x:v>
      </x:c>
      <x:c r="AD84" s="18" t="n">
        <x:f>SUMIF('Attempt Log'!$B$2:$B$101,A84,'Attempt Log'!$K$2:$K$101)</x:f>
        <x:v>0</x:v>
      </x:c>
      <x:c r="AE84" s="18" t="n">
        <x:f>AD84-AC84</x:f>
        <x:v>-55</x:v>
      </x:c>
      <x:c r="AF84" t="n">
        <x:f>COUNTIF('Attempt Log'!$B$2:$B$101,A84)</x:f>
        <x:v>0</x:v>
      </x:c>
      <x:c r="AG84" t="n">
        <x:f>IFERROR(SUMIFS('Attempt Log'!$U$2:$U$101,'Attempt Log'!$B$2:$B$101,A84,'Attempt Log'!$N$2:$N$101,"Yes")/COUNTIFS('Attempt Log'!$B$2:$B$101,A84,'Attempt Log'!$N$2:$N$101,"Yes"),0)</x:f>
        <x:v>0</x:v>
      </x:c>
    </x:row>
    <x:row r="85">
      <x:c r="A85" t="str">
        <x:v>equipment_cloth_hood_t04_base</x:v>
      </x:c>
      <x:c r="B85" t="str">
        <x:v>Capuz Arcano T4</x:v>
      </x:c>
      <x:c r="C85" t="str">
        <x:v>Arcane Hood T4</x:v>
      </x:c>
      <x:c r="D85" t="str">
        <x:v>Task017</x:v>
      </x:c>
      <x:c r="E85" t="str">
        <x:v>Equipment</x:v>
      </x:c>
      <x:c r="F85" t="str">
        <x:v>Cloth Armor</x:v>
      </x:c>
      <x:c r="G85" t="str">
        <x:v>cloth_hood</x:v>
      </x:c>
      <x:c r="H85" t="str">
        <x:v>Season 1</x:v>
      </x:c>
      <x:c r="I85" t="str">
        <x:v>P2</x:v>
      </x:c>
      <x:c r="J85" t="str">
        <x:v>B10_EQUIPMENT_T4</x:v>
      </x:c>
      <x:c r="K85" t="str">
        <x:v>Image to 3D</x:v>
      </x:c>
      <x:c r="L85" t="str">
        <x:v>Yes</x:v>
      </x:c>
      <x:c r="M85" t="n">
        <x:v>1500</x:v>
      </x:c>
      <x:c r="N85" t="str">
        <x:v>1024</x:v>
      </x:c>
      <x:c r="O85" t="str">
        <x:v>No</x:v>
      </x:c>
      <x:c r="P85" t="str">
        <x:v>None</x:v>
      </x:c>
      <x:c r="Q85" t="str">
        <x:v>Prompts/ConceptArt/equipment_cloth_hood_t04_base_concept_sheet.txt</x:v>
      </x:c>
      <x:c r="R85" t="str">
        <x:v>Prompts/Meshy/BaseGeometry/equipment_cloth_hood_t04_base_geometry.txt</x:v>
      </x:c>
      <x:c r="S85" t="str">
        <x:v>Prompts/TextureVariants/equipment_cloth_hood_t04_base_rarity_variants.txt</x:v>
      </x:c>
      <x:c r="T85" t="n">
        <x:v>2</x:v>
      </x:c>
      <x:c r="U85" t="n">
        <x:v>2</x:v>
      </x:c>
      <x:c r="V85" t="n">
        <x:v>1</x:v>
      </x:c>
      <x:c r="W85" t="n">
        <x:v>1</x:v>
      </x:c>
      <x:c r="X85" t="n">
        <x:v>0</x:v>
      </x:c>
      <x:c r="Y85" t="str">
        <x:v>readable at inventory scale; tier identity clear without UI; all six rarity variants preserve family; pivot and scale correct; no fragile geometry; URP PBR maps valid</x:v>
      </x:c>
      <x:c r="Z85" t="str">
        <x:v>Assets/_Game/Art/Equipment/ClothArmor/cloth_hood/T4/Models</x:v>
      </x:c>
      <x:c r="AA85" t="str">
        <x:v>Not Started</x:v>
      </x:c>
      <x:c r="AB85" t="str">
        <x:v>Pending</x:v>
      </x:c>
      <x:c r="AC85" s="18" t="n">
        <x:f>T85*'Settings &amp; Rates'!$B$5+U85*'Settings &amp; Rates'!$B$6+V85*'Settings &amp; Rates'!$B$7+W85*'Settings &amp; Rates'!$B$8+X85*'Settings &amp; Rates'!$B$9</x:f>
        <x:v>55</x:v>
      </x:c>
      <x:c r="AD85" s="18" t="n">
        <x:f>SUMIF('Attempt Log'!$B$2:$B$101,A85,'Attempt Log'!$K$2:$K$101)</x:f>
        <x:v>0</x:v>
      </x:c>
      <x:c r="AE85" s="18" t="n">
        <x:f>AD85-AC85</x:f>
        <x:v>-55</x:v>
      </x:c>
      <x:c r="AF85" t="n">
        <x:f>COUNTIF('Attempt Log'!$B$2:$B$101,A85)</x:f>
        <x:v>0</x:v>
      </x:c>
      <x:c r="AG85" t="n">
        <x:f>IFERROR(SUMIFS('Attempt Log'!$U$2:$U$101,'Attempt Log'!$B$2:$B$101,A85,'Attempt Log'!$N$2:$N$101,"Yes")/COUNTIFS('Attempt Log'!$B$2:$B$101,A85,'Attempt Log'!$N$2:$N$101,"Yes"),0)</x:f>
        <x:v>0</x:v>
      </x:c>
    </x:row>
    <x:row r="86">
      <x:c r="A86" t="str">
        <x:v>equipment_cloth_robe_t04_base</x:v>
      </x:c>
      <x:c r="B86" t="str">
        <x:v>Manto Arcano T4</x:v>
      </x:c>
      <x:c r="C86" t="str">
        <x:v>Arcane Robe T4</x:v>
      </x:c>
      <x:c r="D86" t="str">
        <x:v>Task017</x:v>
      </x:c>
      <x:c r="E86" t="str">
        <x:v>Equipment</x:v>
      </x:c>
      <x:c r="F86" t="str">
        <x:v>Cloth Armor</x:v>
      </x:c>
      <x:c r="G86" t="str">
        <x:v>cloth_robe</x:v>
      </x:c>
      <x:c r="H86" t="str">
        <x:v>Season 1</x:v>
      </x:c>
      <x:c r="I86" t="str">
        <x:v>P2</x:v>
      </x:c>
      <x:c r="J86" t="str">
        <x:v>B10_EQUIPMENT_T4</x:v>
      </x:c>
      <x:c r="K86" t="str">
        <x:v>Image to 3D</x:v>
      </x:c>
      <x:c r="L86" t="str">
        <x:v>Yes</x:v>
      </x:c>
      <x:c r="M86" t="n">
        <x:v>3350</x:v>
      </x:c>
      <x:c r="N86" t="str">
        <x:v>1024</x:v>
      </x:c>
      <x:c r="O86" t="str">
        <x:v>No</x:v>
      </x:c>
      <x:c r="P86" t="str">
        <x:v>None</x:v>
      </x:c>
      <x:c r="Q86" t="str">
        <x:v>Prompts/ConceptArt/equipment_cloth_robe_t04_base_concept_sheet.txt</x:v>
      </x:c>
      <x:c r="R86" t="str">
        <x:v>Prompts/Meshy/BaseGeometry/equipment_cloth_robe_t04_base_geometry.txt</x:v>
      </x:c>
      <x:c r="S86" t="str">
        <x:v>Prompts/TextureVariants/equipment_cloth_robe_t04_base_rarity_variants.txt</x:v>
      </x:c>
      <x:c r="T86" t="n">
        <x:v>2</x:v>
      </x:c>
      <x:c r="U86" t="n">
        <x:v>2</x:v>
      </x:c>
      <x:c r="V86" t="n">
        <x:v>1</x:v>
      </x:c>
      <x:c r="W86" t="n">
        <x:v>1</x:v>
      </x:c>
      <x:c r="X86" t="n">
        <x:v>0</x:v>
      </x:c>
      <x:c r="Y86" t="str">
        <x:v>readable at inventory scale; tier identity clear without UI; all six rarity variants preserve family; pivot and scale correct; no fragile geometry; URP PBR maps valid</x:v>
      </x:c>
      <x:c r="Z86" t="str">
        <x:v>Assets/_Game/Art/Equipment/ClothArmor/cloth_robe/T4/Models</x:v>
      </x:c>
      <x:c r="AA86" t="str">
        <x:v>Not Started</x:v>
      </x:c>
      <x:c r="AB86" t="str">
        <x:v>Pending</x:v>
      </x:c>
      <x:c r="AC86" s="18" t="n">
        <x:f>T86*'Settings &amp; Rates'!$B$5+U86*'Settings &amp; Rates'!$B$6+V86*'Settings &amp; Rates'!$B$7+W86*'Settings &amp; Rates'!$B$8+X86*'Settings &amp; Rates'!$B$9</x:f>
        <x:v>55</x:v>
      </x:c>
      <x:c r="AD86" s="18" t="n">
        <x:f>SUMIF('Attempt Log'!$B$2:$B$101,A86,'Attempt Log'!$K$2:$K$101)</x:f>
        <x:v>0</x:v>
      </x:c>
      <x:c r="AE86" s="18" t="n">
        <x:f>AD86-AC86</x:f>
        <x:v>-55</x:v>
      </x:c>
      <x:c r="AF86" t="n">
        <x:f>COUNTIF('Attempt Log'!$B$2:$B$101,A86)</x:f>
        <x:v>0</x:v>
      </x:c>
      <x:c r="AG86" t="n">
        <x:f>IFERROR(SUMIFS('Attempt Log'!$U$2:$U$101,'Attempt Log'!$B$2:$B$101,A86,'Attempt Log'!$N$2:$N$101,"Yes")/COUNTIFS('Attempt Log'!$B$2:$B$101,A86,'Attempt Log'!$N$2:$N$101,"Yes"),0)</x:f>
        <x:v>0</x:v>
      </x:c>
    </x:row>
    <x:row r="87">
      <x:c r="A87" t="str">
        <x:v>equipment_heavy_boots_t04_base</x:v>
      </x:c>
      <x:c r="B87" t="str">
        <x:v>Botas Pesadas T4</x:v>
      </x:c>
      <x:c r="C87" t="str">
        <x:v>Heavy Boots T4</x:v>
      </x:c>
      <x:c r="D87" t="str">
        <x:v>Task017</x:v>
      </x:c>
      <x:c r="E87" t="str">
        <x:v>Equipment</x:v>
      </x:c>
      <x:c r="F87" t="str">
        <x:v>Heavy Armor</x:v>
      </x:c>
      <x:c r="G87" t="str">
        <x:v>heavy_boots</x:v>
      </x:c>
      <x:c r="H87" t="str">
        <x:v>Season 1</x:v>
      </x:c>
      <x:c r="I87" t="str">
        <x:v>P2</x:v>
      </x:c>
      <x:c r="J87" t="str">
        <x:v>B10_EQUIPMENT_T4</x:v>
      </x:c>
      <x:c r="K87" t="str">
        <x:v>Image to 3D</x:v>
      </x:c>
      <x:c r="L87" t="str">
        <x:v>Yes</x:v>
      </x:c>
      <x:c r="M87" t="n">
        <x:v>1750</x:v>
      </x:c>
      <x:c r="N87" t="str">
        <x:v>1024</x:v>
      </x:c>
      <x:c r="O87" t="str">
        <x:v>No</x:v>
      </x:c>
      <x:c r="P87" t="str">
        <x:v>None</x:v>
      </x:c>
      <x:c r="Q87" t="str">
        <x:v>Prompts/ConceptArt/equipment_heavy_boots_t04_base_concept_sheet.txt</x:v>
      </x:c>
      <x:c r="R87" t="str">
        <x:v>Prompts/Meshy/BaseGeometry/equipment_heavy_boots_t04_base_geometry.txt</x:v>
      </x:c>
      <x:c r="S87" t="str">
        <x:v>Prompts/TextureVariants/equipment_heavy_boots_t04_base_rarity_variants.txt</x:v>
      </x:c>
      <x:c r="T87" t="n">
        <x:v>2</x:v>
      </x:c>
      <x:c r="U87" t="n">
        <x:v>2</x:v>
      </x:c>
      <x:c r="V87" t="n">
        <x:v>1</x:v>
      </x:c>
      <x:c r="W87" t="n">
        <x:v>1</x:v>
      </x:c>
      <x:c r="X87" t="n">
        <x:v>0</x:v>
      </x:c>
      <x:c r="Y87" t="str">
        <x:v>readable at inventory scale; tier identity clear without UI; all six rarity variants preserve family; pivot and scale correct; no fragile geometry; URP PBR maps valid</x:v>
      </x:c>
      <x:c r="Z87" t="str">
        <x:v>Assets/_Game/Art/Equipment/HeavyArmor/heavy_boots/T4/Models</x:v>
      </x:c>
      <x:c r="AA87" t="str">
        <x:v>Not Started</x:v>
      </x:c>
      <x:c r="AB87" t="str">
        <x:v>Pending</x:v>
      </x:c>
      <x:c r="AC87" s="18" t="n">
        <x:f>T87*'Settings &amp; Rates'!$B$5+U87*'Settings &amp; Rates'!$B$6+V87*'Settings &amp; Rates'!$B$7+W87*'Settings &amp; Rates'!$B$8+X87*'Settings &amp; Rates'!$B$9</x:f>
        <x:v>55</x:v>
      </x:c>
      <x:c r="AD87" s="18" t="n">
        <x:f>SUMIF('Attempt Log'!$B$2:$B$101,A87,'Attempt Log'!$K$2:$K$101)</x:f>
        <x:v>0</x:v>
      </x:c>
      <x:c r="AE87" s="18" t="n">
        <x:f>AD87-AC87</x:f>
        <x:v>-55</x:v>
      </x:c>
      <x:c r="AF87" t="n">
        <x:f>COUNTIF('Attempt Log'!$B$2:$B$101,A87)</x:f>
        <x:v>0</x:v>
      </x:c>
      <x:c r="AG87" t="n">
        <x:f>IFERROR(SUMIFS('Attempt Log'!$U$2:$U$101,'Attempt Log'!$B$2:$B$101,A87,'Attempt Log'!$N$2:$N$101,"Yes")/COUNTIFS('Attempt Log'!$B$2:$B$101,A87,'Attempt Log'!$N$2:$N$101,"Yes"),0)</x:f>
        <x:v>0</x:v>
      </x:c>
    </x:row>
    <x:row r="88">
      <x:c r="A88" t="str">
        <x:v>equipment_heavy_chest_t04_base</x:v>
      </x:c>
      <x:c r="B88" t="str">
        <x:v>Peitoral Pesado T4</x:v>
      </x:c>
      <x:c r="C88" t="str">
        <x:v>Heavy Chest Armor T4</x:v>
      </x:c>
      <x:c r="D88" t="str">
        <x:v>Task017</x:v>
      </x:c>
      <x:c r="E88" t="str">
        <x:v>Equipment</x:v>
      </x:c>
      <x:c r="F88" t="str">
        <x:v>Heavy Armor</x:v>
      </x:c>
      <x:c r="G88" t="str">
        <x:v>heavy_chest</x:v>
      </x:c>
      <x:c r="H88" t="str">
        <x:v>Season 1</x:v>
      </x:c>
      <x:c r="I88" t="str">
        <x:v>P2</x:v>
      </x:c>
      <x:c r="J88" t="str">
        <x:v>B10_EQUIPMENT_T4</x:v>
      </x:c>
      <x:c r="K88" t="str">
        <x:v>Image to 3D</x:v>
      </x:c>
      <x:c r="L88" t="str">
        <x:v>Yes</x:v>
      </x:c>
      <x:c r="M88" t="n">
        <x:v>3750</x:v>
      </x:c>
      <x:c r="N88" t="str">
        <x:v>1024</x:v>
      </x:c>
      <x:c r="O88" t="str">
        <x:v>No</x:v>
      </x:c>
      <x:c r="P88" t="str">
        <x:v>None</x:v>
      </x:c>
      <x:c r="Q88" t="str">
        <x:v>Prompts/ConceptArt/equipment_heavy_chest_t04_base_concept_sheet.txt</x:v>
      </x:c>
      <x:c r="R88" t="str">
        <x:v>Prompts/Meshy/BaseGeometry/equipment_heavy_chest_t04_base_geometry.txt</x:v>
      </x:c>
      <x:c r="S88" t="str">
        <x:v>Prompts/TextureVariants/equipment_heavy_chest_t04_base_rarity_variants.txt</x:v>
      </x:c>
      <x:c r="T88" t="n">
        <x:v>2</x:v>
      </x:c>
      <x:c r="U88" t="n">
        <x:v>2</x:v>
      </x:c>
      <x:c r="V88" t="n">
        <x:v>1</x:v>
      </x:c>
      <x:c r="W88" t="n">
        <x:v>1</x:v>
      </x:c>
      <x:c r="X88" t="n">
        <x:v>0</x:v>
      </x:c>
      <x:c r="Y88" t="str">
        <x:v>readable at inventory scale; tier identity clear without UI; all six rarity variants preserve family; pivot and scale correct; no fragile geometry; URP PBR maps valid</x:v>
      </x:c>
      <x:c r="Z88" t="str">
        <x:v>Assets/_Game/Art/Equipment/HeavyArmor/heavy_chest/T4/Models</x:v>
      </x:c>
      <x:c r="AA88" t="str">
        <x:v>Not Started</x:v>
      </x:c>
      <x:c r="AB88" t="str">
        <x:v>Pending</x:v>
      </x:c>
      <x:c r="AC88" s="18" t="n">
        <x:f>T88*'Settings &amp; Rates'!$B$5+U88*'Settings &amp; Rates'!$B$6+V88*'Settings &amp; Rates'!$B$7+W88*'Settings &amp; Rates'!$B$8+X88*'Settings &amp; Rates'!$B$9</x:f>
        <x:v>55</x:v>
      </x:c>
      <x:c r="AD88" s="18" t="n">
        <x:f>SUMIF('Attempt Log'!$B$2:$B$101,A88,'Attempt Log'!$K$2:$K$101)</x:f>
        <x:v>0</x:v>
      </x:c>
      <x:c r="AE88" s="18" t="n">
        <x:f>AD88-AC88</x:f>
        <x:v>-55</x:v>
      </x:c>
      <x:c r="AF88" t="n">
        <x:f>COUNTIF('Attempt Log'!$B$2:$B$101,A88)</x:f>
        <x:v>0</x:v>
      </x:c>
      <x:c r="AG88" t="n">
        <x:f>IFERROR(SUMIFS('Attempt Log'!$U$2:$U$101,'Attempt Log'!$B$2:$B$101,A88,'Attempt Log'!$N$2:$N$101,"Yes")/COUNTIFS('Attempt Log'!$B$2:$B$101,A88,'Attempt Log'!$N$2:$N$101,"Yes"),0)</x:f>
        <x:v>0</x:v>
      </x:c>
    </x:row>
    <x:row r="89">
      <x:c r="A89" t="str">
        <x:v>equipment_heavy_gloves_t04_base</x:v>
      </x:c>
      <x:c r="B89" t="str">
        <x:v>Manoplas Pesadas T4</x:v>
      </x:c>
      <x:c r="C89" t="str">
        <x:v>Heavy Gauntlets T4</x:v>
      </x:c>
      <x:c r="D89" t="str">
        <x:v>Task017</x:v>
      </x:c>
      <x:c r="E89" t="str">
        <x:v>Equipment</x:v>
      </x:c>
      <x:c r="F89" t="str">
        <x:v>Heavy Armor</x:v>
      </x:c>
      <x:c r="G89" t="str">
        <x:v>heavy_gloves</x:v>
      </x:c>
      <x:c r="H89" t="str">
        <x:v>Season 1</x:v>
      </x:c>
      <x:c r="I89" t="str">
        <x:v>P2</x:v>
      </x:c>
      <x:c r="J89" t="str">
        <x:v>B10_EQUIPMENT_T4</x:v>
      </x:c>
      <x:c r="K89" t="str">
        <x:v>Image to 3D</x:v>
      </x:c>
      <x:c r="L89" t="str">
        <x:v>Yes</x:v>
      </x:c>
      <x:c r="M89" t="n">
        <x:v>1550</x:v>
      </x:c>
      <x:c r="N89" t="str">
        <x:v>1024</x:v>
      </x:c>
      <x:c r="O89" t="str">
        <x:v>No</x:v>
      </x:c>
      <x:c r="P89" t="str">
        <x:v>None</x:v>
      </x:c>
      <x:c r="Q89" t="str">
        <x:v>Prompts/ConceptArt/equipment_heavy_gloves_t04_base_concept_sheet.txt</x:v>
      </x:c>
      <x:c r="R89" t="str">
        <x:v>Prompts/Meshy/BaseGeometry/equipment_heavy_gloves_t04_base_geometry.txt</x:v>
      </x:c>
      <x:c r="S89" t="str">
        <x:v>Prompts/TextureVariants/equipment_heavy_gloves_t04_base_rarity_variants.txt</x:v>
      </x:c>
      <x:c r="T89" t="n">
        <x:v>2</x:v>
      </x:c>
      <x:c r="U89" t="n">
        <x:v>2</x:v>
      </x:c>
      <x:c r="V89" t="n">
        <x:v>1</x:v>
      </x:c>
      <x:c r="W89" t="n">
        <x:v>1</x:v>
      </x:c>
      <x:c r="X89" t="n">
        <x:v>0</x:v>
      </x:c>
      <x:c r="Y89" t="str">
        <x:v>readable at inventory scale; tier identity clear without UI; all six rarity variants preserve family; pivot and scale correct; no fragile geometry; URP PBR maps valid</x:v>
      </x:c>
      <x:c r="Z89" t="str">
        <x:v>Assets/_Game/Art/Equipment/HeavyArmor/heavy_gloves/T4/Models</x:v>
      </x:c>
      <x:c r="AA89" t="str">
        <x:v>Not Started</x:v>
      </x:c>
      <x:c r="AB89" t="str">
        <x:v>Pending</x:v>
      </x:c>
      <x:c r="AC89" s="18" t="n">
        <x:f>T89*'Settings &amp; Rates'!$B$5+U89*'Settings &amp; Rates'!$B$6+V89*'Settings &amp; Rates'!$B$7+W89*'Settings &amp; Rates'!$B$8+X89*'Settings &amp; Rates'!$B$9</x:f>
        <x:v>55</x:v>
      </x:c>
      <x:c r="AD89" s="18" t="n">
        <x:f>SUMIF('Attempt Log'!$B$2:$B$101,A89,'Attempt Log'!$K$2:$K$101)</x:f>
        <x:v>0</x:v>
      </x:c>
      <x:c r="AE89" s="18" t="n">
        <x:f>AD89-AC89</x:f>
        <x:v>-55</x:v>
      </x:c>
      <x:c r="AF89" t="n">
        <x:f>COUNTIF('Attempt Log'!$B$2:$B$101,A89)</x:f>
        <x:v>0</x:v>
      </x:c>
      <x:c r="AG89" t="n">
        <x:f>IFERROR(SUMIFS('Attempt Log'!$U$2:$U$101,'Attempt Log'!$B$2:$B$101,A89,'Attempt Log'!$N$2:$N$101,"Yes")/COUNTIFS('Attempt Log'!$B$2:$B$101,A89,'Attempt Log'!$N$2:$N$101,"Yes"),0)</x:f>
        <x:v>0</x:v>
      </x:c>
    </x:row>
    <x:row r="90">
      <x:c r="A90" t="str">
        <x:v>equipment_heavy_helmet_t04_base</x:v>
      </x:c>
      <x:c r="B90" t="str">
        <x:v>Elmo Pesado T4</x:v>
      </x:c>
      <x:c r="C90" t="str">
        <x:v>Heavy Helmet T4</x:v>
      </x:c>
      <x:c r="D90" t="str">
        <x:v>Task017</x:v>
      </x:c>
      <x:c r="E90" t="str">
        <x:v>Equipment</x:v>
      </x:c>
      <x:c r="F90" t="str">
        <x:v>Heavy Armor</x:v>
      </x:c>
      <x:c r="G90" t="str">
        <x:v>heavy_helmet</x:v>
      </x:c>
      <x:c r="H90" t="str">
        <x:v>Season 1</x:v>
      </x:c>
      <x:c r="I90" t="str">
        <x:v>P2</x:v>
      </x:c>
      <x:c r="J90" t="str">
        <x:v>B10_EQUIPMENT_T4</x:v>
      </x:c>
      <x:c r="K90" t="str">
        <x:v>Image to 3D</x:v>
      </x:c>
      <x:c r="L90" t="str">
        <x:v>Yes</x:v>
      </x:c>
      <x:c r="M90" t="n">
        <x:v>2200</x:v>
      </x:c>
      <x:c r="N90" t="str">
        <x:v>1024</x:v>
      </x:c>
      <x:c r="O90" t="str">
        <x:v>No</x:v>
      </x:c>
      <x:c r="P90" t="str">
        <x:v>None</x:v>
      </x:c>
      <x:c r="Q90" t="str">
        <x:v>Prompts/ConceptArt/equipment_heavy_helmet_t04_base_concept_sheet.txt</x:v>
      </x:c>
      <x:c r="R90" t="str">
        <x:v>Prompts/Meshy/BaseGeometry/equipment_heavy_helmet_t04_base_geometry.txt</x:v>
      </x:c>
      <x:c r="S90" t="str">
        <x:v>Prompts/TextureVariants/equipment_heavy_helmet_t04_base_rarity_variants.txt</x:v>
      </x:c>
      <x:c r="T90" t="n">
        <x:v>2</x:v>
      </x:c>
      <x:c r="U90" t="n">
        <x:v>2</x:v>
      </x:c>
      <x:c r="V90" t="n">
        <x:v>1</x:v>
      </x:c>
      <x:c r="W90" t="n">
        <x:v>1</x:v>
      </x:c>
      <x:c r="X90" t="n">
        <x:v>0</x:v>
      </x:c>
      <x:c r="Y90" t="str">
        <x:v>readable at inventory scale; tier identity clear without UI; all six rarity variants preserve family; pivot and scale correct; no fragile geometry; URP PBR maps valid</x:v>
      </x:c>
      <x:c r="Z90" t="str">
        <x:v>Assets/_Game/Art/Equipment/HeavyArmor/heavy_helmet/T4/Models</x:v>
      </x:c>
      <x:c r="AA90" t="str">
        <x:v>Not Started</x:v>
      </x:c>
      <x:c r="AB90" t="str">
        <x:v>Pending</x:v>
      </x:c>
      <x:c r="AC90" s="18" t="n">
        <x:f>T90*'Settings &amp; Rates'!$B$5+U90*'Settings &amp; Rates'!$B$6+V90*'Settings &amp; Rates'!$B$7+W90*'Settings &amp; Rates'!$B$8+X90*'Settings &amp; Rates'!$B$9</x:f>
        <x:v>55</x:v>
      </x:c>
      <x:c r="AD90" s="18" t="n">
        <x:f>SUMIF('Attempt Log'!$B$2:$B$101,A90,'Attempt Log'!$K$2:$K$101)</x:f>
        <x:v>0</x:v>
      </x:c>
      <x:c r="AE90" s="18" t="n">
        <x:f>AD90-AC90</x:f>
        <x:v>-55</x:v>
      </x:c>
      <x:c r="AF90" t="n">
        <x:f>COUNTIF('Attempt Log'!$B$2:$B$101,A90)</x:f>
        <x:v>0</x:v>
      </x:c>
      <x:c r="AG90" t="n">
        <x:f>IFERROR(SUMIFS('Attempt Log'!$U$2:$U$101,'Attempt Log'!$B$2:$B$101,A90,'Attempt Log'!$N$2:$N$101,"Yes")/COUNTIFS('Attempt Log'!$B$2:$B$101,A90,'Attempt Log'!$N$2:$N$101,"Yes"),0)</x:f>
        <x:v>0</x:v>
      </x:c>
    </x:row>
    <x:row r="91">
      <x:c r="A91" t="str">
        <x:v>equipment_light_boots_t04_base</x:v>
      </x:c>
      <x:c r="B91" t="str">
        <x:v>Botas Leves T4</x:v>
      </x:c>
      <x:c r="C91" t="str">
        <x:v>Light Boots T4</x:v>
      </x:c>
      <x:c r="D91" t="str">
        <x:v>Task017</x:v>
      </x:c>
      <x:c r="E91" t="str">
        <x:v>Equipment</x:v>
      </x:c>
      <x:c r="F91" t="str">
        <x:v>Light Armor</x:v>
      </x:c>
      <x:c r="G91" t="str">
        <x:v>light_boots</x:v>
      </x:c>
      <x:c r="H91" t="str">
        <x:v>Season 1</x:v>
      </x:c>
      <x:c r="I91" t="str">
        <x:v>P2</x:v>
      </x:c>
      <x:c r="J91" t="str">
        <x:v>B10_EQUIPMENT_T4</x:v>
      </x:c>
      <x:c r="K91" t="str">
        <x:v>Image to 3D</x:v>
      </x:c>
      <x:c r="L91" t="str">
        <x:v>Yes</x:v>
      </x:c>
      <x:c r="M91" t="n">
        <x:v>1450</x:v>
      </x:c>
      <x:c r="N91" t="str">
        <x:v>1024</x:v>
      </x:c>
      <x:c r="O91" t="str">
        <x:v>No</x:v>
      </x:c>
      <x:c r="P91" t="str">
        <x:v>None</x:v>
      </x:c>
      <x:c r="Q91" t="str">
        <x:v>Prompts/ConceptArt/equipment_light_boots_t04_base_concept_sheet.txt</x:v>
      </x:c>
      <x:c r="R91" t="str">
        <x:v>Prompts/Meshy/BaseGeometry/equipment_light_boots_t04_base_geometry.txt</x:v>
      </x:c>
      <x:c r="S91" t="str">
        <x:v>Prompts/TextureVariants/equipment_light_boots_t04_base_rarity_variants.txt</x:v>
      </x:c>
      <x:c r="T91" t="n">
        <x:v>2</x:v>
      </x:c>
      <x:c r="U91" t="n">
        <x:v>2</x:v>
      </x:c>
      <x:c r="V91" t="n">
        <x:v>1</x:v>
      </x:c>
      <x:c r="W91" t="n">
        <x:v>1</x:v>
      </x:c>
      <x:c r="X91" t="n">
        <x:v>0</x:v>
      </x:c>
      <x:c r="Y91" t="str">
        <x:v>readable at inventory scale; tier identity clear without UI; all six rarity variants preserve family; pivot and scale correct; no fragile geometry; URP PBR maps valid</x:v>
      </x:c>
      <x:c r="Z91" t="str">
        <x:v>Assets/_Game/Art/Equipment/LightArmor/light_boots/T4/Models</x:v>
      </x:c>
      <x:c r="AA91" t="str">
        <x:v>Not Started</x:v>
      </x:c>
      <x:c r="AB91" t="str">
        <x:v>Pending</x:v>
      </x:c>
      <x:c r="AC91" s="18" t="n">
        <x:f>T91*'Settings &amp; Rates'!$B$5+U91*'Settings &amp; Rates'!$B$6+V91*'Settings &amp; Rates'!$B$7+W91*'Settings &amp; Rates'!$B$8+X91*'Settings &amp; Rates'!$B$9</x:f>
        <x:v>55</x:v>
      </x:c>
      <x:c r="AD91" s="18" t="n">
        <x:f>SUMIF('Attempt Log'!$B$2:$B$101,A91,'Attempt Log'!$K$2:$K$101)</x:f>
        <x:v>0</x:v>
      </x:c>
      <x:c r="AE91" s="18" t="n">
        <x:f>AD91-AC91</x:f>
        <x:v>-55</x:v>
      </x:c>
      <x:c r="AF91" t="n">
        <x:f>COUNTIF('Attempt Log'!$B$2:$B$101,A91)</x:f>
        <x:v>0</x:v>
      </x:c>
      <x:c r="AG91" t="n">
        <x:f>IFERROR(SUMIFS('Attempt Log'!$U$2:$U$101,'Attempt Log'!$B$2:$B$101,A91,'Attempt Log'!$N$2:$N$101,"Yes")/COUNTIFS('Attempt Log'!$B$2:$B$101,A91,'Attempt Log'!$N$2:$N$101,"Yes"),0)</x:f>
        <x:v>0</x:v>
      </x:c>
    </x:row>
    <x:row r="92">
      <x:c r="A92" t="str">
        <x:v>equipment_light_chest_t04_base</x:v>
      </x:c>
      <x:c r="B92" t="str">
        <x:v>Armadura Leve T4</x:v>
      </x:c>
      <x:c r="C92" t="str">
        <x:v>Light Chest Armor T4</x:v>
      </x:c>
      <x:c r="D92" t="str">
        <x:v>Task017</x:v>
      </x:c>
      <x:c r="E92" t="str">
        <x:v>Equipment</x:v>
      </x:c>
      <x:c r="F92" t="str">
        <x:v>Light Armor</x:v>
      </x:c>
      <x:c r="G92" t="str">
        <x:v>light_chest</x:v>
      </x:c>
      <x:c r="H92" t="str">
        <x:v>Season 1</x:v>
      </x:c>
      <x:c r="I92" t="str">
        <x:v>P2</x:v>
      </x:c>
      <x:c r="J92" t="str">
        <x:v>B10_EQUIPMENT_T4</x:v>
      </x:c>
      <x:c r="K92" t="str">
        <x:v>Image to 3D</x:v>
      </x:c>
      <x:c r="L92" t="str">
        <x:v>Yes</x:v>
      </x:c>
      <x:c r="M92" t="n">
        <x:v>2800</x:v>
      </x:c>
      <x:c r="N92" t="str">
        <x:v>1024</x:v>
      </x:c>
      <x:c r="O92" t="str">
        <x:v>No</x:v>
      </x:c>
      <x:c r="P92" t="str">
        <x:v>None</x:v>
      </x:c>
      <x:c r="Q92" t="str">
        <x:v>Prompts/ConceptArt/equipment_light_chest_t04_base_concept_sheet.txt</x:v>
      </x:c>
      <x:c r="R92" t="str">
        <x:v>Prompts/Meshy/BaseGeometry/equipment_light_chest_t04_base_geometry.txt</x:v>
      </x:c>
      <x:c r="S92" t="str">
        <x:v>Prompts/TextureVariants/equipment_light_chest_t04_base_rarity_variants.txt</x:v>
      </x:c>
      <x:c r="T92" t="n">
        <x:v>2</x:v>
      </x:c>
      <x:c r="U92" t="n">
        <x:v>2</x:v>
      </x:c>
      <x:c r="V92" t="n">
        <x:v>1</x:v>
      </x:c>
      <x:c r="W92" t="n">
        <x:v>1</x:v>
      </x:c>
      <x:c r="X92" t="n">
        <x:v>0</x:v>
      </x:c>
      <x:c r="Y92" t="str">
        <x:v>readable at inventory scale; tier identity clear without UI; all six rarity variants preserve family; pivot and scale correct; no fragile geometry; URP PBR maps valid</x:v>
      </x:c>
      <x:c r="Z92" t="str">
        <x:v>Assets/_Game/Art/Equipment/LightArmor/light_chest/T4/Models</x:v>
      </x:c>
      <x:c r="AA92" t="str">
        <x:v>Not Started</x:v>
      </x:c>
      <x:c r="AB92" t="str">
        <x:v>Pending</x:v>
      </x:c>
      <x:c r="AC92" s="18" t="n">
        <x:f>T92*'Settings &amp; Rates'!$B$5+U92*'Settings &amp; Rates'!$B$6+V92*'Settings &amp; Rates'!$B$7+W92*'Settings &amp; Rates'!$B$8+X92*'Settings &amp; Rates'!$B$9</x:f>
        <x:v>55</x:v>
      </x:c>
      <x:c r="AD92" s="18" t="n">
        <x:f>SUMIF('Attempt Log'!$B$2:$B$101,A92,'Attempt Log'!$K$2:$K$101)</x:f>
        <x:v>0</x:v>
      </x:c>
      <x:c r="AE92" s="18" t="n">
        <x:f>AD92-AC92</x:f>
        <x:v>-55</x:v>
      </x:c>
      <x:c r="AF92" t="n">
        <x:f>COUNTIF('Attempt Log'!$B$2:$B$101,A92)</x:f>
        <x:v>0</x:v>
      </x:c>
      <x:c r="AG92" t="n">
        <x:f>IFERROR(SUMIFS('Attempt Log'!$U$2:$U$101,'Attempt Log'!$B$2:$B$101,A92,'Attempt Log'!$N$2:$N$101,"Yes")/COUNTIFS('Attempt Log'!$B$2:$B$101,A92,'Attempt Log'!$N$2:$N$101,"Yes"),0)</x:f>
        <x:v>0</x:v>
      </x:c>
    </x:row>
    <x:row r="93">
      <x:c r="A93" t="str">
        <x:v>equipment_light_gloves_t04_base</x:v>
      </x:c>
      <x:c r="B93" t="str">
        <x:v>Luvas Leves T4</x:v>
      </x:c>
      <x:c r="C93" t="str">
        <x:v>Light Gloves T4</x:v>
      </x:c>
      <x:c r="D93" t="str">
        <x:v>Task017</x:v>
      </x:c>
      <x:c r="E93" t="str">
        <x:v>Equipment</x:v>
      </x:c>
      <x:c r="F93" t="str">
        <x:v>Light Armor</x:v>
      </x:c>
      <x:c r="G93" t="str">
        <x:v>light_gloves</x:v>
      </x:c>
      <x:c r="H93" t="str">
        <x:v>Season 1</x:v>
      </x:c>
      <x:c r="I93" t="str">
        <x:v>P2</x:v>
      </x:c>
      <x:c r="J93" t="str">
        <x:v>B10_EQUIPMENT_T4</x:v>
      </x:c>
      <x:c r="K93" t="str">
        <x:v>Image to 3D</x:v>
      </x:c>
      <x:c r="L93" t="str">
        <x:v>Yes</x:v>
      </x:c>
      <x:c r="M93" t="n">
        <x:v>1200</x:v>
      </x:c>
      <x:c r="N93" t="str">
        <x:v>1024</x:v>
      </x:c>
      <x:c r="O93" t="str">
        <x:v>No</x:v>
      </x:c>
      <x:c r="P93" t="str">
        <x:v>None</x:v>
      </x:c>
      <x:c r="Q93" t="str">
        <x:v>Prompts/ConceptArt/equipment_light_gloves_t04_base_concept_sheet.txt</x:v>
      </x:c>
      <x:c r="R93" t="str">
        <x:v>Prompts/Meshy/BaseGeometry/equipment_light_gloves_t04_base_geometry.txt</x:v>
      </x:c>
      <x:c r="S93" t="str">
        <x:v>Prompts/TextureVariants/equipment_light_gloves_t04_base_rarity_variants.txt</x:v>
      </x:c>
      <x:c r="T93" t="n">
        <x:v>2</x:v>
      </x:c>
      <x:c r="U93" t="n">
        <x:v>2</x:v>
      </x:c>
      <x:c r="V93" t="n">
        <x:v>1</x:v>
      </x:c>
      <x:c r="W93" t="n">
        <x:v>1</x:v>
      </x:c>
      <x:c r="X93" t="n">
        <x:v>0</x:v>
      </x:c>
      <x:c r="Y93" t="str">
        <x:v>readable at inventory scale; tier identity clear without UI; all six rarity variants preserve family; pivot and scale correct; no fragile geometry; URP PBR maps valid</x:v>
      </x:c>
      <x:c r="Z93" t="str">
        <x:v>Assets/_Game/Art/Equipment/LightArmor/light_gloves/T4/Models</x:v>
      </x:c>
      <x:c r="AA93" t="str">
        <x:v>Not Started</x:v>
      </x:c>
      <x:c r="AB93" t="str">
        <x:v>Pending</x:v>
      </x:c>
      <x:c r="AC93" s="18" t="n">
        <x:f>T93*'Settings &amp; Rates'!$B$5+U93*'Settings &amp; Rates'!$B$6+V93*'Settings &amp; Rates'!$B$7+W93*'Settings &amp; Rates'!$B$8+X93*'Settings &amp; Rates'!$B$9</x:f>
        <x:v>55</x:v>
      </x:c>
      <x:c r="AD93" s="18" t="n">
        <x:f>SUMIF('Attempt Log'!$B$2:$B$101,A93,'Attempt Log'!$K$2:$K$101)</x:f>
        <x:v>0</x:v>
      </x:c>
      <x:c r="AE93" s="18" t="n">
        <x:f>AD93-AC93</x:f>
        <x:v>-55</x:v>
      </x:c>
      <x:c r="AF93" t="n">
        <x:f>COUNTIF('Attempt Log'!$B$2:$B$101,A93)</x:f>
        <x:v>0</x:v>
      </x:c>
      <x:c r="AG93" t="n">
        <x:f>IFERROR(SUMIFS('Attempt Log'!$U$2:$U$101,'Attempt Log'!$B$2:$B$101,A93,'Attempt Log'!$N$2:$N$101,"Yes")/COUNTIFS('Attempt Log'!$B$2:$B$101,A93,'Attempt Log'!$N$2:$N$101,"Yes"),0)</x:f>
        <x:v>0</x:v>
      </x:c>
    </x:row>
    <x:row r="94">
      <x:c r="A94" t="str">
        <x:v>equipment_light_hood_t04_base</x:v>
      </x:c>
      <x:c r="B94" t="str">
        <x:v>Capuz Leve T4</x:v>
      </x:c>
      <x:c r="C94" t="str">
        <x:v>Light Hood T4</x:v>
      </x:c>
      <x:c r="D94" t="str">
        <x:v>Task017</x:v>
      </x:c>
      <x:c r="E94" t="str">
        <x:v>Equipment</x:v>
      </x:c>
      <x:c r="F94" t="str">
        <x:v>Light Armor</x:v>
      </x:c>
      <x:c r="G94" t="str">
        <x:v>light_hood</x:v>
      </x:c>
      <x:c r="H94" t="str">
        <x:v>Season 1</x:v>
      </x:c>
      <x:c r="I94" t="str">
        <x:v>P2</x:v>
      </x:c>
      <x:c r="J94" t="str">
        <x:v>B10_EQUIPMENT_T4</x:v>
      </x:c>
      <x:c r="K94" t="str">
        <x:v>Image to 3D</x:v>
      </x:c>
      <x:c r="L94" t="str">
        <x:v>Yes</x:v>
      </x:c>
      <x:c r="M94" t="n">
        <x:v>1450</x:v>
      </x:c>
      <x:c r="N94" t="str">
        <x:v>1024</x:v>
      </x:c>
      <x:c r="O94" t="str">
        <x:v>No</x:v>
      </x:c>
      <x:c r="P94" t="str">
        <x:v>None</x:v>
      </x:c>
      <x:c r="Q94" t="str">
        <x:v>Prompts/ConceptArt/equipment_light_hood_t04_base_concept_sheet.txt</x:v>
      </x:c>
      <x:c r="R94" t="str">
        <x:v>Prompts/Meshy/BaseGeometry/equipment_light_hood_t04_base_geometry.txt</x:v>
      </x:c>
      <x:c r="S94" t="str">
        <x:v>Prompts/TextureVariants/equipment_light_hood_t04_base_rarity_variants.txt</x:v>
      </x:c>
      <x:c r="T94" t="n">
        <x:v>2</x:v>
      </x:c>
      <x:c r="U94" t="n">
        <x:v>2</x:v>
      </x:c>
      <x:c r="V94" t="n">
        <x:v>1</x:v>
      </x:c>
      <x:c r="W94" t="n">
        <x:v>1</x:v>
      </x:c>
      <x:c r="X94" t="n">
        <x:v>0</x:v>
      </x:c>
      <x:c r="Y94" t="str">
        <x:v>readable at inventory scale; tier identity clear without UI; all six rarity variants preserve family; pivot and scale correct; no fragile geometry; URP PBR maps valid</x:v>
      </x:c>
      <x:c r="Z94" t="str">
        <x:v>Assets/_Game/Art/Equipment/LightArmor/light_hood/T4/Models</x:v>
      </x:c>
      <x:c r="AA94" t="str">
        <x:v>Not Started</x:v>
      </x:c>
      <x:c r="AB94" t="str">
        <x:v>Pending</x:v>
      </x:c>
      <x:c r="AC94" s="18" t="n">
        <x:f>T94*'Settings &amp; Rates'!$B$5+U94*'Settings &amp; Rates'!$B$6+V94*'Settings &amp; Rates'!$B$7+W94*'Settings &amp; Rates'!$B$8+X94*'Settings &amp; Rates'!$B$9</x:f>
        <x:v>55</x:v>
      </x:c>
      <x:c r="AD94" s="18" t="n">
        <x:f>SUMIF('Attempt Log'!$B$2:$B$101,A94,'Attempt Log'!$K$2:$K$101)</x:f>
        <x:v>0</x:v>
      </x:c>
      <x:c r="AE94" s="18" t="n">
        <x:f>AD94-AC94</x:f>
        <x:v>-55</x:v>
      </x:c>
      <x:c r="AF94" t="n">
        <x:f>COUNTIF('Attempt Log'!$B$2:$B$101,A94)</x:f>
        <x:v>0</x:v>
      </x:c>
      <x:c r="AG94" t="n">
        <x:f>IFERROR(SUMIFS('Attempt Log'!$U$2:$U$101,'Attempt Log'!$B$2:$B$101,A94,'Attempt Log'!$N$2:$N$101,"Yes")/COUNTIFS('Attempt Log'!$B$2:$B$101,A94,'Attempt Log'!$N$2:$N$101,"Yes"),0)</x:f>
        <x:v>0</x:v>
      </x:c>
    </x:row>
    <x:row r="95">
      <x:c r="A95" t="str">
        <x:v>equipment_longbow_t04_base</x:v>
      </x:c>
      <x:c r="B95" t="str">
        <x:v>Arco Longo T4</x:v>
      </x:c>
      <x:c r="C95" t="str">
        <x:v>Longbow T4</x:v>
      </x:c>
      <x:c r="D95" t="str">
        <x:v>Task017</x:v>
      </x:c>
      <x:c r="E95" t="str">
        <x:v>Equipment</x:v>
      </x:c>
      <x:c r="F95" t="str">
        <x:v>Weapon</x:v>
      </x:c>
      <x:c r="G95" t="str">
        <x:v>longbow</x:v>
      </x:c>
      <x:c r="H95" t="str">
        <x:v>Season 1</x:v>
      </x:c>
      <x:c r="I95" t="str">
        <x:v>P2</x:v>
      </x:c>
      <x:c r="J95" t="str">
        <x:v>B10_EQUIPMENT_T4</x:v>
      </x:c>
      <x:c r="K95" t="str">
        <x:v>Text to 3D</x:v>
      </x:c>
      <x:c r="L95" t="str">
        <x:v>Optional</x:v>
      </x:c>
      <x:c r="M95" t="n">
        <x:v>1700</x:v>
      </x:c>
      <x:c r="N95" t="str">
        <x:v>1024</x:v>
      </x:c>
      <x:c r="O95" t="str">
        <x:v>No</x:v>
      </x:c>
      <x:c r="P95" t="str">
        <x:v>None</x:v>
      </x:c>
      <x:c r="Q95" t="str">
        <x:v>Prompts/ConceptArt/equipment_longbow_t04_base_concept_sheet.txt</x:v>
      </x:c>
      <x:c r="R95" t="str">
        <x:v>Prompts/Meshy/BaseGeometry/equipment_longbow_t04_base_geometry.txt</x:v>
      </x:c>
      <x:c r="S95" t="str">
        <x:v>Prompts/TextureVariants/equipment_longbow_t04_base_rarity_variants.txt</x:v>
      </x:c>
      <x:c r="T95" t="n">
        <x:v>1</x:v>
      </x:c>
      <x:c r="U95" t="n">
        <x:v>2</x:v>
      </x:c>
      <x:c r="V95" t="n">
        <x:v>1</x:v>
      </x:c>
      <x:c r="W95" t="n">
        <x:v>1</x:v>
      </x:c>
      <x:c r="X95" t="n">
        <x:v>0</x:v>
      </x:c>
      <x:c r="Y95" t="str">
        <x:v>readable at inventory scale; tier identity clear without UI; all six rarity variants preserve family; pivot and scale correct; no fragile geometry; URP PBR maps valid</x:v>
      </x:c>
      <x:c r="Z95" t="str">
        <x:v>Assets/_Game/Art/Equipment/Weapon/longbow/T4/Models</x:v>
      </x:c>
      <x:c r="AA95" t="str">
        <x:v>Not Started</x:v>
      </x:c>
      <x:c r="AB95" t="str">
        <x:v>Pending</x:v>
      </x:c>
      <x:c r="AC95" s="18" t="n">
        <x:f>T95*'Settings &amp; Rates'!$B$5+U95*'Settings &amp; Rates'!$B$6+V95*'Settings &amp; Rates'!$B$7+W95*'Settings &amp; Rates'!$B$8+X95*'Settings &amp; Rates'!$B$9</x:f>
        <x:v>55</x:v>
      </x:c>
      <x:c r="AD95" s="18" t="n">
        <x:f>SUMIF('Attempt Log'!$B$2:$B$101,A95,'Attempt Log'!$K$2:$K$101)</x:f>
        <x:v>0</x:v>
      </x:c>
      <x:c r="AE95" s="18" t="n">
        <x:f>AD95-AC95</x:f>
        <x:v>-55</x:v>
      </x:c>
      <x:c r="AF95" t="n">
        <x:f>COUNTIF('Attempt Log'!$B$2:$B$101,A95)</x:f>
        <x:v>0</x:v>
      </x:c>
      <x:c r="AG95" t="n">
        <x:f>IFERROR(SUMIFS('Attempt Log'!$U$2:$U$101,'Attempt Log'!$B$2:$B$101,A95,'Attempt Log'!$N$2:$N$101,"Yes")/COUNTIFS('Attempt Log'!$B$2:$B$101,A95,'Attempt Log'!$N$2:$N$101,"Yes"),0)</x:f>
        <x:v>0</x:v>
      </x:c>
    </x:row>
    <x:row r="96">
      <x:c r="A96" t="str">
        <x:v>equipment_ring_t04_base</x:v>
      </x:c>
      <x:c r="B96" t="str">
        <x:v>Anel T4</x:v>
      </x:c>
      <x:c r="C96" t="str">
        <x:v>Ring T4</x:v>
      </x:c>
      <x:c r="D96" t="str">
        <x:v>Task017</x:v>
      </x:c>
      <x:c r="E96" t="str">
        <x:v>Equipment</x:v>
      </x:c>
      <x:c r="F96" t="str">
        <x:v>Accessory</x:v>
      </x:c>
      <x:c r="G96" t="str">
        <x:v>ring</x:v>
      </x:c>
      <x:c r="H96" t="str">
        <x:v>Season 1</x:v>
      </x:c>
      <x:c r="I96" t="str">
        <x:v>P2</x:v>
      </x:c>
      <x:c r="J96" t="str">
        <x:v>B10_EQUIPMENT_T4</x:v>
      </x:c>
      <x:c r="K96" t="str">
        <x:v>Text to 3D</x:v>
      </x:c>
      <x:c r="L96" t="str">
        <x:v>Optional</x:v>
      </x:c>
      <x:c r="M96" t="n">
        <x:v>550</x:v>
      </x:c>
      <x:c r="N96" t="str">
        <x:v>512</x:v>
      </x:c>
      <x:c r="O96" t="str">
        <x:v>No</x:v>
      </x:c>
      <x:c r="P96" t="str">
        <x:v>None</x:v>
      </x:c>
      <x:c r="Q96" t="str">
        <x:v>Prompts/ConceptArt/equipment_ring_t04_base_concept_sheet.txt</x:v>
      </x:c>
      <x:c r="R96" t="str">
        <x:v>Prompts/Meshy/BaseGeometry/equipment_ring_t04_base_geometry.txt</x:v>
      </x:c>
      <x:c r="S96" t="str">
        <x:v>Prompts/TextureVariants/equipment_ring_t04_base_rarity_variants.txt</x:v>
      </x:c>
      <x:c r="T96" t="n">
        <x:v>1</x:v>
      </x:c>
      <x:c r="U96" t="n">
        <x:v>2</x:v>
      </x:c>
      <x:c r="V96" t="n">
        <x:v>1</x:v>
      </x:c>
      <x:c r="W96" t="n">
        <x:v>1</x:v>
      </x:c>
      <x:c r="X96" t="n">
        <x:v>0</x:v>
      </x:c>
      <x:c r="Y96" t="str">
        <x:v>readable at inventory scale; tier identity clear without UI; all six rarity variants preserve family; pivot and scale correct; no fragile geometry; URP PBR maps valid</x:v>
      </x:c>
      <x:c r="Z96" t="str">
        <x:v>Assets/_Game/Art/Equipment/Accessory/ring/T4/Models</x:v>
      </x:c>
      <x:c r="AA96" t="str">
        <x:v>Not Started</x:v>
      </x:c>
      <x:c r="AB96" t="str">
        <x:v>Pending</x:v>
      </x:c>
      <x:c r="AC96" s="18" t="n">
        <x:f>T96*'Settings &amp; Rates'!$B$5+U96*'Settings &amp; Rates'!$B$6+V96*'Settings &amp; Rates'!$B$7+W96*'Settings &amp; Rates'!$B$8+X96*'Settings &amp; Rates'!$B$9</x:f>
        <x:v>55</x:v>
      </x:c>
      <x:c r="AD96" s="18" t="n">
        <x:f>SUMIF('Attempt Log'!$B$2:$B$101,A96,'Attempt Log'!$K$2:$K$101)</x:f>
        <x:v>0</x:v>
      </x:c>
      <x:c r="AE96" s="18" t="n">
        <x:f>AD96-AC96</x:f>
        <x:v>-55</x:v>
      </x:c>
      <x:c r="AF96" t="n">
        <x:f>COUNTIF('Attempt Log'!$B$2:$B$101,A96)</x:f>
        <x:v>0</x:v>
      </x:c>
      <x:c r="AG96" t="n">
        <x:f>IFERROR(SUMIFS('Attempt Log'!$U$2:$U$101,'Attempt Log'!$B$2:$B$101,A96,'Attempt Log'!$N$2:$N$101,"Yes")/COUNTIFS('Attempt Log'!$B$2:$B$101,A96,'Attempt Log'!$N$2:$N$101,"Yes"),0)</x:f>
        <x:v>0</x:v>
      </x:c>
    </x:row>
    <x:row r="97">
      <x:c r="A97" t="str">
        <x:v>equipment_shield_t04_base</x:v>
      </x:c>
      <x:c r="B97" t="str">
        <x:v>Escudo T4</x:v>
      </x:c>
      <x:c r="C97" t="str">
        <x:v>Shield T4</x:v>
      </x:c>
      <x:c r="D97" t="str">
        <x:v>Task017</x:v>
      </x:c>
      <x:c r="E97" t="str">
        <x:v>Equipment</x:v>
      </x:c>
      <x:c r="F97" t="str">
        <x:v>Weapon</x:v>
      </x:c>
      <x:c r="G97" t="str">
        <x:v>shield</x:v>
      </x:c>
      <x:c r="H97" t="str">
        <x:v>Season 1</x:v>
      </x:c>
      <x:c r="I97" t="str">
        <x:v>P2</x:v>
      </x:c>
      <x:c r="J97" t="str">
        <x:v>B10_EQUIPMENT_T4</x:v>
      </x:c>
      <x:c r="K97" t="str">
        <x:v>Text to 3D</x:v>
      </x:c>
      <x:c r="L97" t="str">
        <x:v>Optional</x:v>
      </x:c>
      <x:c r="M97" t="n">
        <x:v>2500</x:v>
      </x:c>
      <x:c r="N97" t="str">
        <x:v>1024</x:v>
      </x:c>
      <x:c r="O97" t="str">
        <x:v>No</x:v>
      </x:c>
      <x:c r="P97" t="str">
        <x:v>None</x:v>
      </x:c>
      <x:c r="Q97" t="str">
        <x:v>Prompts/ConceptArt/equipment_shield_t04_base_concept_sheet.txt</x:v>
      </x:c>
      <x:c r="R97" t="str">
        <x:v>Prompts/Meshy/BaseGeometry/equipment_shield_t04_base_geometry.txt</x:v>
      </x:c>
      <x:c r="S97" t="str">
        <x:v>Prompts/TextureVariants/equipment_shield_t04_base_rarity_variants.txt</x:v>
      </x:c>
      <x:c r="T97" t="n">
        <x:v>1</x:v>
      </x:c>
      <x:c r="U97" t="n">
        <x:v>2</x:v>
      </x:c>
      <x:c r="V97" t="n">
        <x:v>1</x:v>
      </x:c>
      <x:c r="W97" t="n">
        <x:v>1</x:v>
      </x:c>
      <x:c r="X97" t="n">
        <x:v>0</x:v>
      </x:c>
      <x:c r="Y97" t="str">
        <x:v>readable at inventory scale; tier identity clear without UI; all six rarity variants preserve family; pivot and scale correct; no fragile geometry; URP PBR maps valid</x:v>
      </x:c>
      <x:c r="Z97" t="str">
        <x:v>Assets/_Game/Art/Equipment/Weapon/shield/T4/Models</x:v>
      </x:c>
      <x:c r="AA97" t="str">
        <x:v>Not Started</x:v>
      </x:c>
      <x:c r="AB97" t="str">
        <x:v>Pending</x:v>
      </x:c>
      <x:c r="AC97" s="18" t="n">
        <x:f>T97*'Settings &amp; Rates'!$B$5+U97*'Settings &amp; Rates'!$B$6+V97*'Settings &amp; Rates'!$B$7+W97*'Settings &amp; Rates'!$B$8+X97*'Settings &amp; Rates'!$B$9</x:f>
        <x:v>55</x:v>
      </x:c>
      <x:c r="AD97" s="18" t="n">
        <x:f>SUMIF('Attempt Log'!$B$2:$B$101,A97,'Attempt Log'!$K$2:$K$101)</x:f>
        <x:v>0</x:v>
      </x:c>
      <x:c r="AE97" s="18" t="n">
        <x:f>AD97-AC97</x:f>
        <x:v>-55</x:v>
      </x:c>
      <x:c r="AF97" t="n">
        <x:f>COUNTIF('Attempt Log'!$B$2:$B$101,A97)</x:f>
        <x:v>0</x:v>
      </x:c>
      <x:c r="AG97" t="n">
        <x:f>IFERROR(SUMIFS('Attempt Log'!$U$2:$U$101,'Attempt Log'!$B$2:$B$101,A97,'Attempt Log'!$N$2:$N$101,"Yes")/COUNTIFS('Attempt Log'!$B$2:$B$101,A97,'Attempt Log'!$N$2:$N$101,"Yes"),0)</x:f>
        <x:v>0</x:v>
      </x:c>
    </x:row>
    <x:row r="98">
      <x:c r="A98" t="str">
        <x:v>equipment_staff_t04_base</x:v>
      </x:c>
      <x:c r="B98" t="str">
        <x:v>Cajado T4</x:v>
      </x:c>
      <x:c r="C98" t="str">
        <x:v>Staff T4</x:v>
      </x:c>
      <x:c r="D98" t="str">
        <x:v>Task017</x:v>
      </x:c>
      <x:c r="E98" t="str">
        <x:v>Equipment</x:v>
      </x:c>
      <x:c r="F98" t="str">
        <x:v>Weapon</x:v>
      </x:c>
      <x:c r="G98" t="str">
        <x:v>staff</x:v>
      </x:c>
      <x:c r="H98" t="str">
        <x:v>Season 1</x:v>
      </x:c>
      <x:c r="I98" t="str">
        <x:v>P2</x:v>
      </x:c>
      <x:c r="J98" t="str">
        <x:v>B10_EQUIPMENT_T4</x:v>
      </x:c>
      <x:c r="K98" t="str">
        <x:v>Text to 3D</x:v>
      </x:c>
      <x:c r="L98" t="str">
        <x:v>Optional</x:v>
      </x:c>
      <x:c r="M98" t="n">
        <x:v>2400</x:v>
      </x:c>
      <x:c r="N98" t="str">
        <x:v>1024</x:v>
      </x:c>
      <x:c r="O98" t="str">
        <x:v>No</x:v>
      </x:c>
      <x:c r="P98" t="str">
        <x:v>None</x:v>
      </x:c>
      <x:c r="Q98" t="str">
        <x:v>Prompts/ConceptArt/equipment_staff_t04_base_concept_sheet.txt</x:v>
      </x:c>
      <x:c r="R98" t="str">
        <x:v>Prompts/Meshy/BaseGeometry/equipment_staff_t04_base_geometry.txt</x:v>
      </x:c>
      <x:c r="S98" t="str">
        <x:v>Prompts/TextureVariants/equipment_staff_t04_base_rarity_variants.txt</x:v>
      </x:c>
      <x:c r="T98" t="n">
        <x:v>1</x:v>
      </x:c>
      <x:c r="U98" t="n">
        <x:v>2</x:v>
      </x:c>
      <x:c r="V98" t="n">
        <x:v>1</x:v>
      </x:c>
      <x:c r="W98" t="n">
        <x:v>1</x:v>
      </x:c>
      <x:c r="X98" t="n">
        <x:v>0</x:v>
      </x:c>
      <x:c r="Y98" t="str">
        <x:v>readable at inventory scale; tier identity clear without UI; all six rarity variants preserve family; pivot and scale correct; no fragile geometry; URP PBR maps valid</x:v>
      </x:c>
      <x:c r="Z98" t="str">
        <x:v>Assets/_Game/Art/Equipment/Weapon/staff/T4/Models</x:v>
      </x:c>
      <x:c r="AA98" t="str">
        <x:v>Not Started</x:v>
      </x:c>
      <x:c r="AB98" t="str">
        <x:v>Pending</x:v>
      </x:c>
      <x:c r="AC98" s="18" t="n">
        <x:f>T98*'Settings &amp; Rates'!$B$5+U98*'Settings &amp; Rates'!$B$6+V98*'Settings &amp; Rates'!$B$7+W98*'Settings &amp; Rates'!$B$8+X98*'Settings &amp; Rates'!$B$9</x:f>
        <x:v>55</x:v>
      </x:c>
      <x:c r="AD98" s="18" t="n">
        <x:f>SUMIF('Attempt Log'!$B$2:$B$101,A98,'Attempt Log'!$K$2:$K$101)</x:f>
        <x:v>0</x:v>
      </x:c>
      <x:c r="AE98" s="18" t="n">
        <x:f>AD98-AC98</x:f>
        <x:v>-55</x:v>
      </x:c>
      <x:c r="AF98" t="n">
        <x:f>COUNTIF('Attempt Log'!$B$2:$B$101,A98)</x:f>
        <x:v>0</x:v>
      </x:c>
      <x:c r="AG98" t="n">
        <x:f>IFERROR(SUMIFS('Attempt Log'!$U$2:$U$101,'Attempt Log'!$B$2:$B$101,A98,'Attempt Log'!$N$2:$N$101,"Yes")/COUNTIFS('Attempt Log'!$B$2:$B$101,A98,'Attempt Log'!$N$2:$N$101,"Yes"),0)</x:f>
        <x:v>0</x:v>
      </x:c>
    </x:row>
    <x:row r="99">
      <x:c r="A99" t="str">
        <x:v>equipment_sword_1h_t04_base</x:v>
      </x:c>
      <x:c r="B99" t="str">
        <x:v>Espada de Uma Mão T4</x:v>
      </x:c>
      <x:c r="C99" t="str">
        <x:v>One-Handed Sword T4</x:v>
      </x:c>
      <x:c r="D99" t="str">
        <x:v>Task017</x:v>
      </x:c>
      <x:c r="E99" t="str">
        <x:v>Equipment</x:v>
      </x:c>
      <x:c r="F99" t="str">
        <x:v>Weapon</x:v>
      </x:c>
      <x:c r="G99" t="str">
        <x:v>sword_1h</x:v>
      </x:c>
      <x:c r="H99" t="str">
        <x:v>Season 1</x:v>
      </x:c>
      <x:c r="I99" t="str">
        <x:v>P2</x:v>
      </x:c>
      <x:c r="J99" t="str">
        <x:v>B10_EQUIPMENT_T4</x:v>
      </x:c>
      <x:c r="K99" t="str">
        <x:v>Text to 3D</x:v>
      </x:c>
      <x:c r="L99" t="str">
        <x:v>Optional</x:v>
      </x:c>
      <x:c r="M99" t="n">
        <x:v>2000</x:v>
      </x:c>
      <x:c r="N99" t="str">
        <x:v>1024</x:v>
      </x:c>
      <x:c r="O99" t="str">
        <x:v>No</x:v>
      </x:c>
      <x:c r="P99" t="str">
        <x:v>None</x:v>
      </x:c>
      <x:c r="Q99" t="str">
        <x:v>Prompts/ConceptArt/equipment_sword_1h_t04_base_concept_sheet.txt</x:v>
      </x:c>
      <x:c r="R99" t="str">
        <x:v>Prompts/Meshy/BaseGeometry/equipment_sword_1h_t04_base_geometry.txt</x:v>
      </x:c>
      <x:c r="S99" t="str">
        <x:v>Prompts/TextureVariants/equipment_sword_1h_t04_base_rarity_variants.txt</x:v>
      </x:c>
      <x:c r="T99" t="n">
        <x:v>1</x:v>
      </x:c>
      <x:c r="U99" t="n">
        <x:v>2</x:v>
      </x:c>
      <x:c r="V99" t="n">
        <x:v>1</x:v>
      </x:c>
      <x:c r="W99" t="n">
        <x:v>1</x:v>
      </x:c>
      <x:c r="X99" t="n">
        <x:v>0</x:v>
      </x:c>
      <x:c r="Y99" t="str">
        <x:v>readable at inventory scale; tier identity clear without UI; all six rarity variants preserve family; pivot and scale correct; no fragile geometry; URP PBR maps valid</x:v>
      </x:c>
      <x:c r="Z99" t="str">
        <x:v>Assets/_Game/Art/Equipment/Weapon/sword_1h/T4/Models</x:v>
      </x:c>
      <x:c r="AA99" t="str">
        <x:v>Not Started</x:v>
      </x:c>
      <x:c r="AB99" t="str">
        <x:v>Pending</x:v>
      </x:c>
      <x:c r="AC99" s="18" t="n">
        <x:f>T99*'Settings &amp; Rates'!$B$5+U99*'Settings &amp; Rates'!$B$6+V99*'Settings &amp; Rates'!$B$7+W99*'Settings &amp; Rates'!$B$8+X99*'Settings &amp; Rates'!$B$9</x:f>
        <x:v>55</x:v>
      </x:c>
      <x:c r="AD99" s="18" t="n">
        <x:f>SUMIF('Attempt Log'!$B$2:$B$101,A99,'Attempt Log'!$K$2:$K$101)</x:f>
        <x:v>0</x:v>
      </x:c>
      <x:c r="AE99" s="18" t="n">
        <x:f>AD99-AC99</x:f>
        <x:v>-55</x:v>
      </x:c>
      <x:c r="AF99" t="n">
        <x:f>COUNTIF('Attempt Log'!$B$2:$B$101,A99)</x:f>
        <x:v>0</x:v>
      </x:c>
      <x:c r="AG99" t="n">
        <x:f>IFERROR(SUMIFS('Attempt Log'!$U$2:$U$101,'Attempt Log'!$B$2:$B$101,A99,'Attempt Log'!$N$2:$N$101,"Yes")/COUNTIFS('Attempt Log'!$B$2:$B$101,A99,'Attempt Log'!$N$2:$N$101,"Yes"),0)</x:f>
        <x:v>0</x:v>
      </x:c>
    </x:row>
    <x:row r="100">
      <x:c r="A100" t="str">
        <x:v>equipment_amulet_t05_base</x:v>
      </x:c>
      <x:c r="B100" t="str">
        <x:v>Amuleto T5</x:v>
      </x:c>
      <x:c r="C100" t="str">
        <x:v>Amulet T5</x:v>
      </x:c>
      <x:c r="D100" t="str">
        <x:v>Task017</x:v>
      </x:c>
      <x:c r="E100" t="str">
        <x:v>Equipment</x:v>
      </x:c>
      <x:c r="F100" t="str">
        <x:v>Accessory</x:v>
      </x:c>
      <x:c r="G100" t="str">
        <x:v>amulet</x:v>
      </x:c>
      <x:c r="H100" t="str">
        <x:v>Season 1</x:v>
      </x:c>
      <x:c r="I100" t="str">
        <x:v>P2</x:v>
      </x:c>
      <x:c r="J100" t="str">
        <x:v>B11_EQUIPMENT_T5</x:v>
      </x:c>
      <x:c r="K100" t="str">
        <x:v>Text to 3D</x:v>
      </x:c>
      <x:c r="L100" t="str">
        <x:v>Optional</x:v>
      </x:c>
      <x:c r="M100" t="n">
        <x:v>900</x:v>
      </x:c>
      <x:c r="N100" t="str">
        <x:v>512</x:v>
      </x:c>
      <x:c r="O100" t="str">
        <x:v>No</x:v>
      </x:c>
      <x:c r="P100" t="str">
        <x:v>None</x:v>
      </x:c>
      <x:c r="Q100" t="str">
        <x:v>Prompts/ConceptArt/equipment_amulet_t05_base_concept_sheet.txt</x:v>
      </x:c>
      <x:c r="R100" t="str">
        <x:v>Prompts/Meshy/BaseGeometry/equipment_amulet_t05_base_geometry.txt</x:v>
      </x:c>
      <x:c r="S100" t="str">
        <x:v>Prompts/TextureVariants/equipment_amulet_t05_base_rarity_variants.txt</x:v>
      </x:c>
      <x:c r="T100" t="n">
        <x:v>1</x:v>
      </x:c>
      <x:c r="U100" t="n">
        <x:v>2</x:v>
      </x:c>
      <x:c r="V100" t="n">
        <x:v>1</x:v>
      </x:c>
      <x:c r="W100" t="n">
        <x:v>1</x:v>
      </x:c>
      <x:c r="X100" t="n">
        <x:v>0</x:v>
      </x:c>
      <x:c r="Y100" t="str">
        <x:v>readable at inventory scale; tier identity clear without UI; all six rarity variants preserve family; pivot and scale correct; no fragile geometry; URP PBR maps valid</x:v>
      </x:c>
      <x:c r="Z100" t="str">
        <x:v>Assets/_Game/Art/Equipment/Accessory/amulet/T5/Models</x:v>
      </x:c>
      <x:c r="AA100" t="str">
        <x:v>Not Started</x:v>
      </x:c>
      <x:c r="AB100" t="str">
        <x:v>Pending</x:v>
      </x:c>
      <x:c r="AC100" s="18" t="n">
        <x:f>T100*'Settings &amp; Rates'!$B$5+U100*'Settings &amp; Rates'!$B$6+V100*'Settings &amp; Rates'!$B$7+W100*'Settings &amp; Rates'!$B$8+X100*'Settings &amp; Rates'!$B$9</x:f>
        <x:v>55</x:v>
      </x:c>
      <x:c r="AD100" s="18" t="n">
        <x:f>SUMIF('Attempt Log'!$B$2:$B$101,A100,'Attempt Log'!$K$2:$K$101)</x:f>
        <x:v>0</x:v>
      </x:c>
      <x:c r="AE100" s="18" t="n">
        <x:f>AD100-AC100</x:f>
        <x:v>-55</x:v>
      </x:c>
      <x:c r="AF100" t="n">
        <x:f>COUNTIF('Attempt Log'!$B$2:$B$101,A100)</x:f>
        <x:v>0</x:v>
      </x:c>
      <x:c r="AG100" t="n">
        <x:f>IFERROR(SUMIFS('Attempt Log'!$U$2:$U$101,'Attempt Log'!$B$2:$B$101,A100,'Attempt Log'!$N$2:$N$101,"Yes")/COUNTIFS('Attempt Log'!$B$2:$B$101,A100,'Attempt Log'!$N$2:$N$101,"Yes"),0)</x:f>
        <x:v>0</x:v>
      </x:c>
    </x:row>
    <x:row r="101">
      <x:c r="A101" t="str">
        <x:v>equipment_cloth_boots_t05_base</x:v>
      </x:c>
      <x:c r="B101" t="str">
        <x:v>Botas Arcanas T5</x:v>
      </x:c>
      <x:c r="C101" t="str">
        <x:v>Arcane Boots T5</x:v>
      </x:c>
      <x:c r="D101" t="str">
        <x:v>Task017</x:v>
      </x:c>
      <x:c r="E101" t="str">
        <x:v>Equipment</x:v>
      </x:c>
      <x:c r="F101" t="str">
        <x:v>Cloth Armor</x:v>
      </x:c>
      <x:c r="G101" t="str">
        <x:v>cloth_boots</x:v>
      </x:c>
      <x:c r="H101" t="str">
        <x:v>Season 1</x:v>
      </x:c>
      <x:c r="I101" t="str">
        <x:v>P2</x:v>
      </x:c>
      <x:c r="J101" t="str">
        <x:v>B11_EQUIPMENT_T5</x:v>
      </x:c>
      <x:c r="K101" t="str">
        <x:v>Image to 3D</x:v>
      </x:c>
      <x:c r="L101" t="str">
        <x:v>Yes</x:v>
      </x:c>
      <x:c r="M101" t="n">
        <x:v>1450</x:v>
      </x:c>
      <x:c r="N101" t="str">
        <x:v>1024</x:v>
      </x:c>
      <x:c r="O101" t="str">
        <x:v>No</x:v>
      </x:c>
      <x:c r="P101" t="str">
        <x:v>None</x:v>
      </x:c>
      <x:c r="Q101" t="str">
        <x:v>Prompts/ConceptArt/equipment_cloth_boots_t05_base_concept_sheet.txt</x:v>
      </x:c>
      <x:c r="R101" t="str">
        <x:v>Prompts/Meshy/BaseGeometry/equipment_cloth_boots_t05_base_geometry.txt</x:v>
      </x:c>
      <x:c r="S101" t="str">
        <x:v>Prompts/TextureVariants/equipment_cloth_boots_t05_base_rarity_variants.txt</x:v>
      </x:c>
      <x:c r="T101" t="n">
        <x:v>2</x:v>
      </x:c>
      <x:c r="U101" t="n">
        <x:v>2</x:v>
      </x:c>
      <x:c r="V101" t="n">
        <x:v>1</x:v>
      </x:c>
      <x:c r="W101" t="n">
        <x:v>1</x:v>
      </x:c>
      <x:c r="X101" t="n">
        <x:v>0</x:v>
      </x:c>
      <x:c r="Y101" t="str">
        <x:v>readable at inventory scale; tier identity clear without UI; all six rarity variants preserve family; pivot and scale correct; no fragile geometry; URP PBR maps valid</x:v>
      </x:c>
      <x:c r="Z101" t="str">
        <x:v>Assets/_Game/Art/Equipment/ClothArmor/cloth_boots/T5/Models</x:v>
      </x:c>
      <x:c r="AA101" t="str">
        <x:v>Not Started</x:v>
      </x:c>
      <x:c r="AB101" t="str">
        <x:v>Pending</x:v>
      </x:c>
      <x:c r="AC101" s="18" t="n">
        <x:f>T101*'Settings &amp; Rates'!$B$5+U101*'Settings &amp; Rates'!$B$6+V101*'Settings &amp; Rates'!$B$7+W101*'Settings &amp; Rates'!$B$8+X101*'Settings &amp; Rates'!$B$9</x:f>
        <x:v>55</x:v>
      </x:c>
      <x:c r="AD101" s="18" t="n">
        <x:f>SUMIF('Attempt Log'!$B$2:$B$101,A101,'Attempt Log'!$K$2:$K$101)</x:f>
        <x:v>0</x:v>
      </x:c>
      <x:c r="AE101" s="18" t="n">
        <x:f>AD101-AC101</x:f>
        <x:v>-55</x:v>
      </x:c>
      <x:c r="AF101" t="n">
        <x:f>COUNTIF('Attempt Log'!$B$2:$B$101,A101)</x:f>
        <x:v>0</x:v>
      </x:c>
      <x:c r="AG101" t="n">
        <x:f>IFERROR(SUMIFS('Attempt Log'!$U$2:$U$101,'Attempt Log'!$B$2:$B$101,A101,'Attempt Log'!$N$2:$N$101,"Yes")/COUNTIFS('Attempt Log'!$B$2:$B$101,A101,'Attempt Log'!$N$2:$N$101,"Yes"),0)</x:f>
        <x:v>0</x:v>
      </x:c>
    </x:row>
    <x:row r="102">
      <x:c r="A102" t="str">
        <x:v>equipment_cloth_gloves_t05_base</x:v>
      </x:c>
      <x:c r="B102" t="str">
        <x:v>Luvas Arcanas T5</x:v>
      </x:c>
      <x:c r="C102" t="str">
        <x:v>Arcane Gloves T5</x:v>
      </x:c>
      <x:c r="D102" t="str">
        <x:v>Task017</x:v>
      </x:c>
      <x:c r="E102" t="str">
        <x:v>Equipment</x:v>
      </x:c>
      <x:c r="F102" t="str">
        <x:v>Cloth Armor</x:v>
      </x:c>
      <x:c r="G102" t="str">
        <x:v>cloth_gloves</x:v>
      </x:c>
      <x:c r="H102" t="str">
        <x:v>Season 1</x:v>
      </x:c>
      <x:c r="I102" t="str">
        <x:v>P2</x:v>
      </x:c>
      <x:c r="J102" t="str">
        <x:v>B11_EQUIPMENT_T5</x:v>
      </x:c>
      <x:c r="K102" t="str">
        <x:v>Image to 3D</x:v>
      </x:c>
      <x:c r="L102" t="str">
        <x:v>Yes</x:v>
      </x:c>
      <x:c r="M102" t="n">
        <x:v>1200</x:v>
      </x:c>
      <x:c r="N102" t="str">
        <x:v>1024</x:v>
      </x:c>
      <x:c r="O102" t="str">
        <x:v>No</x:v>
      </x:c>
      <x:c r="P102" t="str">
        <x:v>None</x:v>
      </x:c>
      <x:c r="Q102" t="str">
        <x:v>Prompts/ConceptArt/equipment_cloth_gloves_t05_base_concept_sheet.txt</x:v>
      </x:c>
      <x:c r="R102" t="str">
        <x:v>Prompts/Meshy/BaseGeometry/equipment_cloth_gloves_t05_base_geometry.txt</x:v>
      </x:c>
      <x:c r="S102" t="str">
        <x:v>Prompts/TextureVariants/equipment_cloth_gloves_t05_base_rarity_variants.txt</x:v>
      </x:c>
      <x:c r="T102" t="n">
        <x:v>2</x:v>
      </x:c>
      <x:c r="U102" t="n">
        <x:v>2</x:v>
      </x:c>
      <x:c r="V102" t="n">
        <x:v>1</x:v>
      </x:c>
      <x:c r="W102" t="n">
        <x:v>1</x:v>
      </x:c>
      <x:c r="X102" t="n">
        <x:v>0</x:v>
      </x:c>
      <x:c r="Y102" t="str">
        <x:v>readable at inventory scale; tier identity clear without UI; all six rarity variants preserve family; pivot and scale correct; no fragile geometry; URP PBR maps valid</x:v>
      </x:c>
      <x:c r="Z102" t="str">
        <x:v>Assets/_Game/Art/Equipment/ClothArmor/cloth_gloves/T5/Models</x:v>
      </x:c>
      <x:c r="AA102" t="str">
        <x:v>Not Started</x:v>
      </x:c>
      <x:c r="AB102" t="str">
        <x:v>Pending</x:v>
      </x:c>
      <x:c r="AC102" s="18" t="n">
        <x:f>T102*'Settings &amp; Rates'!$B$5+U102*'Settings &amp; Rates'!$B$6+V102*'Settings &amp; Rates'!$B$7+W102*'Settings &amp; Rates'!$B$8+X102*'Settings &amp; Rates'!$B$9</x:f>
        <x:v>55</x:v>
      </x:c>
      <x:c r="AD102" s="18" t="n">
        <x:f>SUMIF('Attempt Log'!$B$2:$B$101,A102,'Attempt Log'!$K$2:$K$101)</x:f>
        <x:v>0</x:v>
      </x:c>
      <x:c r="AE102" s="18" t="n">
        <x:f>AD102-AC102</x:f>
        <x:v>-55</x:v>
      </x:c>
      <x:c r="AF102" t="n">
        <x:f>COUNTIF('Attempt Log'!$B$2:$B$101,A102)</x:f>
        <x:v>0</x:v>
      </x:c>
      <x:c r="AG102" t="n">
        <x:f>IFERROR(SUMIFS('Attempt Log'!$U$2:$U$101,'Attempt Log'!$B$2:$B$101,A102,'Attempt Log'!$N$2:$N$101,"Yes")/COUNTIFS('Attempt Log'!$B$2:$B$101,A102,'Attempt Log'!$N$2:$N$101,"Yes"),0)</x:f>
        <x:v>0</x:v>
      </x:c>
    </x:row>
    <x:row r="103">
      <x:c r="A103" t="str">
        <x:v>equipment_cloth_hood_t05_base</x:v>
      </x:c>
      <x:c r="B103" t="str">
        <x:v>Capuz Arcano T5</x:v>
      </x:c>
      <x:c r="C103" t="str">
        <x:v>Arcane Hood T5</x:v>
      </x:c>
      <x:c r="D103" t="str">
        <x:v>Task017</x:v>
      </x:c>
      <x:c r="E103" t="str">
        <x:v>Equipment</x:v>
      </x:c>
      <x:c r="F103" t="str">
        <x:v>Cloth Armor</x:v>
      </x:c>
      <x:c r="G103" t="str">
        <x:v>cloth_hood</x:v>
      </x:c>
      <x:c r="H103" t="str">
        <x:v>Season 1</x:v>
      </x:c>
      <x:c r="I103" t="str">
        <x:v>P2</x:v>
      </x:c>
      <x:c r="J103" t="str">
        <x:v>B11_EQUIPMENT_T5</x:v>
      </x:c>
      <x:c r="K103" t="str">
        <x:v>Image to 3D</x:v>
      </x:c>
      <x:c r="L103" t="str">
        <x:v>Yes</x:v>
      </x:c>
      <x:c r="M103" t="n">
        <x:v>1500</x:v>
      </x:c>
      <x:c r="N103" t="str">
        <x:v>1024</x:v>
      </x:c>
      <x:c r="O103" t="str">
        <x:v>No</x:v>
      </x:c>
      <x:c r="P103" t="str">
        <x:v>None</x:v>
      </x:c>
      <x:c r="Q103" t="str">
        <x:v>Prompts/ConceptArt/equipment_cloth_hood_t05_base_concept_sheet.txt</x:v>
      </x:c>
      <x:c r="R103" t="str">
        <x:v>Prompts/Meshy/BaseGeometry/equipment_cloth_hood_t05_base_geometry.txt</x:v>
      </x:c>
      <x:c r="S103" t="str">
        <x:v>Prompts/TextureVariants/equipment_cloth_hood_t05_base_rarity_variants.txt</x:v>
      </x:c>
      <x:c r="T103" t="n">
        <x:v>2</x:v>
      </x:c>
      <x:c r="U103" t="n">
        <x:v>2</x:v>
      </x:c>
      <x:c r="V103" t="n">
        <x:v>1</x:v>
      </x:c>
      <x:c r="W103" t="n">
        <x:v>1</x:v>
      </x:c>
      <x:c r="X103" t="n">
        <x:v>0</x:v>
      </x:c>
      <x:c r="Y103" t="str">
        <x:v>readable at inventory scale; tier identity clear without UI; all six rarity variants preserve family; pivot and scale correct; no fragile geometry; URP PBR maps valid</x:v>
      </x:c>
      <x:c r="Z103" t="str">
        <x:v>Assets/_Game/Art/Equipment/ClothArmor/cloth_hood/T5/Models</x:v>
      </x:c>
      <x:c r="AA103" t="str">
        <x:v>Not Started</x:v>
      </x:c>
      <x:c r="AB103" t="str">
        <x:v>Pending</x:v>
      </x:c>
      <x:c r="AC103" s="18" t="n">
        <x:f>T103*'Settings &amp; Rates'!$B$5+U103*'Settings &amp; Rates'!$B$6+V103*'Settings &amp; Rates'!$B$7+W103*'Settings &amp; Rates'!$B$8+X103*'Settings &amp; Rates'!$B$9</x:f>
        <x:v>55</x:v>
      </x:c>
      <x:c r="AD103" s="18" t="n">
        <x:f>SUMIF('Attempt Log'!$B$2:$B$101,A103,'Attempt Log'!$K$2:$K$101)</x:f>
        <x:v>0</x:v>
      </x:c>
      <x:c r="AE103" s="18" t="n">
        <x:f>AD103-AC103</x:f>
        <x:v>-55</x:v>
      </x:c>
      <x:c r="AF103" t="n">
        <x:f>COUNTIF('Attempt Log'!$B$2:$B$101,A103)</x:f>
        <x:v>0</x:v>
      </x:c>
      <x:c r="AG103" t="n">
        <x:f>IFERROR(SUMIFS('Attempt Log'!$U$2:$U$101,'Attempt Log'!$B$2:$B$101,A103,'Attempt Log'!$N$2:$N$101,"Yes")/COUNTIFS('Attempt Log'!$B$2:$B$101,A103,'Attempt Log'!$N$2:$N$101,"Yes"),0)</x:f>
        <x:v>0</x:v>
      </x:c>
    </x:row>
    <x:row r="104">
      <x:c r="A104" t="str">
        <x:v>equipment_cloth_robe_t05_base</x:v>
      </x:c>
      <x:c r="B104" t="str">
        <x:v>Manto Arcano T5</x:v>
      </x:c>
      <x:c r="C104" t="str">
        <x:v>Arcane Robe T5</x:v>
      </x:c>
      <x:c r="D104" t="str">
        <x:v>Task017</x:v>
      </x:c>
      <x:c r="E104" t="str">
        <x:v>Equipment</x:v>
      </x:c>
      <x:c r="F104" t="str">
        <x:v>Cloth Armor</x:v>
      </x:c>
      <x:c r="G104" t="str">
        <x:v>cloth_robe</x:v>
      </x:c>
      <x:c r="H104" t="str">
        <x:v>Season 1</x:v>
      </x:c>
      <x:c r="I104" t="str">
        <x:v>P2</x:v>
      </x:c>
      <x:c r="J104" t="str">
        <x:v>B11_EQUIPMENT_T5</x:v>
      </x:c>
      <x:c r="K104" t="str">
        <x:v>Image to 3D</x:v>
      </x:c>
      <x:c r="L104" t="str">
        <x:v>Yes</x:v>
      </x:c>
      <x:c r="M104" t="n">
        <x:v>3350</x:v>
      </x:c>
      <x:c r="N104" t="str">
        <x:v>1024</x:v>
      </x:c>
      <x:c r="O104" t="str">
        <x:v>No</x:v>
      </x:c>
      <x:c r="P104" t="str">
        <x:v>None</x:v>
      </x:c>
      <x:c r="Q104" t="str">
        <x:v>Prompts/ConceptArt/equipment_cloth_robe_t05_base_concept_sheet.txt</x:v>
      </x:c>
      <x:c r="R104" t="str">
        <x:v>Prompts/Meshy/BaseGeometry/equipment_cloth_robe_t05_base_geometry.txt</x:v>
      </x:c>
      <x:c r="S104" t="str">
        <x:v>Prompts/TextureVariants/equipment_cloth_robe_t05_base_rarity_variants.txt</x:v>
      </x:c>
      <x:c r="T104" t="n">
        <x:v>2</x:v>
      </x:c>
      <x:c r="U104" t="n">
        <x:v>2</x:v>
      </x:c>
      <x:c r="V104" t="n">
        <x:v>1</x:v>
      </x:c>
      <x:c r="W104" t="n">
        <x:v>1</x:v>
      </x:c>
      <x:c r="X104" t="n">
        <x:v>0</x:v>
      </x:c>
      <x:c r="Y104" t="str">
        <x:v>readable at inventory scale; tier identity clear without UI; all six rarity variants preserve family; pivot and scale correct; no fragile geometry; URP PBR maps valid</x:v>
      </x:c>
      <x:c r="Z104" t="str">
        <x:v>Assets/_Game/Art/Equipment/ClothArmor/cloth_robe/T5/Models</x:v>
      </x:c>
      <x:c r="AA104" t="str">
        <x:v>Not Started</x:v>
      </x:c>
      <x:c r="AB104" t="str">
        <x:v>Pending</x:v>
      </x:c>
      <x:c r="AC104" s="18" t="n">
        <x:f>T104*'Settings &amp; Rates'!$B$5+U104*'Settings &amp; Rates'!$B$6+V104*'Settings &amp; Rates'!$B$7+W104*'Settings &amp; Rates'!$B$8+X104*'Settings &amp; Rates'!$B$9</x:f>
        <x:v>55</x:v>
      </x:c>
      <x:c r="AD104" s="18" t="n">
        <x:f>SUMIF('Attempt Log'!$B$2:$B$101,A104,'Attempt Log'!$K$2:$K$101)</x:f>
        <x:v>0</x:v>
      </x:c>
      <x:c r="AE104" s="18" t="n">
        <x:f>AD104-AC104</x:f>
        <x:v>-55</x:v>
      </x:c>
      <x:c r="AF104" t="n">
        <x:f>COUNTIF('Attempt Log'!$B$2:$B$101,A104)</x:f>
        <x:v>0</x:v>
      </x:c>
      <x:c r="AG104" t="n">
        <x:f>IFERROR(SUMIFS('Attempt Log'!$U$2:$U$101,'Attempt Log'!$B$2:$B$101,A104,'Attempt Log'!$N$2:$N$101,"Yes")/COUNTIFS('Attempt Log'!$B$2:$B$101,A104,'Attempt Log'!$N$2:$N$101,"Yes"),0)</x:f>
        <x:v>0</x:v>
      </x:c>
    </x:row>
    <x:row r="105">
      <x:c r="A105" t="str">
        <x:v>equipment_heavy_boots_t05_base</x:v>
      </x:c>
      <x:c r="B105" t="str">
        <x:v>Botas Pesadas T5</x:v>
      </x:c>
      <x:c r="C105" t="str">
        <x:v>Heavy Boots T5</x:v>
      </x:c>
      <x:c r="D105" t="str">
        <x:v>Task017</x:v>
      </x:c>
      <x:c r="E105" t="str">
        <x:v>Equipment</x:v>
      </x:c>
      <x:c r="F105" t="str">
        <x:v>Heavy Armor</x:v>
      </x:c>
      <x:c r="G105" t="str">
        <x:v>heavy_boots</x:v>
      </x:c>
      <x:c r="H105" t="str">
        <x:v>Season 1</x:v>
      </x:c>
      <x:c r="I105" t="str">
        <x:v>P2</x:v>
      </x:c>
      <x:c r="J105" t="str">
        <x:v>B11_EQUIPMENT_T5</x:v>
      </x:c>
      <x:c r="K105" t="str">
        <x:v>Image to 3D</x:v>
      </x:c>
      <x:c r="L105" t="str">
        <x:v>Yes</x:v>
      </x:c>
      <x:c r="M105" t="n">
        <x:v>1750</x:v>
      </x:c>
      <x:c r="N105" t="str">
        <x:v>1024</x:v>
      </x:c>
      <x:c r="O105" t="str">
        <x:v>No</x:v>
      </x:c>
      <x:c r="P105" t="str">
        <x:v>None</x:v>
      </x:c>
      <x:c r="Q105" t="str">
        <x:v>Prompts/ConceptArt/equipment_heavy_boots_t05_base_concept_sheet.txt</x:v>
      </x:c>
      <x:c r="R105" t="str">
        <x:v>Prompts/Meshy/BaseGeometry/equipment_heavy_boots_t05_base_geometry.txt</x:v>
      </x:c>
      <x:c r="S105" t="str">
        <x:v>Prompts/TextureVariants/equipment_heavy_boots_t05_base_rarity_variants.txt</x:v>
      </x:c>
      <x:c r="T105" t="n">
        <x:v>2</x:v>
      </x:c>
      <x:c r="U105" t="n">
        <x:v>2</x:v>
      </x:c>
      <x:c r="V105" t="n">
        <x:v>1</x:v>
      </x:c>
      <x:c r="W105" t="n">
        <x:v>1</x:v>
      </x:c>
      <x:c r="X105" t="n">
        <x:v>0</x:v>
      </x:c>
      <x:c r="Y105" t="str">
        <x:v>readable at inventory scale; tier identity clear without UI; all six rarity variants preserve family; pivot and scale correct; no fragile geometry; URP PBR maps valid</x:v>
      </x:c>
      <x:c r="Z105" t="str">
        <x:v>Assets/_Game/Art/Equipment/HeavyArmor/heavy_boots/T5/Models</x:v>
      </x:c>
      <x:c r="AA105" t="str">
        <x:v>Not Started</x:v>
      </x:c>
      <x:c r="AB105" t="str">
        <x:v>Pending</x:v>
      </x:c>
      <x:c r="AC105" s="18" t="n">
        <x:f>T105*'Settings &amp; Rates'!$B$5+U105*'Settings &amp; Rates'!$B$6+V105*'Settings &amp; Rates'!$B$7+W105*'Settings &amp; Rates'!$B$8+X105*'Settings &amp; Rates'!$B$9</x:f>
        <x:v>55</x:v>
      </x:c>
      <x:c r="AD105" s="18" t="n">
        <x:f>SUMIF('Attempt Log'!$B$2:$B$101,A105,'Attempt Log'!$K$2:$K$101)</x:f>
        <x:v>0</x:v>
      </x:c>
      <x:c r="AE105" s="18" t="n">
        <x:f>AD105-AC105</x:f>
        <x:v>-55</x:v>
      </x:c>
      <x:c r="AF105" t="n">
        <x:f>COUNTIF('Attempt Log'!$B$2:$B$101,A105)</x:f>
        <x:v>0</x:v>
      </x:c>
      <x:c r="AG105" t="n">
        <x:f>IFERROR(SUMIFS('Attempt Log'!$U$2:$U$101,'Attempt Log'!$B$2:$B$101,A105,'Attempt Log'!$N$2:$N$101,"Yes")/COUNTIFS('Attempt Log'!$B$2:$B$101,A105,'Attempt Log'!$N$2:$N$101,"Yes"),0)</x:f>
        <x:v>0</x:v>
      </x:c>
    </x:row>
    <x:row r="106">
      <x:c r="A106" t="str">
        <x:v>equipment_heavy_chest_t05_base</x:v>
      </x:c>
      <x:c r="B106" t="str">
        <x:v>Peitoral Pesado T5</x:v>
      </x:c>
      <x:c r="C106" t="str">
        <x:v>Heavy Chest Armor T5</x:v>
      </x:c>
      <x:c r="D106" t="str">
        <x:v>Task017</x:v>
      </x:c>
      <x:c r="E106" t="str">
        <x:v>Equipment</x:v>
      </x:c>
      <x:c r="F106" t="str">
        <x:v>Heavy Armor</x:v>
      </x:c>
      <x:c r="G106" t="str">
        <x:v>heavy_chest</x:v>
      </x:c>
      <x:c r="H106" t="str">
        <x:v>Season 1</x:v>
      </x:c>
      <x:c r="I106" t="str">
        <x:v>P2</x:v>
      </x:c>
      <x:c r="J106" t="str">
        <x:v>B11_EQUIPMENT_T5</x:v>
      </x:c>
      <x:c r="K106" t="str">
        <x:v>Image to 3D</x:v>
      </x:c>
      <x:c r="L106" t="str">
        <x:v>Yes</x:v>
      </x:c>
      <x:c r="M106" t="n">
        <x:v>3750</x:v>
      </x:c>
      <x:c r="N106" t="str">
        <x:v>1024</x:v>
      </x:c>
      <x:c r="O106" t="str">
        <x:v>No</x:v>
      </x:c>
      <x:c r="P106" t="str">
        <x:v>None</x:v>
      </x:c>
      <x:c r="Q106" t="str">
        <x:v>Prompts/ConceptArt/equipment_heavy_chest_t05_base_concept_sheet.txt</x:v>
      </x:c>
      <x:c r="R106" t="str">
        <x:v>Prompts/Meshy/BaseGeometry/equipment_heavy_chest_t05_base_geometry.txt</x:v>
      </x:c>
      <x:c r="S106" t="str">
        <x:v>Prompts/TextureVariants/equipment_heavy_chest_t05_base_rarity_variants.txt</x:v>
      </x:c>
      <x:c r="T106" t="n">
        <x:v>2</x:v>
      </x:c>
      <x:c r="U106" t="n">
        <x:v>2</x:v>
      </x:c>
      <x:c r="V106" t="n">
        <x:v>1</x:v>
      </x:c>
      <x:c r="W106" t="n">
        <x:v>1</x:v>
      </x:c>
      <x:c r="X106" t="n">
        <x:v>0</x:v>
      </x:c>
      <x:c r="Y106" t="str">
        <x:v>readable at inventory scale; tier identity clear without UI; all six rarity variants preserve family; pivot and scale correct; no fragile geometry; URP PBR maps valid</x:v>
      </x:c>
      <x:c r="Z106" t="str">
        <x:v>Assets/_Game/Art/Equipment/HeavyArmor/heavy_chest/T5/Models</x:v>
      </x:c>
      <x:c r="AA106" t="str">
        <x:v>Not Started</x:v>
      </x:c>
      <x:c r="AB106" t="str">
        <x:v>Pending</x:v>
      </x:c>
      <x:c r="AC106" s="18" t="n">
        <x:f>T106*'Settings &amp; Rates'!$B$5+U106*'Settings &amp; Rates'!$B$6+V106*'Settings &amp; Rates'!$B$7+W106*'Settings &amp; Rates'!$B$8+X106*'Settings &amp; Rates'!$B$9</x:f>
        <x:v>55</x:v>
      </x:c>
      <x:c r="AD106" s="18" t="n">
        <x:f>SUMIF('Attempt Log'!$B$2:$B$101,A106,'Attempt Log'!$K$2:$K$101)</x:f>
        <x:v>0</x:v>
      </x:c>
      <x:c r="AE106" s="18" t="n">
        <x:f>AD106-AC106</x:f>
        <x:v>-55</x:v>
      </x:c>
      <x:c r="AF106" t="n">
        <x:f>COUNTIF('Attempt Log'!$B$2:$B$101,A106)</x:f>
        <x:v>0</x:v>
      </x:c>
      <x:c r="AG106" t="n">
        <x:f>IFERROR(SUMIFS('Attempt Log'!$U$2:$U$101,'Attempt Log'!$B$2:$B$101,A106,'Attempt Log'!$N$2:$N$101,"Yes")/COUNTIFS('Attempt Log'!$B$2:$B$101,A106,'Attempt Log'!$N$2:$N$101,"Yes"),0)</x:f>
        <x:v>0</x:v>
      </x:c>
    </x:row>
    <x:row r="107">
      <x:c r="A107" t="str">
        <x:v>equipment_heavy_gloves_t05_base</x:v>
      </x:c>
      <x:c r="B107" t="str">
        <x:v>Manoplas Pesadas T5</x:v>
      </x:c>
      <x:c r="C107" t="str">
        <x:v>Heavy Gauntlets T5</x:v>
      </x:c>
      <x:c r="D107" t="str">
        <x:v>Task017</x:v>
      </x:c>
      <x:c r="E107" t="str">
        <x:v>Equipment</x:v>
      </x:c>
      <x:c r="F107" t="str">
        <x:v>Heavy Armor</x:v>
      </x:c>
      <x:c r="G107" t="str">
        <x:v>heavy_gloves</x:v>
      </x:c>
      <x:c r="H107" t="str">
        <x:v>Season 1</x:v>
      </x:c>
      <x:c r="I107" t="str">
        <x:v>P2</x:v>
      </x:c>
      <x:c r="J107" t="str">
        <x:v>B11_EQUIPMENT_T5</x:v>
      </x:c>
      <x:c r="K107" t="str">
        <x:v>Image to 3D</x:v>
      </x:c>
      <x:c r="L107" t="str">
        <x:v>Yes</x:v>
      </x:c>
      <x:c r="M107" t="n">
        <x:v>1550</x:v>
      </x:c>
      <x:c r="N107" t="str">
        <x:v>1024</x:v>
      </x:c>
      <x:c r="O107" t="str">
        <x:v>No</x:v>
      </x:c>
      <x:c r="P107" t="str">
        <x:v>None</x:v>
      </x:c>
      <x:c r="Q107" t="str">
        <x:v>Prompts/ConceptArt/equipment_heavy_gloves_t05_base_concept_sheet.txt</x:v>
      </x:c>
      <x:c r="R107" t="str">
        <x:v>Prompts/Meshy/BaseGeometry/equipment_heavy_gloves_t05_base_geometry.txt</x:v>
      </x:c>
      <x:c r="S107" t="str">
        <x:v>Prompts/TextureVariants/equipment_heavy_gloves_t05_base_rarity_variants.txt</x:v>
      </x:c>
      <x:c r="T107" t="n">
        <x:v>2</x:v>
      </x:c>
      <x:c r="U107" t="n">
        <x:v>2</x:v>
      </x:c>
      <x:c r="V107" t="n">
        <x:v>1</x:v>
      </x:c>
      <x:c r="W107" t="n">
        <x:v>1</x:v>
      </x:c>
      <x:c r="X107" t="n">
        <x:v>0</x:v>
      </x:c>
      <x:c r="Y107" t="str">
        <x:v>readable at inventory scale; tier identity clear without UI; all six rarity variants preserve family; pivot and scale correct; no fragile geometry; URP PBR maps valid</x:v>
      </x:c>
      <x:c r="Z107" t="str">
        <x:v>Assets/_Game/Art/Equipment/HeavyArmor/heavy_gloves/T5/Models</x:v>
      </x:c>
      <x:c r="AA107" t="str">
        <x:v>Not Started</x:v>
      </x:c>
      <x:c r="AB107" t="str">
        <x:v>Pending</x:v>
      </x:c>
      <x:c r="AC107" s="18" t="n">
        <x:f>T107*'Settings &amp; Rates'!$B$5+U107*'Settings &amp; Rates'!$B$6+V107*'Settings &amp; Rates'!$B$7+W107*'Settings &amp; Rates'!$B$8+X107*'Settings &amp; Rates'!$B$9</x:f>
        <x:v>55</x:v>
      </x:c>
      <x:c r="AD107" s="18" t="n">
        <x:f>SUMIF('Attempt Log'!$B$2:$B$101,A107,'Attempt Log'!$K$2:$K$101)</x:f>
        <x:v>0</x:v>
      </x:c>
      <x:c r="AE107" s="18" t="n">
        <x:f>AD107-AC107</x:f>
        <x:v>-55</x:v>
      </x:c>
      <x:c r="AF107" t="n">
        <x:f>COUNTIF('Attempt Log'!$B$2:$B$101,A107)</x:f>
        <x:v>0</x:v>
      </x:c>
      <x:c r="AG107" t="n">
        <x:f>IFERROR(SUMIFS('Attempt Log'!$U$2:$U$101,'Attempt Log'!$B$2:$B$101,A107,'Attempt Log'!$N$2:$N$101,"Yes")/COUNTIFS('Attempt Log'!$B$2:$B$101,A107,'Attempt Log'!$N$2:$N$101,"Yes"),0)</x:f>
        <x:v>0</x:v>
      </x:c>
    </x:row>
    <x:row r="108">
      <x:c r="A108" t="str">
        <x:v>equipment_heavy_helmet_t05_base</x:v>
      </x:c>
      <x:c r="B108" t="str">
        <x:v>Elmo Pesado T5</x:v>
      </x:c>
      <x:c r="C108" t="str">
        <x:v>Heavy Helmet T5</x:v>
      </x:c>
      <x:c r="D108" t="str">
        <x:v>Task017</x:v>
      </x:c>
      <x:c r="E108" t="str">
        <x:v>Equipment</x:v>
      </x:c>
      <x:c r="F108" t="str">
        <x:v>Heavy Armor</x:v>
      </x:c>
      <x:c r="G108" t="str">
        <x:v>heavy_helmet</x:v>
      </x:c>
      <x:c r="H108" t="str">
        <x:v>Season 1</x:v>
      </x:c>
      <x:c r="I108" t="str">
        <x:v>P2</x:v>
      </x:c>
      <x:c r="J108" t="str">
        <x:v>B11_EQUIPMENT_T5</x:v>
      </x:c>
      <x:c r="K108" t="str">
        <x:v>Image to 3D</x:v>
      </x:c>
      <x:c r="L108" t="str">
        <x:v>Yes</x:v>
      </x:c>
      <x:c r="M108" t="n">
        <x:v>2200</x:v>
      </x:c>
      <x:c r="N108" t="str">
        <x:v>1024</x:v>
      </x:c>
      <x:c r="O108" t="str">
        <x:v>No</x:v>
      </x:c>
      <x:c r="P108" t="str">
        <x:v>None</x:v>
      </x:c>
      <x:c r="Q108" t="str">
        <x:v>Prompts/ConceptArt/equipment_heavy_helmet_t05_base_concept_sheet.txt</x:v>
      </x:c>
      <x:c r="R108" t="str">
        <x:v>Prompts/Meshy/BaseGeometry/equipment_heavy_helmet_t05_base_geometry.txt</x:v>
      </x:c>
      <x:c r="S108" t="str">
        <x:v>Prompts/TextureVariants/equipment_heavy_helmet_t05_base_rarity_variants.txt</x:v>
      </x:c>
      <x:c r="T108" t="n">
        <x:v>2</x:v>
      </x:c>
      <x:c r="U108" t="n">
        <x:v>2</x:v>
      </x:c>
      <x:c r="V108" t="n">
        <x:v>1</x:v>
      </x:c>
      <x:c r="W108" t="n">
        <x:v>1</x:v>
      </x:c>
      <x:c r="X108" t="n">
        <x:v>0</x:v>
      </x:c>
      <x:c r="Y108" t="str">
        <x:v>readable at inventory scale; tier identity clear without UI; all six rarity variants preserve family; pivot and scale correct; no fragile geometry; URP PBR maps valid</x:v>
      </x:c>
      <x:c r="Z108" t="str">
        <x:v>Assets/_Game/Art/Equipment/HeavyArmor/heavy_helmet/T5/Models</x:v>
      </x:c>
      <x:c r="AA108" t="str">
        <x:v>Not Started</x:v>
      </x:c>
      <x:c r="AB108" t="str">
        <x:v>Pending</x:v>
      </x:c>
      <x:c r="AC108" s="18" t="n">
        <x:f>T108*'Settings &amp; Rates'!$B$5+U108*'Settings &amp; Rates'!$B$6+V108*'Settings &amp; Rates'!$B$7+W108*'Settings &amp; Rates'!$B$8+X108*'Settings &amp; Rates'!$B$9</x:f>
        <x:v>55</x:v>
      </x:c>
      <x:c r="AD108" s="18" t="n">
        <x:f>SUMIF('Attempt Log'!$B$2:$B$101,A108,'Attempt Log'!$K$2:$K$101)</x:f>
        <x:v>0</x:v>
      </x:c>
      <x:c r="AE108" s="18" t="n">
        <x:f>AD108-AC108</x:f>
        <x:v>-55</x:v>
      </x:c>
      <x:c r="AF108" t="n">
        <x:f>COUNTIF('Attempt Log'!$B$2:$B$101,A108)</x:f>
        <x:v>0</x:v>
      </x:c>
      <x:c r="AG108" t="n">
        <x:f>IFERROR(SUMIFS('Attempt Log'!$U$2:$U$101,'Attempt Log'!$B$2:$B$101,A108,'Attempt Log'!$N$2:$N$101,"Yes")/COUNTIFS('Attempt Log'!$B$2:$B$101,A108,'Attempt Log'!$N$2:$N$101,"Yes"),0)</x:f>
        <x:v>0</x:v>
      </x:c>
    </x:row>
    <x:row r="109">
      <x:c r="A109" t="str">
        <x:v>equipment_light_boots_t05_base</x:v>
      </x:c>
      <x:c r="B109" t="str">
        <x:v>Botas Leves T5</x:v>
      </x:c>
      <x:c r="C109" t="str">
        <x:v>Light Boots T5</x:v>
      </x:c>
      <x:c r="D109" t="str">
        <x:v>Task017</x:v>
      </x:c>
      <x:c r="E109" t="str">
        <x:v>Equipment</x:v>
      </x:c>
      <x:c r="F109" t="str">
        <x:v>Light Armor</x:v>
      </x:c>
      <x:c r="G109" t="str">
        <x:v>light_boots</x:v>
      </x:c>
      <x:c r="H109" t="str">
        <x:v>Season 1</x:v>
      </x:c>
      <x:c r="I109" t="str">
        <x:v>P2</x:v>
      </x:c>
      <x:c r="J109" t="str">
        <x:v>B11_EQUIPMENT_T5</x:v>
      </x:c>
      <x:c r="K109" t="str">
        <x:v>Image to 3D</x:v>
      </x:c>
      <x:c r="L109" t="str">
        <x:v>Yes</x:v>
      </x:c>
      <x:c r="M109" t="n">
        <x:v>1450</x:v>
      </x:c>
      <x:c r="N109" t="str">
        <x:v>1024</x:v>
      </x:c>
      <x:c r="O109" t="str">
        <x:v>No</x:v>
      </x:c>
      <x:c r="P109" t="str">
        <x:v>None</x:v>
      </x:c>
      <x:c r="Q109" t="str">
        <x:v>Prompts/ConceptArt/equipment_light_boots_t05_base_concept_sheet.txt</x:v>
      </x:c>
      <x:c r="R109" t="str">
        <x:v>Prompts/Meshy/BaseGeometry/equipment_light_boots_t05_base_geometry.txt</x:v>
      </x:c>
      <x:c r="S109" t="str">
        <x:v>Prompts/TextureVariants/equipment_light_boots_t05_base_rarity_variants.txt</x:v>
      </x:c>
      <x:c r="T109" t="n">
        <x:v>2</x:v>
      </x:c>
      <x:c r="U109" t="n">
        <x:v>2</x:v>
      </x:c>
      <x:c r="V109" t="n">
        <x:v>1</x:v>
      </x:c>
      <x:c r="W109" t="n">
        <x:v>1</x:v>
      </x:c>
      <x:c r="X109" t="n">
        <x:v>0</x:v>
      </x:c>
      <x:c r="Y109" t="str">
        <x:v>readable at inventory scale; tier identity clear without UI; all six rarity variants preserve family; pivot and scale correct; no fragile geometry; URP PBR maps valid</x:v>
      </x:c>
      <x:c r="Z109" t="str">
        <x:v>Assets/_Game/Art/Equipment/LightArmor/light_boots/T5/Models</x:v>
      </x:c>
      <x:c r="AA109" t="str">
        <x:v>Not Started</x:v>
      </x:c>
      <x:c r="AB109" t="str">
        <x:v>Pending</x:v>
      </x:c>
      <x:c r="AC109" s="18" t="n">
        <x:f>T109*'Settings &amp; Rates'!$B$5+U109*'Settings &amp; Rates'!$B$6+V109*'Settings &amp; Rates'!$B$7+W109*'Settings &amp; Rates'!$B$8+X109*'Settings &amp; Rates'!$B$9</x:f>
        <x:v>55</x:v>
      </x:c>
      <x:c r="AD109" s="18" t="n">
        <x:f>SUMIF('Attempt Log'!$B$2:$B$101,A109,'Attempt Log'!$K$2:$K$101)</x:f>
        <x:v>0</x:v>
      </x:c>
      <x:c r="AE109" s="18" t="n">
        <x:f>AD109-AC109</x:f>
        <x:v>-55</x:v>
      </x:c>
      <x:c r="AF109" t="n">
        <x:f>COUNTIF('Attempt Log'!$B$2:$B$101,A109)</x:f>
        <x:v>0</x:v>
      </x:c>
      <x:c r="AG109" t="n">
        <x:f>IFERROR(SUMIFS('Attempt Log'!$U$2:$U$101,'Attempt Log'!$B$2:$B$101,A109,'Attempt Log'!$N$2:$N$101,"Yes")/COUNTIFS('Attempt Log'!$B$2:$B$101,A109,'Attempt Log'!$N$2:$N$101,"Yes"),0)</x:f>
        <x:v>0</x:v>
      </x:c>
    </x:row>
    <x:row r="110">
      <x:c r="A110" t="str">
        <x:v>equipment_light_chest_t05_base</x:v>
      </x:c>
      <x:c r="B110" t="str">
        <x:v>Armadura Leve T5</x:v>
      </x:c>
      <x:c r="C110" t="str">
        <x:v>Light Chest Armor T5</x:v>
      </x:c>
      <x:c r="D110" t="str">
        <x:v>Task017</x:v>
      </x:c>
      <x:c r="E110" t="str">
        <x:v>Equipment</x:v>
      </x:c>
      <x:c r="F110" t="str">
        <x:v>Light Armor</x:v>
      </x:c>
      <x:c r="G110" t="str">
        <x:v>light_chest</x:v>
      </x:c>
      <x:c r="H110" t="str">
        <x:v>Season 1</x:v>
      </x:c>
      <x:c r="I110" t="str">
        <x:v>P2</x:v>
      </x:c>
      <x:c r="J110" t="str">
        <x:v>B11_EQUIPMENT_T5</x:v>
      </x:c>
      <x:c r="K110" t="str">
        <x:v>Image to 3D</x:v>
      </x:c>
      <x:c r="L110" t="str">
        <x:v>Yes</x:v>
      </x:c>
      <x:c r="M110" t="n">
        <x:v>2800</x:v>
      </x:c>
      <x:c r="N110" t="str">
        <x:v>1024</x:v>
      </x:c>
      <x:c r="O110" t="str">
        <x:v>No</x:v>
      </x:c>
      <x:c r="P110" t="str">
        <x:v>None</x:v>
      </x:c>
      <x:c r="Q110" t="str">
        <x:v>Prompts/ConceptArt/equipment_light_chest_t05_base_concept_sheet.txt</x:v>
      </x:c>
      <x:c r="R110" t="str">
        <x:v>Prompts/Meshy/BaseGeometry/equipment_light_chest_t05_base_geometry.txt</x:v>
      </x:c>
      <x:c r="S110" t="str">
        <x:v>Prompts/TextureVariants/equipment_light_chest_t05_base_rarity_variants.txt</x:v>
      </x:c>
      <x:c r="T110" t="n">
        <x:v>2</x:v>
      </x:c>
      <x:c r="U110" t="n">
        <x:v>2</x:v>
      </x:c>
      <x:c r="V110" t="n">
        <x:v>1</x:v>
      </x:c>
      <x:c r="W110" t="n">
        <x:v>1</x:v>
      </x:c>
      <x:c r="X110" t="n">
        <x:v>0</x:v>
      </x:c>
      <x:c r="Y110" t="str">
        <x:v>readable at inventory scale; tier identity clear without UI; all six rarity variants preserve family; pivot and scale correct; no fragile geometry; URP PBR maps valid</x:v>
      </x:c>
      <x:c r="Z110" t="str">
        <x:v>Assets/_Game/Art/Equipment/LightArmor/light_chest/T5/Models</x:v>
      </x:c>
      <x:c r="AA110" t="str">
        <x:v>Not Started</x:v>
      </x:c>
      <x:c r="AB110" t="str">
        <x:v>Pending</x:v>
      </x:c>
      <x:c r="AC110" s="18" t="n">
        <x:f>T110*'Settings &amp; Rates'!$B$5+U110*'Settings &amp; Rates'!$B$6+V110*'Settings &amp; Rates'!$B$7+W110*'Settings &amp; Rates'!$B$8+X110*'Settings &amp; Rates'!$B$9</x:f>
        <x:v>55</x:v>
      </x:c>
      <x:c r="AD110" s="18" t="n">
        <x:f>SUMIF('Attempt Log'!$B$2:$B$101,A110,'Attempt Log'!$K$2:$K$101)</x:f>
        <x:v>0</x:v>
      </x:c>
      <x:c r="AE110" s="18" t="n">
        <x:f>AD110-AC110</x:f>
        <x:v>-55</x:v>
      </x:c>
      <x:c r="AF110" t="n">
        <x:f>COUNTIF('Attempt Log'!$B$2:$B$101,A110)</x:f>
        <x:v>0</x:v>
      </x:c>
      <x:c r="AG110" t="n">
        <x:f>IFERROR(SUMIFS('Attempt Log'!$U$2:$U$101,'Attempt Log'!$B$2:$B$101,A110,'Attempt Log'!$N$2:$N$101,"Yes")/COUNTIFS('Attempt Log'!$B$2:$B$101,A110,'Attempt Log'!$N$2:$N$101,"Yes"),0)</x:f>
        <x:v>0</x:v>
      </x:c>
    </x:row>
    <x:row r="111">
      <x:c r="A111" t="str">
        <x:v>equipment_light_gloves_t05_base</x:v>
      </x:c>
      <x:c r="B111" t="str">
        <x:v>Luvas Leves T5</x:v>
      </x:c>
      <x:c r="C111" t="str">
        <x:v>Light Gloves T5</x:v>
      </x:c>
      <x:c r="D111" t="str">
        <x:v>Task017</x:v>
      </x:c>
      <x:c r="E111" t="str">
        <x:v>Equipment</x:v>
      </x:c>
      <x:c r="F111" t="str">
        <x:v>Light Armor</x:v>
      </x:c>
      <x:c r="G111" t="str">
        <x:v>light_gloves</x:v>
      </x:c>
      <x:c r="H111" t="str">
        <x:v>Season 1</x:v>
      </x:c>
      <x:c r="I111" t="str">
        <x:v>P2</x:v>
      </x:c>
      <x:c r="J111" t="str">
        <x:v>B11_EQUIPMENT_T5</x:v>
      </x:c>
      <x:c r="K111" t="str">
        <x:v>Image to 3D</x:v>
      </x:c>
      <x:c r="L111" t="str">
        <x:v>Yes</x:v>
      </x:c>
      <x:c r="M111" t="n">
        <x:v>1200</x:v>
      </x:c>
      <x:c r="N111" t="str">
        <x:v>1024</x:v>
      </x:c>
      <x:c r="O111" t="str">
        <x:v>No</x:v>
      </x:c>
      <x:c r="P111" t="str">
        <x:v>None</x:v>
      </x:c>
      <x:c r="Q111" t="str">
        <x:v>Prompts/ConceptArt/equipment_light_gloves_t05_base_concept_sheet.txt</x:v>
      </x:c>
      <x:c r="R111" t="str">
        <x:v>Prompts/Meshy/BaseGeometry/equipment_light_gloves_t05_base_geometry.txt</x:v>
      </x:c>
      <x:c r="S111" t="str">
        <x:v>Prompts/TextureVariants/equipment_light_gloves_t05_base_rarity_variants.txt</x:v>
      </x:c>
      <x:c r="T111" t="n">
        <x:v>2</x:v>
      </x:c>
      <x:c r="U111" t="n">
        <x:v>2</x:v>
      </x:c>
      <x:c r="V111" t="n">
        <x:v>1</x:v>
      </x:c>
      <x:c r="W111" t="n">
        <x:v>1</x:v>
      </x:c>
      <x:c r="X111" t="n">
        <x:v>0</x:v>
      </x:c>
      <x:c r="Y111" t="str">
        <x:v>readable at inventory scale; tier identity clear without UI; all six rarity variants preserve family; pivot and scale correct; no fragile geometry; URP PBR maps valid</x:v>
      </x:c>
      <x:c r="Z111" t="str">
        <x:v>Assets/_Game/Art/Equipment/LightArmor/light_gloves/T5/Models</x:v>
      </x:c>
      <x:c r="AA111" t="str">
        <x:v>Not Started</x:v>
      </x:c>
      <x:c r="AB111" t="str">
        <x:v>Pending</x:v>
      </x:c>
      <x:c r="AC111" s="18" t="n">
        <x:f>T111*'Settings &amp; Rates'!$B$5+U111*'Settings &amp; Rates'!$B$6+V111*'Settings &amp; Rates'!$B$7+W111*'Settings &amp; Rates'!$B$8+X111*'Settings &amp; Rates'!$B$9</x:f>
        <x:v>55</x:v>
      </x:c>
      <x:c r="AD111" s="18" t="n">
        <x:f>SUMIF('Attempt Log'!$B$2:$B$101,A111,'Attempt Log'!$K$2:$K$101)</x:f>
        <x:v>0</x:v>
      </x:c>
      <x:c r="AE111" s="18" t="n">
        <x:f>AD111-AC111</x:f>
        <x:v>-55</x:v>
      </x:c>
      <x:c r="AF111" t="n">
        <x:f>COUNTIF('Attempt Log'!$B$2:$B$101,A111)</x:f>
        <x:v>0</x:v>
      </x:c>
      <x:c r="AG111" t="n">
        <x:f>IFERROR(SUMIFS('Attempt Log'!$U$2:$U$101,'Attempt Log'!$B$2:$B$101,A111,'Attempt Log'!$N$2:$N$101,"Yes")/COUNTIFS('Attempt Log'!$B$2:$B$101,A111,'Attempt Log'!$N$2:$N$101,"Yes"),0)</x:f>
        <x:v>0</x:v>
      </x:c>
    </x:row>
    <x:row r="112">
      <x:c r="A112" t="str">
        <x:v>equipment_light_hood_t05_base</x:v>
      </x:c>
      <x:c r="B112" t="str">
        <x:v>Capuz Leve T5</x:v>
      </x:c>
      <x:c r="C112" t="str">
        <x:v>Light Hood T5</x:v>
      </x:c>
      <x:c r="D112" t="str">
        <x:v>Task017</x:v>
      </x:c>
      <x:c r="E112" t="str">
        <x:v>Equipment</x:v>
      </x:c>
      <x:c r="F112" t="str">
        <x:v>Light Armor</x:v>
      </x:c>
      <x:c r="G112" t="str">
        <x:v>light_hood</x:v>
      </x:c>
      <x:c r="H112" t="str">
        <x:v>Season 1</x:v>
      </x:c>
      <x:c r="I112" t="str">
        <x:v>P2</x:v>
      </x:c>
      <x:c r="J112" t="str">
        <x:v>B11_EQUIPMENT_T5</x:v>
      </x:c>
      <x:c r="K112" t="str">
        <x:v>Image to 3D</x:v>
      </x:c>
      <x:c r="L112" t="str">
        <x:v>Yes</x:v>
      </x:c>
      <x:c r="M112" t="n">
        <x:v>1450</x:v>
      </x:c>
      <x:c r="N112" t="str">
        <x:v>1024</x:v>
      </x:c>
      <x:c r="O112" t="str">
        <x:v>No</x:v>
      </x:c>
      <x:c r="P112" t="str">
        <x:v>None</x:v>
      </x:c>
      <x:c r="Q112" t="str">
        <x:v>Prompts/ConceptArt/equipment_light_hood_t05_base_concept_sheet.txt</x:v>
      </x:c>
      <x:c r="R112" t="str">
        <x:v>Prompts/Meshy/BaseGeometry/equipment_light_hood_t05_base_geometry.txt</x:v>
      </x:c>
      <x:c r="S112" t="str">
        <x:v>Prompts/TextureVariants/equipment_light_hood_t05_base_rarity_variants.txt</x:v>
      </x:c>
      <x:c r="T112" t="n">
        <x:v>2</x:v>
      </x:c>
      <x:c r="U112" t="n">
        <x:v>2</x:v>
      </x:c>
      <x:c r="V112" t="n">
        <x:v>1</x:v>
      </x:c>
      <x:c r="W112" t="n">
        <x:v>1</x:v>
      </x:c>
      <x:c r="X112" t="n">
        <x:v>0</x:v>
      </x:c>
      <x:c r="Y112" t="str">
        <x:v>readable at inventory scale; tier identity clear without UI; all six rarity variants preserve family; pivot and scale correct; no fragile geometry; URP PBR maps valid</x:v>
      </x:c>
      <x:c r="Z112" t="str">
        <x:v>Assets/_Game/Art/Equipment/LightArmor/light_hood/T5/Models</x:v>
      </x:c>
      <x:c r="AA112" t="str">
        <x:v>Not Started</x:v>
      </x:c>
      <x:c r="AB112" t="str">
        <x:v>Pending</x:v>
      </x:c>
      <x:c r="AC112" s="18" t="n">
        <x:f>T112*'Settings &amp; Rates'!$B$5+U112*'Settings &amp; Rates'!$B$6+V112*'Settings &amp; Rates'!$B$7+W112*'Settings &amp; Rates'!$B$8+X112*'Settings &amp; Rates'!$B$9</x:f>
        <x:v>55</x:v>
      </x:c>
      <x:c r="AD112" s="18" t="n">
        <x:f>SUMIF('Attempt Log'!$B$2:$B$101,A112,'Attempt Log'!$K$2:$K$101)</x:f>
        <x:v>0</x:v>
      </x:c>
      <x:c r="AE112" s="18" t="n">
        <x:f>AD112-AC112</x:f>
        <x:v>-55</x:v>
      </x:c>
      <x:c r="AF112" t="n">
        <x:f>COUNTIF('Attempt Log'!$B$2:$B$101,A112)</x:f>
        <x:v>0</x:v>
      </x:c>
      <x:c r="AG112" t="n">
        <x:f>IFERROR(SUMIFS('Attempt Log'!$U$2:$U$101,'Attempt Log'!$B$2:$B$101,A112,'Attempt Log'!$N$2:$N$101,"Yes")/COUNTIFS('Attempt Log'!$B$2:$B$101,A112,'Attempt Log'!$N$2:$N$101,"Yes"),0)</x:f>
        <x:v>0</x:v>
      </x:c>
    </x:row>
    <x:row r="113">
      <x:c r="A113" t="str">
        <x:v>equipment_longbow_t05_base</x:v>
      </x:c>
      <x:c r="B113" t="str">
        <x:v>Arco Longo T5</x:v>
      </x:c>
      <x:c r="C113" t="str">
        <x:v>Longbow T5</x:v>
      </x:c>
      <x:c r="D113" t="str">
        <x:v>Task017</x:v>
      </x:c>
      <x:c r="E113" t="str">
        <x:v>Equipment</x:v>
      </x:c>
      <x:c r="F113" t="str">
        <x:v>Weapon</x:v>
      </x:c>
      <x:c r="G113" t="str">
        <x:v>longbow</x:v>
      </x:c>
      <x:c r="H113" t="str">
        <x:v>Season 1</x:v>
      </x:c>
      <x:c r="I113" t="str">
        <x:v>P2</x:v>
      </x:c>
      <x:c r="J113" t="str">
        <x:v>B11_EQUIPMENT_T5</x:v>
      </x:c>
      <x:c r="K113" t="str">
        <x:v>Text to 3D</x:v>
      </x:c>
      <x:c r="L113" t="str">
        <x:v>Optional</x:v>
      </x:c>
      <x:c r="M113" t="n">
        <x:v>1700</x:v>
      </x:c>
      <x:c r="N113" t="str">
        <x:v>1024</x:v>
      </x:c>
      <x:c r="O113" t="str">
        <x:v>No</x:v>
      </x:c>
      <x:c r="P113" t="str">
        <x:v>None</x:v>
      </x:c>
      <x:c r="Q113" t="str">
        <x:v>Prompts/ConceptArt/equipment_longbow_t05_base_concept_sheet.txt</x:v>
      </x:c>
      <x:c r="R113" t="str">
        <x:v>Prompts/Meshy/BaseGeometry/equipment_longbow_t05_base_geometry.txt</x:v>
      </x:c>
      <x:c r="S113" t="str">
        <x:v>Prompts/TextureVariants/equipment_longbow_t05_base_rarity_variants.txt</x:v>
      </x:c>
      <x:c r="T113" t="n">
        <x:v>1</x:v>
      </x:c>
      <x:c r="U113" t="n">
        <x:v>2</x:v>
      </x:c>
      <x:c r="V113" t="n">
        <x:v>1</x:v>
      </x:c>
      <x:c r="W113" t="n">
        <x:v>1</x:v>
      </x:c>
      <x:c r="X113" t="n">
        <x:v>0</x:v>
      </x:c>
      <x:c r="Y113" t="str">
        <x:v>readable at inventory scale; tier identity clear without UI; all six rarity variants preserve family; pivot and scale correct; no fragile geometry; URP PBR maps valid</x:v>
      </x:c>
      <x:c r="Z113" t="str">
        <x:v>Assets/_Game/Art/Equipment/Weapon/longbow/T5/Models</x:v>
      </x:c>
      <x:c r="AA113" t="str">
        <x:v>Not Started</x:v>
      </x:c>
      <x:c r="AB113" t="str">
        <x:v>Pending</x:v>
      </x:c>
      <x:c r="AC113" s="18" t="n">
        <x:f>T113*'Settings &amp; Rates'!$B$5+U113*'Settings &amp; Rates'!$B$6+V113*'Settings &amp; Rates'!$B$7+W113*'Settings &amp; Rates'!$B$8+X113*'Settings &amp; Rates'!$B$9</x:f>
        <x:v>55</x:v>
      </x:c>
      <x:c r="AD113" s="18" t="n">
        <x:f>SUMIF('Attempt Log'!$B$2:$B$101,A113,'Attempt Log'!$K$2:$K$101)</x:f>
        <x:v>0</x:v>
      </x:c>
      <x:c r="AE113" s="18" t="n">
        <x:f>AD113-AC113</x:f>
        <x:v>-55</x:v>
      </x:c>
      <x:c r="AF113" t="n">
        <x:f>COUNTIF('Attempt Log'!$B$2:$B$101,A113)</x:f>
        <x:v>0</x:v>
      </x:c>
      <x:c r="AG113" t="n">
        <x:f>IFERROR(SUMIFS('Attempt Log'!$U$2:$U$101,'Attempt Log'!$B$2:$B$101,A113,'Attempt Log'!$N$2:$N$101,"Yes")/COUNTIFS('Attempt Log'!$B$2:$B$101,A113,'Attempt Log'!$N$2:$N$101,"Yes"),0)</x:f>
        <x:v>0</x:v>
      </x:c>
    </x:row>
    <x:row r="114">
      <x:c r="A114" t="str">
        <x:v>equipment_ring_t05_base</x:v>
      </x:c>
      <x:c r="B114" t="str">
        <x:v>Anel T5</x:v>
      </x:c>
      <x:c r="C114" t="str">
        <x:v>Ring T5</x:v>
      </x:c>
      <x:c r="D114" t="str">
        <x:v>Task017</x:v>
      </x:c>
      <x:c r="E114" t="str">
        <x:v>Equipment</x:v>
      </x:c>
      <x:c r="F114" t="str">
        <x:v>Accessory</x:v>
      </x:c>
      <x:c r="G114" t="str">
        <x:v>ring</x:v>
      </x:c>
      <x:c r="H114" t="str">
        <x:v>Season 1</x:v>
      </x:c>
      <x:c r="I114" t="str">
        <x:v>P2</x:v>
      </x:c>
      <x:c r="J114" t="str">
        <x:v>B11_EQUIPMENT_T5</x:v>
      </x:c>
      <x:c r="K114" t="str">
        <x:v>Text to 3D</x:v>
      </x:c>
      <x:c r="L114" t="str">
        <x:v>Optional</x:v>
      </x:c>
      <x:c r="M114" t="n">
        <x:v>550</x:v>
      </x:c>
      <x:c r="N114" t="str">
        <x:v>512</x:v>
      </x:c>
      <x:c r="O114" t="str">
        <x:v>No</x:v>
      </x:c>
      <x:c r="P114" t="str">
        <x:v>None</x:v>
      </x:c>
      <x:c r="Q114" t="str">
        <x:v>Prompts/ConceptArt/equipment_ring_t05_base_concept_sheet.txt</x:v>
      </x:c>
      <x:c r="R114" t="str">
        <x:v>Prompts/Meshy/BaseGeometry/equipment_ring_t05_base_geometry.txt</x:v>
      </x:c>
      <x:c r="S114" t="str">
        <x:v>Prompts/TextureVariants/equipment_ring_t05_base_rarity_variants.txt</x:v>
      </x:c>
      <x:c r="T114" t="n">
        <x:v>1</x:v>
      </x:c>
      <x:c r="U114" t="n">
        <x:v>2</x:v>
      </x:c>
      <x:c r="V114" t="n">
        <x:v>1</x:v>
      </x:c>
      <x:c r="W114" t="n">
        <x:v>1</x:v>
      </x:c>
      <x:c r="X114" t="n">
        <x:v>0</x:v>
      </x:c>
      <x:c r="Y114" t="str">
        <x:v>readable at inventory scale; tier identity clear without UI; all six rarity variants preserve family; pivot and scale correct; no fragile geometry; URP PBR maps valid</x:v>
      </x:c>
      <x:c r="Z114" t="str">
        <x:v>Assets/_Game/Art/Equipment/Accessory/ring/T5/Models</x:v>
      </x:c>
      <x:c r="AA114" t="str">
        <x:v>Not Started</x:v>
      </x:c>
      <x:c r="AB114" t="str">
        <x:v>Pending</x:v>
      </x:c>
      <x:c r="AC114" s="18" t="n">
        <x:f>T114*'Settings &amp; Rates'!$B$5+U114*'Settings &amp; Rates'!$B$6+V114*'Settings &amp; Rates'!$B$7+W114*'Settings &amp; Rates'!$B$8+X114*'Settings &amp; Rates'!$B$9</x:f>
        <x:v>55</x:v>
      </x:c>
      <x:c r="AD114" s="18" t="n">
        <x:f>SUMIF('Attempt Log'!$B$2:$B$101,A114,'Attempt Log'!$K$2:$K$101)</x:f>
        <x:v>0</x:v>
      </x:c>
      <x:c r="AE114" s="18" t="n">
        <x:f>AD114-AC114</x:f>
        <x:v>-55</x:v>
      </x:c>
      <x:c r="AF114" t="n">
        <x:f>COUNTIF('Attempt Log'!$B$2:$B$101,A114)</x:f>
        <x:v>0</x:v>
      </x:c>
      <x:c r="AG114" t="n">
        <x:f>IFERROR(SUMIFS('Attempt Log'!$U$2:$U$101,'Attempt Log'!$B$2:$B$101,A114,'Attempt Log'!$N$2:$N$101,"Yes")/COUNTIFS('Attempt Log'!$B$2:$B$101,A114,'Attempt Log'!$N$2:$N$101,"Yes"),0)</x:f>
        <x:v>0</x:v>
      </x:c>
    </x:row>
    <x:row r="115">
      <x:c r="A115" t="str">
        <x:v>equipment_shield_t05_base</x:v>
      </x:c>
      <x:c r="B115" t="str">
        <x:v>Escudo T5</x:v>
      </x:c>
      <x:c r="C115" t="str">
        <x:v>Shield T5</x:v>
      </x:c>
      <x:c r="D115" t="str">
        <x:v>Task017</x:v>
      </x:c>
      <x:c r="E115" t="str">
        <x:v>Equipment</x:v>
      </x:c>
      <x:c r="F115" t="str">
        <x:v>Weapon</x:v>
      </x:c>
      <x:c r="G115" t="str">
        <x:v>shield</x:v>
      </x:c>
      <x:c r="H115" t="str">
        <x:v>Season 1</x:v>
      </x:c>
      <x:c r="I115" t="str">
        <x:v>P2</x:v>
      </x:c>
      <x:c r="J115" t="str">
        <x:v>B11_EQUIPMENT_T5</x:v>
      </x:c>
      <x:c r="K115" t="str">
        <x:v>Text to 3D</x:v>
      </x:c>
      <x:c r="L115" t="str">
        <x:v>Optional</x:v>
      </x:c>
      <x:c r="M115" t="n">
        <x:v>2500</x:v>
      </x:c>
      <x:c r="N115" t="str">
        <x:v>1024</x:v>
      </x:c>
      <x:c r="O115" t="str">
        <x:v>No</x:v>
      </x:c>
      <x:c r="P115" t="str">
        <x:v>None</x:v>
      </x:c>
      <x:c r="Q115" t="str">
        <x:v>Prompts/ConceptArt/equipment_shield_t05_base_concept_sheet.txt</x:v>
      </x:c>
      <x:c r="R115" t="str">
        <x:v>Prompts/Meshy/BaseGeometry/equipment_shield_t05_base_geometry.txt</x:v>
      </x:c>
      <x:c r="S115" t="str">
        <x:v>Prompts/TextureVariants/equipment_shield_t05_base_rarity_variants.txt</x:v>
      </x:c>
      <x:c r="T115" t="n">
        <x:v>1</x:v>
      </x:c>
      <x:c r="U115" t="n">
        <x:v>2</x:v>
      </x:c>
      <x:c r="V115" t="n">
        <x:v>1</x:v>
      </x:c>
      <x:c r="W115" t="n">
        <x:v>1</x:v>
      </x:c>
      <x:c r="X115" t="n">
        <x:v>0</x:v>
      </x:c>
      <x:c r="Y115" t="str">
        <x:v>readable at inventory scale; tier identity clear without UI; all six rarity variants preserve family; pivot and scale correct; no fragile geometry; URP PBR maps valid</x:v>
      </x:c>
      <x:c r="Z115" t="str">
        <x:v>Assets/_Game/Art/Equipment/Weapon/shield/T5/Models</x:v>
      </x:c>
      <x:c r="AA115" t="str">
        <x:v>Not Started</x:v>
      </x:c>
      <x:c r="AB115" t="str">
        <x:v>Pending</x:v>
      </x:c>
      <x:c r="AC115" s="18" t="n">
        <x:f>T115*'Settings &amp; Rates'!$B$5+U115*'Settings &amp; Rates'!$B$6+V115*'Settings &amp; Rates'!$B$7+W115*'Settings &amp; Rates'!$B$8+X115*'Settings &amp; Rates'!$B$9</x:f>
        <x:v>55</x:v>
      </x:c>
      <x:c r="AD115" s="18" t="n">
        <x:f>SUMIF('Attempt Log'!$B$2:$B$101,A115,'Attempt Log'!$K$2:$K$101)</x:f>
        <x:v>0</x:v>
      </x:c>
      <x:c r="AE115" s="18" t="n">
        <x:f>AD115-AC115</x:f>
        <x:v>-55</x:v>
      </x:c>
      <x:c r="AF115" t="n">
        <x:f>COUNTIF('Attempt Log'!$B$2:$B$101,A115)</x:f>
        <x:v>0</x:v>
      </x:c>
      <x:c r="AG115" t="n">
        <x:f>IFERROR(SUMIFS('Attempt Log'!$U$2:$U$101,'Attempt Log'!$B$2:$B$101,A115,'Attempt Log'!$N$2:$N$101,"Yes")/COUNTIFS('Attempt Log'!$B$2:$B$101,A115,'Attempt Log'!$N$2:$N$101,"Yes"),0)</x:f>
        <x:v>0</x:v>
      </x:c>
    </x:row>
    <x:row r="116">
      <x:c r="A116" t="str">
        <x:v>equipment_staff_t05_base</x:v>
      </x:c>
      <x:c r="B116" t="str">
        <x:v>Cajado T5</x:v>
      </x:c>
      <x:c r="C116" t="str">
        <x:v>Staff T5</x:v>
      </x:c>
      <x:c r="D116" t="str">
        <x:v>Task017</x:v>
      </x:c>
      <x:c r="E116" t="str">
        <x:v>Equipment</x:v>
      </x:c>
      <x:c r="F116" t="str">
        <x:v>Weapon</x:v>
      </x:c>
      <x:c r="G116" t="str">
        <x:v>staff</x:v>
      </x:c>
      <x:c r="H116" t="str">
        <x:v>Season 1</x:v>
      </x:c>
      <x:c r="I116" t="str">
        <x:v>P2</x:v>
      </x:c>
      <x:c r="J116" t="str">
        <x:v>B11_EQUIPMENT_T5</x:v>
      </x:c>
      <x:c r="K116" t="str">
        <x:v>Text to 3D</x:v>
      </x:c>
      <x:c r="L116" t="str">
        <x:v>Optional</x:v>
      </x:c>
      <x:c r="M116" t="n">
        <x:v>2400</x:v>
      </x:c>
      <x:c r="N116" t="str">
        <x:v>1024</x:v>
      </x:c>
      <x:c r="O116" t="str">
        <x:v>No</x:v>
      </x:c>
      <x:c r="P116" t="str">
        <x:v>None</x:v>
      </x:c>
      <x:c r="Q116" t="str">
        <x:v>Prompts/ConceptArt/equipment_staff_t05_base_concept_sheet.txt</x:v>
      </x:c>
      <x:c r="R116" t="str">
        <x:v>Prompts/Meshy/BaseGeometry/equipment_staff_t05_base_geometry.txt</x:v>
      </x:c>
      <x:c r="S116" t="str">
        <x:v>Prompts/TextureVariants/equipment_staff_t05_base_rarity_variants.txt</x:v>
      </x:c>
      <x:c r="T116" t="n">
        <x:v>1</x:v>
      </x:c>
      <x:c r="U116" t="n">
        <x:v>2</x:v>
      </x:c>
      <x:c r="V116" t="n">
        <x:v>1</x:v>
      </x:c>
      <x:c r="W116" t="n">
        <x:v>1</x:v>
      </x:c>
      <x:c r="X116" t="n">
        <x:v>0</x:v>
      </x:c>
      <x:c r="Y116" t="str">
        <x:v>readable at inventory scale; tier identity clear without UI; all six rarity variants preserve family; pivot and scale correct; no fragile geometry; URP PBR maps valid</x:v>
      </x:c>
      <x:c r="Z116" t="str">
        <x:v>Assets/_Game/Art/Equipment/Weapon/staff/T5/Models</x:v>
      </x:c>
      <x:c r="AA116" t="str">
        <x:v>Not Started</x:v>
      </x:c>
      <x:c r="AB116" t="str">
        <x:v>Pending</x:v>
      </x:c>
      <x:c r="AC116" s="18" t="n">
        <x:f>T116*'Settings &amp; Rates'!$B$5+U116*'Settings &amp; Rates'!$B$6+V116*'Settings &amp; Rates'!$B$7+W116*'Settings &amp; Rates'!$B$8+X116*'Settings &amp; Rates'!$B$9</x:f>
        <x:v>55</x:v>
      </x:c>
      <x:c r="AD116" s="18" t="n">
        <x:f>SUMIF('Attempt Log'!$B$2:$B$101,A116,'Attempt Log'!$K$2:$K$101)</x:f>
        <x:v>0</x:v>
      </x:c>
      <x:c r="AE116" s="18" t="n">
        <x:f>AD116-AC116</x:f>
        <x:v>-55</x:v>
      </x:c>
      <x:c r="AF116" t="n">
        <x:f>COUNTIF('Attempt Log'!$B$2:$B$101,A116)</x:f>
        <x:v>0</x:v>
      </x:c>
      <x:c r="AG116" t="n">
        <x:f>IFERROR(SUMIFS('Attempt Log'!$U$2:$U$101,'Attempt Log'!$B$2:$B$101,A116,'Attempt Log'!$N$2:$N$101,"Yes")/COUNTIFS('Attempt Log'!$B$2:$B$101,A116,'Attempt Log'!$N$2:$N$101,"Yes"),0)</x:f>
        <x:v>0</x:v>
      </x:c>
    </x:row>
    <x:row r="117">
      <x:c r="A117" t="str">
        <x:v>equipment_sword_1h_t05_base</x:v>
      </x:c>
      <x:c r="B117" t="str">
        <x:v>Espada de Uma Mão T5</x:v>
      </x:c>
      <x:c r="C117" t="str">
        <x:v>One-Handed Sword T5</x:v>
      </x:c>
      <x:c r="D117" t="str">
        <x:v>Task017</x:v>
      </x:c>
      <x:c r="E117" t="str">
        <x:v>Equipment</x:v>
      </x:c>
      <x:c r="F117" t="str">
        <x:v>Weapon</x:v>
      </x:c>
      <x:c r="G117" t="str">
        <x:v>sword_1h</x:v>
      </x:c>
      <x:c r="H117" t="str">
        <x:v>Season 1</x:v>
      </x:c>
      <x:c r="I117" t="str">
        <x:v>P2</x:v>
      </x:c>
      <x:c r="J117" t="str">
        <x:v>B11_EQUIPMENT_T5</x:v>
      </x:c>
      <x:c r="K117" t="str">
        <x:v>Text to 3D</x:v>
      </x:c>
      <x:c r="L117" t="str">
        <x:v>Optional</x:v>
      </x:c>
      <x:c r="M117" t="n">
        <x:v>2000</x:v>
      </x:c>
      <x:c r="N117" t="str">
        <x:v>1024</x:v>
      </x:c>
      <x:c r="O117" t="str">
        <x:v>No</x:v>
      </x:c>
      <x:c r="P117" t="str">
        <x:v>None</x:v>
      </x:c>
      <x:c r="Q117" t="str">
        <x:v>Prompts/ConceptArt/equipment_sword_1h_t05_base_concept_sheet.txt</x:v>
      </x:c>
      <x:c r="R117" t="str">
        <x:v>Prompts/Meshy/BaseGeometry/equipment_sword_1h_t05_base_geometry.txt</x:v>
      </x:c>
      <x:c r="S117" t="str">
        <x:v>Prompts/TextureVariants/equipment_sword_1h_t05_base_rarity_variants.txt</x:v>
      </x:c>
      <x:c r="T117" t="n">
        <x:v>1</x:v>
      </x:c>
      <x:c r="U117" t="n">
        <x:v>2</x:v>
      </x:c>
      <x:c r="V117" t="n">
        <x:v>1</x:v>
      </x:c>
      <x:c r="W117" t="n">
        <x:v>1</x:v>
      </x:c>
      <x:c r="X117" t="n">
        <x:v>0</x:v>
      </x:c>
      <x:c r="Y117" t="str">
        <x:v>readable at inventory scale; tier identity clear without UI; all six rarity variants preserve family; pivot and scale correct; no fragile geometry; URP PBR maps valid</x:v>
      </x:c>
      <x:c r="Z117" t="str">
        <x:v>Assets/_Game/Art/Equipment/Weapon/sword_1h/T5/Models</x:v>
      </x:c>
      <x:c r="AA117" t="str">
        <x:v>Not Started</x:v>
      </x:c>
      <x:c r="AB117" t="str">
        <x:v>Pending</x:v>
      </x:c>
      <x:c r="AC117" s="18" t="n">
        <x:f>T117*'Settings &amp; Rates'!$B$5+U117*'Settings &amp; Rates'!$B$6+V117*'Settings &amp; Rates'!$B$7+W117*'Settings &amp; Rates'!$B$8+X117*'Settings &amp; Rates'!$B$9</x:f>
        <x:v>55</x:v>
      </x:c>
      <x:c r="AD117" s="18" t="n">
        <x:f>SUMIF('Attempt Log'!$B$2:$B$101,A117,'Attempt Log'!$K$2:$K$101)</x:f>
        <x:v>0</x:v>
      </x:c>
      <x:c r="AE117" s="18" t="n">
        <x:f>AD117-AC117</x:f>
        <x:v>-55</x:v>
      </x:c>
      <x:c r="AF117" t="n">
        <x:f>COUNTIF('Attempt Log'!$B$2:$B$101,A117)</x:f>
        <x:v>0</x:v>
      </x:c>
      <x:c r="AG117" t="n">
        <x:f>IFERROR(SUMIFS('Attempt Log'!$U$2:$U$101,'Attempt Log'!$B$2:$B$101,A117,'Attempt Log'!$N$2:$N$101,"Yes")/COUNTIFS('Attempt Log'!$B$2:$B$101,A117,'Attempt Log'!$N$2:$N$101,"Yes"),0)</x:f>
        <x:v>0</x:v>
      </x:c>
    </x:row>
    <x:row r="118">
      <x:c r="A118" t="str">
        <x:v>equipment_amulet_t06_base</x:v>
      </x:c>
      <x:c r="B118" t="str">
        <x:v>Amuleto T6</x:v>
      </x:c>
      <x:c r="C118" t="str">
        <x:v>Amulet T6</x:v>
      </x:c>
      <x:c r="D118" t="str">
        <x:v>Task017</x:v>
      </x:c>
      <x:c r="E118" t="str">
        <x:v>Equipment</x:v>
      </x:c>
      <x:c r="F118" t="str">
        <x:v>Accessory</x:v>
      </x:c>
      <x:c r="G118" t="str">
        <x:v>amulet</x:v>
      </x:c>
      <x:c r="H118" t="str">
        <x:v>Season 1</x:v>
      </x:c>
      <x:c r="I118" t="str">
        <x:v>P2</x:v>
      </x:c>
      <x:c r="J118" t="str">
        <x:v>B12_EQUIPMENT_T6</x:v>
      </x:c>
      <x:c r="K118" t="str">
        <x:v>Text to 3D</x:v>
      </x:c>
      <x:c r="L118" t="str">
        <x:v>Optional</x:v>
      </x:c>
      <x:c r="M118" t="n">
        <x:v>900</x:v>
      </x:c>
      <x:c r="N118" t="str">
        <x:v>512</x:v>
      </x:c>
      <x:c r="O118" t="str">
        <x:v>No</x:v>
      </x:c>
      <x:c r="P118" t="str">
        <x:v>None</x:v>
      </x:c>
      <x:c r="Q118" t="str">
        <x:v>Prompts/ConceptArt/equipment_amulet_t06_base_concept_sheet.txt</x:v>
      </x:c>
      <x:c r="R118" t="str">
        <x:v>Prompts/Meshy/BaseGeometry/equipment_amulet_t06_base_geometry.txt</x:v>
      </x:c>
      <x:c r="S118" t="str">
        <x:v>Prompts/TextureVariants/equipment_amulet_t06_base_rarity_variants.txt</x:v>
      </x:c>
      <x:c r="T118" t="n">
        <x:v>1</x:v>
      </x:c>
      <x:c r="U118" t="n">
        <x:v>2</x:v>
      </x:c>
      <x:c r="V118" t="n">
        <x:v>1</x:v>
      </x:c>
      <x:c r="W118" t="n">
        <x:v>1</x:v>
      </x:c>
      <x:c r="X118" t="n">
        <x:v>0</x:v>
      </x:c>
      <x:c r="Y118" t="str">
        <x:v>readable at inventory scale; tier identity clear without UI; all six rarity variants preserve family; pivot and scale correct; no fragile geometry; URP PBR maps valid</x:v>
      </x:c>
      <x:c r="Z118" t="str">
        <x:v>Assets/_Game/Art/Equipment/Accessory/amulet/T6/Models</x:v>
      </x:c>
      <x:c r="AA118" t="str">
        <x:v>Not Started</x:v>
      </x:c>
      <x:c r="AB118" t="str">
        <x:v>Pending</x:v>
      </x:c>
      <x:c r="AC118" s="18" t="n">
        <x:f>T118*'Settings &amp; Rates'!$B$5+U118*'Settings &amp; Rates'!$B$6+V118*'Settings &amp; Rates'!$B$7+W118*'Settings &amp; Rates'!$B$8+X118*'Settings &amp; Rates'!$B$9</x:f>
        <x:v>55</x:v>
      </x:c>
      <x:c r="AD118" s="18" t="n">
        <x:f>SUMIF('Attempt Log'!$B$2:$B$101,A118,'Attempt Log'!$K$2:$K$101)</x:f>
        <x:v>0</x:v>
      </x:c>
      <x:c r="AE118" s="18" t="n">
        <x:f>AD118-AC118</x:f>
        <x:v>-55</x:v>
      </x:c>
      <x:c r="AF118" t="n">
        <x:f>COUNTIF('Attempt Log'!$B$2:$B$101,A118)</x:f>
        <x:v>0</x:v>
      </x:c>
      <x:c r="AG118" t="n">
        <x:f>IFERROR(SUMIFS('Attempt Log'!$U$2:$U$101,'Attempt Log'!$B$2:$B$101,A118,'Attempt Log'!$N$2:$N$101,"Yes")/COUNTIFS('Attempt Log'!$B$2:$B$101,A118,'Attempt Log'!$N$2:$N$101,"Yes"),0)</x:f>
        <x:v>0</x:v>
      </x:c>
    </x:row>
    <x:row r="119">
      <x:c r="A119" t="str">
        <x:v>equipment_cloth_boots_t06_base</x:v>
      </x:c>
      <x:c r="B119" t="str">
        <x:v>Botas Arcanas T6</x:v>
      </x:c>
      <x:c r="C119" t="str">
        <x:v>Arcane Boots T6</x:v>
      </x:c>
      <x:c r="D119" t="str">
        <x:v>Task017</x:v>
      </x:c>
      <x:c r="E119" t="str">
        <x:v>Equipment</x:v>
      </x:c>
      <x:c r="F119" t="str">
        <x:v>Cloth Armor</x:v>
      </x:c>
      <x:c r="G119" t="str">
        <x:v>cloth_boots</x:v>
      </x:c>
      <x:c r="H119" t="str">
        <x:v>Season 1</x:v>
      </x:c>
      <x:c r="I119" t="str">
        <x:v>P2</x:v>
      </x:c>
      <x:c r="J119" t="str">
        <x:v>B12_EQUIPMENT_T6</x:v>
      </x:c>
      <x:c r="K119" t="str">
        <x:v>Image to 3D</x:v>
      </x:c>
      <x:c r="L119" t="str">
        <x:v>Yes</x:v>
      </x:c>
      <x:c r="M119" t="n">
        <x:v>1450</x:v>
      </x:c>
      <x:c r="N119" t="str">
        <x:v>1024</x:v>
      </x:c>
      <x:c r="O119" t="str">
        <x:v>No</x:v>
      </x:c>
      <x:c r="P119" t="str">
        <x:v>None</x:v>
      </x:c>
      <x:c r="Q119" t="str">
        <x:v>Prompts/ConceptArt/equipment_cloth_boots_t06_base_concept_sheet.txt</x:v>
      </x:c>
      <x:c r="R119" t="str">
        <x:v>Prompts/Meshy/BaseGeometry/equipment_cloth_boots_t06_base_geometry.txt</x:v>
      </x:c>
      <x:c r="S119" t="str">
        <x:v>Prompts/TextureVariants/equipment_cloth_boots_t06_base_rarity_variants.txt</x:v>
      </x:c>
      <x:c r="T119" t="n">
        <x:v>2</x:v>
      </x:c>
      <x:c r="U119" t="n">
        <x:v>2</x:v>
      </x:c>
      <x:c r="V119" t="n">
        <x:v>1</x:v>
      </x:c>
      <x:c r="W119" t="n">
        <x:v>1</x:v>
      </x:c>
      <x:c r="X119" t="n">
        <x:v>0</x:v>
      </x:c>
      <x:c r="Y119" t="str">
        <x:v>readable at inventory scale; tier identity clear without UI; all six rarity variants preserve family; pivot and scale correct; no fragile geometry; URP PBR maps valid</x:v>
      </x:c>
      <x:c r="Z119" t="str">
        <x:v>Assets/_Game/Art/Equipment/ClothArmor/cloth_boots/T6/Models</x:v>
      </x:c>
      <x:c r="AA119" t="str">
        <x:v>Not Started</x:v>
      </x:c>
      <x:c r="AB119" t="str">
        <x:v>Pending</x:v>
      </x:c>
      <x:c r="AC119" s="18" t="n">
        <x:f>T119*'Settings &amp; Rates'!$B$5+U119*'Settings &amp; Rates'!$B$6+V119*'Settings &amp; Rates'!$B$7+W119*'Settings &amp; Rates'!$B$8+X119*'Settings &amp; Rates'!$B$9</x:f>
        <x:v>55</x:v>
      </x:c>
      <x:c r="AD119" s="18" t="n">
        <x:f>SUMIF('Attempt Log'!$B$2:$B$101,A119,'Attempt Log'!$K$2:$K$101)</x:f>
        <x:v>0</x:v>
      </x:c>
      <x:c r="AE119" s="18" t="n">
        <x:f>AD119-AC119</x:f>
        <x:v>-55</x:v>
      </x:c>
      <x:c r="AF119" t="n">
        <x:f>COUNTIF('Attempt Log'!$B$2:$B$101,A119)</x:f>
        <x:v>0</x:v>
      </x:c>
      <x:c r="AG119" t="n">
        <x:f>IFERROR(SUMIFS('Attempt Log'!$U$2:$U$101,'Attempt Log'!$B$2:$B$101,A119,'Attempt Log'!$N$2:$N$101,"Yes")/COUNTIFS('Attempt Log'!$B$2:$B$101,A119,'Attempt Log'!$N$2:$N$101,"Yes"),0)</x:f>
        <x:v>0</x:v>
      </x:c>
    </x:row>
    <x:row r="120">
      <x:c r="A120" t="str">
        <x:v>equipment_cloth_gloves_t06_base</x:v>
      </x:c>
      <x:c r="B120" t="str">
        <x:v>Luvas Arcanas T6</x:v>
      </x:c>
      <x:c r="C120" t="str">
        <x:v>Arcane Gloves T6</x:v>
      </x:c>
      <x:c r="D120" t="str">
        <x:v>Task017</x:v>
      </x:c>
      <x:c r="E120" t="str">
        <x:v>Equipment</x:v>
      </x:c>
      <x:c r="F120" t="str">
        <x:v>Cloth Armor</x:v>
      </x:c>
      <x:c r="G120" t="str">
        <x:v>cloth_gloves</x:v>
      </x:c>
      <x:c r="H120" t="str">
        <x:v>Season 1</x:v>
      </x:c>
      <x:c r="I120" t="str">
        <x:v>P2</x:v>
      </x:c>
      <x:c r="J120" t="str">
        <x:v>B12_EQUIPMENT_T6</x:v>
      </x:c>
      <x:c r="K120" t="str">
        <x:v>Image to 3D</x:v>
      </x:c>
      <x:c r="L120" t="str">
        <x:v>Yes</x:v>
      </x:c>
      <x:c r="M120" t="n">
        <x:v>1200</x:v>
      </x:c>
      <x:c r="N120" t="str">
        <x:v>1024</x:v>
      </x:c>
      <x:c r="O120" t="str">
        <x:v>No</x:v>
      </x:c>
      <x:c r="P120" t="str">
        <x:v>None</x:v>
      </x:c>
      <x:c r="Q120" t="str">
        <x:v>Prompts/ConceptArt/equipment_cloth_gloves_t06_base_concept_sheet.txt</x:v>
      </x:c>
      <x:c r="R120" t="str">
        <x:v>Prompts/Meshy/BaseGeometry/equipment_cloth_gloves_t06_base_geometry.txt</x:v>
      </x:c>
      <x:c r="S120" t="str">
        <x:v>Prompts/TextureVariants/equipment_cloth_gloves_t06_base_rarity_variants.txt</x:v>
      </x:c>
      <x:c r="T120" t="n">
        <x:v>2</x:v>
      </x:c>
      <x:c r="U120" t="n">
        <x:v>2</x:v>
      </x:c>
      <x:c r="V120" t="n">
        <x:v>1</x:v>
      </x:c>
      <x:c r="W120" t="n">
        <x:v>1</x:v>
      </x:c>
      <x:c r="X120" t="n">
        <x:v>0</x:v>
      </x:c>
      <x:c r="Y120" t="str">
        <x:v>readable at inventory scale; tier identity clear without UI; all six rarity variants preserve family; pivot and scale correct; no fragile geometry; URP PBR maps valid</x:v>
      </x:c>
      <x:c r="Z120" t="str">
        <x:v>Assets/_Game/Art/Equipment/ClothArmor/cloth_gloves/T6/Models</x:v>
      </x:c>
      <x:c r="AA120" t="str">
        <x:v>Not Started</x:v>
      </x:c>
      <x:c r="AB120" t="str">
        <x:v>Pending</x:v>
      </x:c>
      <x:c r="AC120" s="18" t="n">
        <x:f>T120*'Settings &amp; Rates'!$B$5+U120*'Settings &amp; Rates'!$B$6+V120*'Settings &amp; Rates'!$B$7+W120*'Settings &amp; Rates'!$B$8+X120*'Settings &amp; Rates'!$B$9</x:f>
        <x:v>55</x:v>
      </x:c>
      <x:c r="AD120" s="18" t="n">
        <x:f>SUMIF('Attempt Log'!$B$2:$B$101,A120,'Attempt Log'!$K$2:$K$101)</x:f>
        <x:v>0</x:v>
      </x:c>
      <x:c r="AE120" s="18" t="n">
        <x:f>AD120-AC120</x:f>
        <x:v>-55</x:v>
      </x:c>
      <x:c r="AF120" t="n">
        <x:f>COUNTIF('Attempt Log'!$B$2:$B$101,A120)</x:f>
        <x:v>0</x:v>
      </x:c>
      <x:c r="AG120" t="n">
        <x:f>IFERROR(SUMIFS('Attempt Log'!$U$2:$U$101,'Attempt Log'!$B$2:$B$101,A120,'Attempt Log'!$N$2:$N$101,"Yes")/COUNTIFS('Attempt Log'!$B$2:$B$101,A120,'Attempt Log'!$N$2:$N$101,"Yes"),0)</x:f>
        <x:v>0</x:v>
      </x:c>
    </x:row>
    <x:row r="121">
      <x:c r="A121" t="str">
        <x:v>equipment_cloth_hood_t06_base</x:v>
      </x:c>
      <x:c r="B121" t="str">
        <x:v>Capuz Arcano T6</x:v>
      </x:c>
      <x:c r="C121" t="str">
        <x:v>Arcane Hood T6</x:v>
      </x:c>
      <x:c r="D121" t="str">
        <x:v>Task017</x:v>
      </x:c>
      <x:c r="E121" t="str">
        <x:v>Equipment</x:v>
      </x:c>
      <x:c r="F121" t="str">
        <x:v>Cloth Armor</x:v>
      </x:c>
      <x:c r="G121" t="str">
        <x:v>cloth_hood</x:v>
      </x:c>
      <x:c r="H121" t="str">
        <x:v>Season 1</x:v>
      </x:c>
      <x:c r="I121" t="str">
        <x:v>P2</x:v>
      </x:c>
      <x:c r="J121" t="str">
        <x:v>B12_EQUIPMENT_T6</x:v>
      </x:c>
      <x:c r="K121" t="str">
        <x:v>Image to 3D</x:v>
      </x:c>
      <x:c r="L121" t="str">
        <x:v>Yes</x:v>
      </x:c>
      <x:c r="M121" t="n">
        <x:v>1500</x:v>
      </x:c>
      <x:c r="N121" t="str">
        <x:v>1024</x:v>
      </x:c>
      <x:c r="O121" t="str">
        <x:v>No</x:v>
      </x:c>
      <x:c r="P121" t="str">
        <x:v>None</x:v>
      </x:c>
      <x:c r="Q121" t="str">
        <x:v>Prompts/ConceptArt/equipment_cloth_hood_t06_base_concept_sheet.txt</x:v>
      </x:c>
      <x:c r="R121" t="str">
        <x:v>Prompts/Meshy/BaseGeometry/equipment_cloth_hood_t06_base_geometry.txt</x:v>
      </x:c>
      <x:c r="S121" t="str">
        <x:v>Prompts/TextureVariants/equipment_cloth_hood_t06_base_rarity_variants.txt</x:v>
      </x:c>
      <x:c r="T121" t="n">
        <x:v>2</x:v>
      </x:c>
      <x:c r="U121" t="n">
        <x:v>2</x:v>
      </x:c>
      <x:c r="V121" t="n">
        <x:v>1</x:v>
      </x:c>
      <x:c r="W121" t="n">
        <x:v>1</x:v>
      </x:c>
      <x:c r="X121" t="n">
        <x:v>0</x:v>
      </x:c>
      <x:c r="Y121" t="str">
        <x:v>readable at inventory scale; tier identity clear without UI; all six rarity variants preserve family; pivot and scale correct; no fragile geometry; URP PBR maps valid</x:v>
      </x:c>
      <x:c r="Z121" t="str">
        <x:v>Assets/_Game/Art/Equipment/ClothArmor/cloth_hood/T6/Models</x:v>
      </x:c>
      <x:c r="AA121" t="str">
        <x:v>Not Started</x:v>
      </x:c>
      <x:c r="AB121" t="str">
        <x:v>Pending</x:v>
      </x:c>
      <x:c r="AC121" s="18" t="n">
        <x:f>T121*'Settings &amp; Rates'!$B$5+U121*'Settings &amp; Rates'!$B$6+V121*'Settings &amp; Rates'!$B$7+W121*'Settings &amp; Rates'!$B$8+X121*'Settings &amp; Rates'!$B$9</x:f>
        <x:v>55</x:v>
      </x:c>
      <x:c r="AD121" s="18" t="n">
        <x:f>SUMIF('Attempt Log'!$B$2:$B$101,A121,'Attempt Log'!$K$2:$K$101)</x:f>
        <x:v>0</x:v>
      </x:c>
      <x:c r="AE121" s="18" t="n">
        <x:f>AD121-AC121</x:f>
        <x:v>-55</x:v>
      </x:c>
      <x:c r="AF121" t="n">
        <x:f>COUNTIF('Attempt Log'!$B$2:$B$101,A121)</x:f>
        <x:v>0</x:v>
      </x:c>
      <x:c r="AG121" t="n">
        <x:f>IFERROR(SUMIFS('Attempt Log'!$U$2:$U$101,'Attempt Log'!$B$2:$B$101,A121,'Attempt Log'!$N$2:$N$101,"Yes")/COUNTIFS('Attempt Log'!$B$2:$B$101,A121,'Attempt Log'!$N$2:$N$101,"Yes"),0)</x:f>
        <x:v>0</x:v>
      </x:c>
    </x:row>
    <x:row r="122">
      <x:c r="A122" t="str">
        <x:v>equipment_cloth_robe_t06_base</x:v>
      </x:c>
      <x:c r="B122" t="str">
        <x:v>Manto Arcano T6</x:v>
      </x:c>
      <x:c r="C122" t="str">
        <x:v>Arcane Robe T6</x:v>
      </x:c>
      <x:c r="D122" t="str">
        <x:v>Task017</x:v>
      </x:c>
      <x:c r="E122" t="str">
        <x:v>Equipment</x:v>
      </x:c>
      <x:c r="F122" t="str">
        <x:v>Cloth Armor</x:v>
      </x:c>
      <x:c r="G122" t="str">
        <x:v>cloth_robe</x:v>
      </x:c>
      <x:c r="H122" t="str">
        <x:v>Season 1</x:v>
      </x:c>
      <x:c r="I122" t="str">
        <x:v>P2</x:v>
      </x:c>
      <x:c r="J122" t="str">
        <x:v>B12_EQUIPMENT_T6</x:v>
      </x:c>
      <x:c r="K122" t="str">
        <x:v>Image to 3D</x:v>
      </x:c>
      <x:c r="L122" t="str">
        <x:v>Yes</x:v>
      </x:c>
      <x:c r="M122" t="n">
        <x:v>3350</x:v>
      </x:c>
      <x:c r="N122" t="str">
        <x:v>1024</x:v>
      </x:c>
      <x:c r="O122" t="str">
        <x:v>No</x:v>
      </x:c>
      <x:c r="P122" t="str">
        <x:v>None</x:v>
      </x:c>
      <x:c r="Q122" t="str">
        <x:v>Prompts/ConceptArt/equipment_cloth_robe_t06_base_concept_sheet.txt</x:v>
      </x:c>
      <x:c r="R122" t="str">
        <x:v>Prompts/Meshy/BaseGeometry/equipment_cloth_robe_t06_base_geometry.txt</x:v>
      </x:c>
      <x:c r="S122" t="str">
        <x:v>Prompts/TextureVariants/equipment_cloth_robe_t06_base_rarity_variants.txt</x:v>
      </x:c>
      <x:c r="T122" t="n">
        <x:v>2</x:v>
      </x:c>
      <x:c r="U122" t="n">
        <x:v>2</x:v>
      </x:c>
      <x:c r="V122" t="n">
        <x:v>1</x:v>
      </x:c>
      <x:c r="W122" t="n">
        <x:v>1</x:v>
      </x:c>
      <x:c r="X122" t="n">
        <x:v>0</x:v>
      </x:c>
      <x:c r="Y122" t="str">
        <x:v>readable at inventory scale; tier identity clear without UI; all six rarity variants preserve family; pivot and scale correct; no fragile geometry; URP PBR maps valid</x:v>
      </x:c>
      <x:c r="Z122" t="str">
        <x:v>Assets/_Game/Art/Equipment/ClothArmor/cloth_robe/T6/Models</x:v>
      </x:c>
      <x:c r="AA122" t="str">
        <x:v>Not Started</x:v>
      </x:c>
      <x:c r="AB122" t="str">
        <x:v>Pending</x:v>
      </x:c>
      <x:c r="AC122" s="18" t="n">
        <x:f>T122*'Settings &amp; Rates'!$B$5+U122*'Settings &amp; Rates'!$B$6+V122*'Settings &amp; Rates'!$B$7+W122*'Settings &amp; Rates'!$B$8+X122*'Settings &amp; Rates'!$B$9</x:f>
        <x:v>55</x:v>
      </x:c>
      <x:c r="AD122" s="18" t="n">
        <x:f>SUMIF('Attempt Log'!$B$2:$B$101,A122,'Attempt Log'!$K$2:$K$101)</x:f>
        <x:v>0</x:v>
      </x:c>
      <x:c r="AE122" s="18" t="n">
        <x:f>AD122-AC122</x:f>
        <x:v>-55</x:v>
      </x:c>
      <x:c r="AF122" t="n">
        <x:f>COUNTIF('Attempt Log'!$B$2:$B$101,A122)</x:f>
        <x:v>0</x:v>
      </x:c>
      <x:c r="AG122" t="n">
        <x:f>IFERROR(SUMIFS('Attempt Log'!$U$2:$U$101,'Attempt Log'!$B$2:$B$101,A122,'Attempt Log'!$N$2:$N$101,"Yes")/COUNTIFS('Attempt Log'!$B$2:$B$101,A122,'Attempt Log'!$N$2:$N$101,"Yes"),0)</x:f>
        <x:v>0</x:v>
      </x:c>
    </x:row>
    <x:row r="123">
      <x:c r="A123" t="str">
        <x:v>equipment_heavy_boots_t06_base</x:v>
      </x:c>
      <x:c r="B123" t="str">
        <x:v>Botas Pesadas T6</x:v>
      </x:c>
      <x:c r="C123" t="str">
        <x:v>Heavy Boots T6</x:v>
      </x:c>
      <x:c r="D123" t="str">
        <x:v>Task017</x:v>
      </x:c>
      <x:c r="E123" t="str">
        <x:v>Equipment</x:v>
      </x:c>
      <x:c r="F123" t="str">
        <x:v>Heavy Armor</x:v>
      </x:c>
      <x:c r="G123" t="str">
        <x:v>heavy_boots</x:v>
      </x:c>
      <x:c r="H123" t="str">
        <x:v>Season 1</x:v>
      </x:c>
      <x:c r="I123" t="str">
        <x:v>P2</x:v>
      </x:c>
      <x:c r="J123" t="str">
        <x:v>B12_EQUIPMENT_T6</x:v>
      </x:c>
      <x:c r="K123" t="str">
        <x:v>Image to 3D</x:v>
      </x:c>
      <x:c r="L123" t="str">
        <x:v>Yes</x:v>
      </x:c>
      <x:c r="M123" t="n">
        <x:v>1750</x:v>
      </x:c>
      <x:c r="N123" t="str">
        <x:v>1024</x:v>
      </x:c>
      <x:c r="O123" t="str">
        <x:v>No</x:v>
      </x:c>
      <x:c r="P123" t="str">
        <x:v>None</x:v>
      </x:c>
      <x:c r="Q123" t="str">
        <x:v>Prompts/ConceptArt/equipment_heavy_boots_t06_base_concept_sheet.txt</x:v>
      </x:c>
      <x:c r="R123" t="str">
        <x:v>Prompts/Meshy/BaseGeometry/equipment_heavy_boots_t06_base_geometry.txt</x:v>
      </x:c>
      <x:c r="S123" t="str">
        <x:v>Prompts/TextureVariants/equipment_heavy_boots_t06_base_rarity_variants.txt</x:v>
      </x:c>
      <x:c r="T123" t="n">
        <x:v>2</x:v>
      </x:c>
      <x:c r="U123" t="n">
        <x:v>2</x:v>
      </x:c>
      <x:c r="V123" t="n">
        <x:v>1</x:v>
      </x:c>
      <x:c r="W123" t="n">
        <x:v>1</x:v>
      </x:c>
      <x:c r="X123" t="n">
        <x:v>0</x:v>
      </x:c>
      <x:c r="Y123" t="str">
        <x:v>readable at inventory scale; tier identity clear without UI; all six rarity variants preserve family; pivot and scale correct; no fragile geometry; URP PBR maps valid</x:v>
      </x:c>
      <x:c r="Z123" t="str">
        <x:v>Assets/_Game/Art/Equipment/HeavyArmor/heavy_boots/T6/Models</x:v>
      </x:c>
      <x:c r="AA123" t="str">
        <x:v>Not Started</x:v>
      </x:c>
      <x:c r="AB123" t="str">
        <x:v>Pending</x:v>
      </x:c>
      <x:c r="AC123" s="18" t="n">
        <x:f>T123*'Settings &amp; Rates'!$B$5+U123*'Settings &amp; Rates'!$B$6+V123*'Settings &amp; Rates'!$B$7+W123*'Settings &amp; Rates'!$B$8+X123*'Settings &amp; Rates'!$B$9</x:f>
        <x:v>55</x:v>
      </x:c>
      <x:c r="AD123" s="18" t="n">
        <x:f>SUMIF('Attempt Log'!$B$2:$B$101,A123,'Attempt Log'!$K$2:$K$101)</x:f>
        <x:v>0</x:v>
      </x:c>
      <x:c r="AE123" s="18" t="n">
        <x:f>AD123-AC123</x:f>
        <x:v>-55</x:v>
      </x:c>
      <x:c r="AF123" t="n">
        <x:f>COUNTIF('Attempt Log'!$B$2:$B$101,A123)</x:f>
        <x:v>0</x:v>
      </x:c>
      <x:c r="AG123" t="n">
        <x:f>IFERROR(SUMIFS('Attempt Log'!$U$2:$U$101,'Attempt Log'!$B$2:$B$101,A123,'Attempt Log'!$N$2:$N$101,"Yes")/COUNTIFS('Attempt Log'!$B$2:$B$101,A123,'Attempt Log'!$N$2:$N$101,"Yes"),0)</x:f>
        <x:v>0</x:v>
      </x:c>
    </x:row>
    <x:row r="124">
      <x:c r="A124" t="str">
        <x:v>equipment_heavy_chest_t06_base</x:v>
      </x:c>
      <x:c r="B124" t="str">
        <x:v>Peitoral Pesado T6</x:v>
      </x:c>
      <x:c r="C124" t="str">
        <x:v>Heavy Chest Armor T6</x:v>
      </x:c>
      <x:c r="D124" t="str">
        <x:v>Task017</x:v>
      </x:c>
      <x:c r="E124" t="str">
        <x:v>Equipment</x:v>
      </x:c>
      <x:c r="F124" t="str">
        <x:v>Heavy Armor</x:v>
      </x:c>
      <x:c r="G124" t="str">
        <x:v>heavy_chest</x:v>
      </x:c>
      <x:c r="H124" t="str">
        <x:v>Season 1</x:v>
      </x:c>
      <x:c r="I124" t="str">
        <x:v>P2</x:v>
      </x:c>
      <x:c r="J124" t="str">
        <x:v>B12_EQUIPMENT_T6</x:v>
      </x:c>
      <x:c r="K124" t="str">
        <x:v>Image to 3D</x:v>
      </x:c>
      <x:c r="L124" t="str">
        <x:v>Yes</x:v>
      </x:c>
      <x:c r="M124" t="n">
        <x:v>3750</x:v>
      </x:c>
      <x:c r="N124" t="str">
        <x:v>1024</x:v>
      </x:c>
      <x:c r="O124" t="str">
        <x:v>No</x:v>
      </x:c>
      <x:c r="P124" t="str">
        <x:v>None</x:v>
      </x:c>
      <x:c r="Q124" t="str">
        <x:v>Prompts/ConceptArt/equipment_heavy_chest_t06_base_concept_sheet.txt</x:v>
      </x:c>
      <x:c r="R124" t="str">
        <x:v>Prompts/Meshy/BaseGeometry/equipment_heavy_chest_t06_base_geometry.txt</x:v>
      </x:c>
      <x:c r="S124" t="str">
        <x:v>Prompts/TextureVariants/equipment_heavy_chest_t06_base_rarity_variants.txt</x:v>
      </x:c>
      <x:c r="T124" t="n">
        <x:v>2</x:v>
      </x:c>
      <x:c r="U124" t="n">
        <x:v>2</x:v>
      </x:c>
      <x:c r="V124" t="n">
        <x:v>1</x:v>
      </x:c>
      <x:c r="W124" t="n">
        <x:v>1</x:v>
      </x:c>
      <x:c r="X124" t="n">
        <x:v>0</x:v>
      </x:c>
      <x:c r="Y124" t="str">
        <x:v>readable at inventory scale; tier identity clear without UI; all six rarity variants preserve family; pivot and scale correct; no fragile geometry; URP PBR maps valid</x:v>
      </x:c>
      <x:c r="Z124" t="str">
        <x:v>Assets/_Game/Art/Equipment/HeavyArmor/heavy_chest/T6/Models</x:v>
      </x:c>
      <x:c r="AA124" t="str">
        <x:v>Not Started</x:v>
      </x:c>
      <x:c r="AB124" t="str">
        <x:v>Pending</x:v>
      </x:c>
      <x:c r="AC124" s="18" t="n">
        <x:f>T124*'Settings &amp; Rates'!$B$5+U124*'Settings &amp; Rates'!$B$6+V124*'Settings &amp; Rates'!$B$7+W124*'Settings &amp; Rates'!$B$8+X124*'Settings &amp; Rates'!$B$9</x:f>
        <x:v>55</x:v>
      </x:c>
      <x:c r="AD124" s="18" t="n">
        <x:f>SUMIF('Attempt Log'!$B$2:$B$101,A124,'Attempt Log'!$K$2:$K$101)</x:f>
        <x:v>0</x:v>
      </x:c>
      <x:c r="AE124" s="18" t="n">
        <x:f>AD124-AC124</x:f>
        <x:v>-55</x:v>
      </x:c>
      <x:c r="AF124" t="n">
        <x:f>COUNTIF('Attempt Log'!$B$2:$B$101,A124)</x:f>
        <x:v>0</x:v>
      </x:c>
      <x:c r="AG124" t="n">
        <x:f>IFERROR(SUMIFS('Attempt Log'!$U$2:$U$101,'Attempt Log'!$B$2:$B$101,A124,'Attempt Log'!$N$2:$N$101,"Yes")/COUNTIFS('Attempt Log'!$B$2:$B$101,A124,'Attempt Log'!$N$2:$N$101,"Yes"),0)</x:f>
        <x:v>0</x:v>
      </x:c>
    </x:row>
    <x:row r="125">
      <x:c r="A125" t="str">
        <x:v>equipment_heavy_gloves_t06_base</x:v>
      </x:c>
      <x:c r="B125" t="str">
        <x:v>Manoplas Pesadas T6</x:v>
      </x:c>
      <x:c r="C125" t="str">
        <x:v>Heavy Gauntlets T6</x:v>
      </x:c>
      <x:c r="D125" t="str">
        <x:v>Task017</x:v>
      </x:c>
      <x:c r="E125" t="str">
        <x:v>Equipment</x:v>
      </x:c>
      <x:c r="F125" t="str">
        <x:v>Heavy Armor</x:v>
      </x:c>
      <x:c r="G125" t="str">
        <x:v>heavy_gloves</x:v>
      </x:c>
      <x:c r="H125" t="str">
        <x:v>Season 1</x:v>
      </x:c>
      <x:c r="I125" t="str">
        <x:v>P2</x:v>
      </x:c>
      <x:c r="J125" t="str">
        <x:v>B12_EQUIPMENT_T6</x:v>
      </x:c>
      <x:c r="K125" t="str">
        <x:v>Image to 3D</x:v>
      </x:c>
      <x:c r="L125" t="str">
        <x:v>Yes</x:v>
      </x:c>
      <x:c r="M125" t="n">
        <x:v>1550</x:v>
      </x:c>
      <x:c r="N125" t="str">
        <x:v>1024</x:v>
      </x:c>
      <x:c r="O125" t="str">
        <x:v>No</x:v>
      </x:c>
      <x:c r="P125" t="str">
        <x:v>None</x:v>
      </x:c>
      <x:c r="Q125" t="str">
        <x:v>Prompts/ConceptArt/equipment_heavy_gloves_t06_base_concept_sheet.txt</x:v>
      </x:c>
      <x:c r="R125" t="str">
        <x:v>Prompts/Meshy/BaseGeometry/equipment_heavy_gloves_t06_base_geometry.txt</x:v>
      </x:c>
      <x:c r="S125" t="str">
        <x:v>Prompts/TextureVariants/equipment_heavy_gloves_t06_base_rarity_variants.txt</x:v>
      </x:c>
      <x:c r="T125" t="n">
        <x:v>2</x:v>
      </x:c>
      <x:c r="U125" t="n">
        <x:v>2</x:v>
      </x:c>
      <x:c r="V125" t="n">
        <x:v>1</x:v>
      </x:c>
      <x:c r="W125" t="n">
        <x:v>1</x:v>
      </x:c>
      <x:c r="X125" t="n">
        <x:v>0</x:v>
      </x:c>
      <x:c r="Y125" t="str">
        <x:v>readable at inventory scale; tier identity clear without UI; all six rarity variants preserve family; pivot and scale correct; no fragile geometry; URP PBR maps valid</x:v>
      </x:c>
      <x:c r="Z125" t="str">
        <x:v>Assets/_Game/Art/Equipment/HeavyArmor/heavy_gloves/T6/Models</x:v>
      </x:c>
      <x:c r="AA125" t="str">
        <x:v>Not Started</x:v>
      </x:c>
      <x:c r="AB125" t="str">
        <x:v>Pending</x:v>
      </x:c>
      <x:c r="AC125" s="18" t="n">
        <x:f>T125*'Settings &amp; Rates'!$B$5+U125*'Settings &amp; Rates'!$B$6+V125*'Settings &amp; Rates'!$B$7+W125*'Settings &amp; Rates'!$B$8+X125*'Settings &amp; Rates'!$B$9</x:f>
        <x:v>55</x:v>
      </x:c>
      <x:c r="AD125" s="18" t="n">
        <x:f>SUMIF('Attempt Log'!$B$2:$B$101,A125,'Attempt Log'!$K$2:$K$101)</x:f>
        <x:v>0</x:v>
      </x:c>
      <x:c r="AE125" s="18" t="n">
        <x:f>AD125-AC125</x:f>
        <x:v>-55</x:v>
      </x:c>
      <x:c r="AF125" t="n">
        <x:f>COUNTIF('Attempt Log'!$B$2:$B$101,A125)</x:f>
        <x:v>0</x:v>
      </x:c>
      <x:c r="AG125" t="n">
        <x:f>IFERROR(SUMIFS('Attempt Log'!$U$2:$U$101,'Attempt Log'!$B$2:$B$101,A125,'Attempt Log'!$N$2:$N$101,"Yes")/COUNTIFS('Attempt Log'!$B$2:$B$101,A125,'Attempt Log'!$N$2:$N$101,"Yes"),0)</x:f>
        <x:v>0</x:v>
      </x:c>
    </x:row>
    <x:row r="126">
      <x:c r="A126" t="str">
        <x:v>equipment_heavy_helmet_t06_base</x:v>
      </x:c>
      <x:c r="B126" t="str">
        <x:v>Elmo Pesado T6</x:v>
      </x:c>
      <x:c r="C126" t="str">
        <x:v>Heavy Helmet T6</x:v>
      </x:c>
      <x:c r="D126" t="str">
        <x:v>Task017</x:v>
      </x:c>
      <x:c r="E126" t="str">
        <x:v>Equipment</x:v>
      </x:c>
      <x:c r="F126" t="str">
        <x:v>Heavy Armor</x:v>
      </x:c>
      <x:c r="G126" t="str">
        <x:v>heavy_helmet</x:v>
      </x:c>
      <x:c r="H126" t="str">
        <x:v>Season 1</x:v>
      </x:c>
      <x:c r="I126" t="str">
        <x:v>P2</x:v>
      </x:c>
      <x:c r="J126" t="str">
        <x:v>B12_EQUIPMENT_T6</x:v>
      </x:c>
      <x:c r="K126" t="str">
        <x:v>Image to 3D</x:v>
      </x:c>
      <x:c r="L126" t="str">
        <x:v>Yes</x:v>
      </x:c>
      <x:c r="M126" t="n">
        <x:v>2200</x:v>
      </x:c>
      <x:c r="N126" t="str">
        <x:v>1024</x:v>
      </x:c>
      <x:c r="O126" t="str">
        <x:v>No</x:v>
      </x:c>
      <x:c r="P126" t="str">
        <x:v>None</x:v>
      </x:c>
      <x:c r="Q126" t="str">
        <x:v>Prompts/ConceptArt/equipment_heavy_helmet_t06_base_concept_sheet.txt</x:v>
      </x:c>
      <x:c r="R126" t="str">
        <x:v>Prompts/Meshy/BaseGeometry/equipment_heavy_helmet_t06_base_geometry.txt</x:v>
      </x:c>
      <x:c r="S126" t="str">
        <x:v>Prompts/TextureVariants/equipment_heavy_helmet_t06_base_rarity_variants.txt</x:v>
      </x:c>
      <x:c r="T126" t="n">
        <x:v>2</x:v>
      </x:c>
      <x:c r="U126" t="n">
        <x:v>2</x:v>
      </x:c>
      <x:c r="V126" t="n">
        <x:v>1</x:v>
      </x:c>
      <x:c r="W126" t="n">
        <x:v>1</x:v>
      </x:c>
      <x:c r="X126" t="n">
        <x:v>0</x:v>
      </x:c>
      <x:c r="Y126" t="str">
        <x:v>readable at inventory scale; tier identity clear without UI; all six rarity variants preserve family; pivot and scale correct; no fragile geometry; URP PBR maps valid</x:v>
      </x:c>
      <x:c r="Z126" t="str">
        <x:v>Assets/_Game/Art/Equipment/HeavyArmor/heavy_helmet/T6/Models</x:v>
      </x:c>
      <x:c r="AA126" t="str">
        <x:v>Not Started</x:v>
      </x:c>
      <x:c r="AB126" t="str">
        <x:v>Pending</x:v>
      </x:c>
      <x:c r="AC126" s="18" t="n">
        <x:f>T126*'Settings &amp; Rates'!$B$5+U126*'Settings &amp; Rates'!$B$6+V126*'Settings &amp; Rates'!$B$7+W126*'Settings &amp; Rates'!$B$8+X126*'Settings &amp; Rates'!$B$9</x:f>
        <x:v>55</x:v>
      </x:c>
      <x:c r="AD126" s="18" t="n">
        <x:f>SUMIF('Attempt Log'!$B$2:$B$101,A126,'Attempt Log'!$K$2:$K$101)</x:f>
        <x:v>0</x:v>
      </x:c>
      <x:c r="AE126" s="18" t="n">
        <x:f>AD126-AC126</x:f>
        <x:v>-55</x:v>
      </x:c>
      <x:c r="AF126" t="n">
        <x:f>COUNTIF('Attempt Log'!$B$2:$B$101,A126)</x:f>
        <x:v>0</x:v>
      </x:c>
      <x:c r="AG126" t="n">
        <x:f>IFERROR(SUMIFS('Attempt Log'!$U$2:$U$101,'Attempt Log'!$B$2:$B$101,A126,'Attempt Log'!$N$2:$N$101,"Yes")/COUNTIFS('Attempt Log'!$B$2:$B$101,A126,'Attempt Log'!$N$2:$N$101,"Yes"),0)</x:f>
        <x:v>0</x:v>
      </x:c>
    </x:row>
    <x:row r="127">
      <x:c r="A127" t="str">
        <x:v>equipment_light_boots_t06_base</x:v>
      </x:c>
      <x:c r="B127" t="str">
        <x:v>Botas Leves T6</x:v>
      </x:c>
      <x:c r="C127" t="str">
        <x:v>Light Boots T6</x:v>
      </x:c>
      <x:c r="D127" t="str">
        <x:v>Task017</x:v>
      </x:c>
      <x:c r="E127" t="str">
        <x:v>Equipment</x:v>
      </x:c>
      <x:c r="F127" t="str">
        <x:v>Light Armor</x:v>
      </x:c>
      <x:c r="G127" t="str">
        <x:v>light_boots</x:v>
      </x:c>
      <x:c r="H127" t="str">
        <x:v>Season 1</x:v>
      </x:c>
      <x:c r="I127" t="str">
        <x:v>P2</x:v>
      </x:c>
      <x:c r="J127" t="str">
        <x:v>B12_EQUIPMENT_T6</x:v>
      </x:c>
      <x:c r="K127" t="str">
        <x:v>Image to 3D</x:v>
      </x:c>
      <x:c r="L127" t="str">
        <x:v>Yes</x:v>
      </x:c>
      <x:c r="M127" t="n">
        <x:v>1450</x:v>
      </x:c>
      <x:c r="N127" t="str">
        <x:v>1024</x:v>
      </x:c>
      <x:c r="O127" t="str">
        <x:v>No</x:v>
      </x:c>
      <x:c r="P127" t="str">
        <x:v>None</x:v>
      </x:c>
      <x:c r="Q127" t="str">
        <x:v>Prompts/ConceptArt/equipment_light_boots_t06_base_concept_sheet.txt</x:v>
      </x:c>
      <x:c r="R127" t="str">
        <x:v>Prompts/Meshy/BaseGeometry/equipment_light_boots_t06_base_geometry.txt</x:v>
      </x:c>
      <x:c r="S127" t="str">
        <x:v>Prompts/TextureVariants/equipment_light_boots_t06_base_rarity_variants.txt</x:v>
      </x:c>
      <x:c r="T127" t="n">
        <x:v>2</x:v>
      </x:c>
      <x:c r="U127" t="n">
        <x:v>2</x:v>
      </x:c>
      <x:c r="V127" t="n">
        <x:v>1</x:v>
      </x:c>
      <x:c r="W127" t="n">
        <x:v>1</x:v>
      </x:c>
      <x:c r="X127" t="n">
        <x:v>0</x:v>
      </x:c>
      <x:c r="Y127" t="str">
        <x:v>readable at inventory scale; tier identity clear without UI; all six rarity variants preserve family; pivot and scale correct; no fragile geometry; URP PBR maps valid</x:v>
      </x:c>
      <x:c r="Z127" t="str">
        <x:v>Assets/_Game/Art/Equipment/LightArmor/light_boots/T6/Models</x:v>
      </x:c>
      <x:c r="AA127" t="str">
        <x:v>Not Started</x:v>
      </x:c>
      <x:c r="AB127" t="str">
        <x:v>Pending</x:v>
      </x:c>
      <x:c r="AC127" s="18" t="n">
        <x:f>T127*'Settings &amp; Rates'!$B$5+U127*'Settings &amp; Rates'!$B$6+V127*'Settings &amp; Rates'!$B$7+W127*'Settings &amp; Rates'!$B$8+X127*'Settings &amp; Rates'!$B$9</x:f>
        <x:v>55</x:v>
      </x:c>
      <x:c r="AD127" s="18" t="n">
        <x:f>SUMIF('Attempt Log'!$B$2:$B$101,A127,'Attempt Log'!$K$2:$K$101)</x:f>
        <x:v>0</x:v>
      </x:c>
      <x:c r="AE127" s="18" t="n">
        <x:f>AD127-AC127</x:f>
        <x:v>-55</x:v>
      </x:c>
      <x:c r="AF127" t="n">
        <x:f>COUNTIF('Attempt Log'!$B$2:$B$101,A127)</x:f>
        <x:v>0</x:v>
      </x:c>
      <x:c r="AG127" t="n">
        <x:f>IFERROR(SUMIFS('Attempt Log'!$U$2:$U$101,'Attempt Log'!$B$2:$B$101,A127,'Attempt Log'!$N$2:$N$101,"Yes")/COUNTIFS('Attempt Log'!$B$2:$B$101,A127,'Attempt Log'!$N$2:$N$101,"Yes"),0)</x:f>
        <x:v>0</x:v>
      </x:c>
    </x:row>
    <x:row r="128">
      <x:c r="A128" t="str">
        <x:v>equipment_light_chest_t06_base</x:v>
      </x:c>
      <x:c r="B128" t="str">
        <x:v>Armadura Leve T6</x:v>
      </x:c>
      <x:c r="C128" t="str">
        <x:v>Light Chest Armor T6</x:v>
      </x:c>
      <x:c r="D128" t="str">
        <x:v>Task017</x:v>
      </x:c>
      <x:c r="E128" t="str">
        <x:v>Equipment</x:v>
      </x:c>
      <x:c r="F128" t="str">
        <x:v>Light Armor</x:v>
      </x:c>
      <x:c r="G128" t="str">
        <x:v>light_chest</x:v>
      </x:c>
      <x:c r="H128" t="str">
        <x:v>Season 1</x:v>
      </x:c>
      <x:c r="I128" t="str">
        <x:v>P2</x:v>
      </x:c>
      <x:c r="J128" t="str">
        <x:v>B12_EQUIPMENT_T6</x:v>
      </x:c>
      <x:c r="K128" t="str">
        <x:v>Image to 3D</x:v>
      </x:c>
      <x:c r="L128" t="str">
        <x:v>Yes</x:v>
      </x:c>
      <x:c r="M128" t="n">
        <x:v>2800</x:v>
      </x:c>
      <x:c r="N128" t="str">
        <x:v>1024</x:v>
      </x:c>
      <x:c r="O128" t="str">
        <x:v>No</x:v>
      </x:c>
      <x:c r="P128" t="str">
        <x:v>None</x:v>
      </x:c>
      <x:c r="Q128" t="str">
        <x:v>Prompts/ConceptArt/equipment_light_chest_t06_base_concept_sheet.txt</x:v>
      </x:c>
      <x:c r="R128" t="str">
        <x:v>Prompts/Meshy/BaseGeometry/equipment_light_chest_t06_base_geometry.txt</x:v>
      </x:c>
      <x:c r="S128" t="str">
        <x:v>Prompts/TextureVariants/equipment_light_chest_t06_base_rarity_variants.txt</x:v>
      </x:c>
      <x:c r="T128" t="n">
        <x:v>2</x:v>
      </x:c>
      <x:c r="U128" t="n">
        <x:v>2</x:v>
      </x:c>
      <x:c r="V128" t="n">
        <x:v>1</x:v>
      </x:c>
      <x:c r="W128" t="n">
        <x:v>1</x:v>
      </x:c>
      <x:c r="X128" t="n">
        <x:v>0</x:v>
      </x:c>
      <x:c r="Y128" t="str">
        <x:v>readable at inventory scale; tier identity clear without UI; all six rarity variants preserve family; pivot and scale correct; no fragile geometry; URP PBR maps valid</x:v>
      </x:c>
      <x:c r="Z128" t="str">
        <x:v>Assets/_Game/Art/Equipment/LightArmor/light_chest/T6/Models</x:v>
      </x:c>
      <x:c r="AA128" t="str">
        <x:v>Not Started</x:v>
      </x:c>
      <x:c r="AB128" t="str">
        <x:v>Pending</x:v>
      </x:c>
      <x:c r="AC128" s="18" t="n">
        <x:f>T128*'Settings &amp; Rates'!$B$5+U128*'Settings &amp; Rates'!$B$6+V128*'Settings &amp; Rates'!$B$7+W128*'Settings &amp; Rates'!$B$8+X128*'Settings &amp; Rates'!$B$9</x:f>
        <x:v>55</x:v>
      </x:c>
      <x:c r="AD128" s="18" t="n">
        <x:f>SUMIF('Attempt Log'!$B$2:$B$101,A128,'Attempt Log'!$K$2:$K$101)</x:f>
        <x:v>0</x:v>
      </x:c>
      <x:c r="AE128" s="18" t="n">
        <x:f>AD128-AC128</x:f>
        <x:v>-55</x:v>
      </x:c>
      <x:c r="AF128" t="n">
        <x:f>COUNTIF('Attempt Log'!$B$2:$B$101,A128)</x:f>
        <x:v>0</x:v>
      </x:c>
      <x:c r="AG128" t="n">
        <x:f>IFERROR(SUMIFS('Attempt Log'!$U$2:$U$101,'Attempt Log'!$B$2:$B$101,A128,'Attempt Log'!$N$2:$N$101,"Yes")/COUNTIFS('Attempt Log'!$B$2:$B$101,A128,'Attempt Log'!$N$2:$N$101,"Yes"),0)</x:f>
        <x:v>0</x:v>
      </x:c>
    </x:row>
    <x:row r="129">
      <x:c r="A129" t="str">
        <x:v>equipment_light_gloves_t06_base</x:v>
      </x:c>
      <x:c r="B129" t="str">
        <x:v>Luvas Leves T6</x:v>
      </x:c>
      <x:c r="C129" t="str">
        <x:v>Light Gloves T6</x:v>
      </x:c>
      <x:c r="D129" t="str">
        <x:v>Task017</x:v>
      </x:c>
      <x:c r="E129" t="str">
        <x:v>Equipment</x:v>
      </x:c>
      <x:c r="F129" t="str">
        <x:v>Light Armor</x:v>
      </x:c>
      <x:c r="G129" t="str">
        <x:v>light_gloves</x:v>
      </x:c>
      <x:c r="H129" t="str">
        <x:v>Season 1</x:v>
      </x:c>
      <x:c r="I129" t="str">
        <x:v>P2</x:v>
      </x:c>
      <x:c r="J129" t="str">
        <x:v>B12_EQUIPMENT_T6</x:v>
      </x:c>
      <x:c r="K129" t="str">
        <x:v>Image to 3D</x:v>
      </x:c>
      <x:c r="L129" t="str">
        <x:v>Yes</x:v>
      </x:c>
      <x:c r="M129" t="n">
        <x:v>1200</x:v>
      </x:c>
      <x:c r="N129" t="str">
        <x:v>1024</x:v>
      </x:c>
      <x:c r="O129" t="str">
        <x:v>No</x:v>
      </x:c>
      <x:c r="P129" t="str">
        <x:v>None</x:v>
      </x:c>
      <x:c r="Q129" t="str">
        <x:v>Prompts/ConceptArt/equipment_light_gloves_t06_base_concept_sheet.txt</x:v>
      </x:c>
      <x:c r="R129" t="str">
        <x:v>Prompts/Meshy/BaseGeometry/equipment_light_gloves_t06_base_geometry.txt</x:v>
      </x:c>
      <x:c r="S129" t="str">
        <x:v>Prompts/TextureVariants/equipment_light_gloves_t06_base_rarity_variants.txt</x:v>
      </x:c>
      <x:c r="T129" t="n">
        <x:v>2</x:v>
      </x:c>
      <x:c r="U129" t="n">
        <x:v>2</x:v>
      </x:c>
      <x:c r="V129" t="n">
        <x:v>1</x:v>
      </x:c>
      <x:c r="W129" t="n">
        <x:v>1</x:v>
      </x:c>
      <x:c r="X129" t="n">
        <x:v>0</x:v>
      </x:c>
      <x:c r="Y129" t="str">
        <x:v>readable at inventory scale; tier identity clear without UI; all six rarity variants preserve family; pivot and scale correct; no fragile geometry; URP PBR maps valid</x:v>
      </x:c>
      <x:c r="Z129" t="str">
        <x:v>Assets/_Game/Art/Equipment/LightArmor/light_gloves/T6/Models</x:v>
      </x:c>
      <x:c r="AA129" t="str">
        <x:v>Not Started</x:v>
      </x:c>
      <x:c r="AB129" t="str">
        <x:v>Pending</x:v>
      </x:c>
      <x:c r="AC129" s="18" t="n">
        <x:f>T129*'Settings &amp; Rates'!$B$5+U129*'Settings &amp; Rates'!$B$6+V129*'Settings &amp; Rates'!$B$7+W129*'Settings &amp; Rates'!$B$8+X129*'Settings &amp; Rates'!$B$9</x:f>
        <x:v>55</x:v>
      </x:c>
      <x:c r="AD129" s="18" t="n">
        <x:f>SUMIF('Attempt Log'!$B$2:$B$101,A129,'Attempt Log'!$K$2:$K$101)</x:f>
        <x:v>0</x:v>
      </x:c>
      <x:c r="AE129" s="18" t="n">
        <x:f>AD129-AC129</x:f>
        <x:v>-55</x:v>
      </x:c>
      <x:c r="AF129" t="n">
        <x:f>COUNTIF('Attempt Log'!$B$2:$B$101,A129)</x:f>
        <x:v>0</x:v>
      </x:c>
      <x:c r="AG129" t="n">
        <x:f>IFERROR(SUMIFS('Attempt Log'!$U$2:$U$101,'Attempt Log'!$B$2:$B$101,A129,'Attempt Log'!$N$2:$N$101,"Yes")/COUNTIFS('Attempt Log'!$B$2:$B$101,A129,'Attempt Log'!$N$2:$N$101,"Yes"),0)</x:f>
        <x:v>0</x:v>
      </x:c>
    </x:row>
    <x:row r="130">
      <x:c r="A130" t="str">
        <x:v>equipment_light_hood_t06_base</x:v>
      </x:c>
      <x:c r="B130" t="str">
        <x:v>Capuz Leve T6</x:v>
      </x:c>
      <x:c r="C130" t="str">
        <x:v>Light Hood T6</x:v>
      </x:c>
      <x:c r="D130" t="str">
        <x:v>Task017</x:v>
      </x:c>
      <x:c r="E130" t="str">
        <x:v>Equipment</x:v>
      </x:c>
      <x:c r="F130" t="str">
        <x:v>Light Armor</x:v>
      </x:c>
      <x:c r="G130" t="str">
        <x:v>light_hood</x:v>
      </x:c>
      <x:c r="H130" t="str">
        <x:v>Season 1</x:v>
      </x:c>
      <x:c r="I130" t="str">
        <x:v>P2</x:v>
      </x:c>
      <x:c r="J130" t="str">
        <x:v>B12_EQUIPMENT_T6</x:v>
      </x:c>
      <x:c r="K130" t="str">
        <x:v>Image to 3D</x:v>
      </x:c>
      <x:c r="L130" t="str">
        <x:v>Yes</x:v>
      </x:c>
      <x:c r="M130" t="n">
        <x:v>1450</x:v>
      </x:c>
      <x:c r="N130" t="str">
        <x:v>1024</x:v>
      </x:c>
      <x:c r="O130" t="str">
        <x:v>No</x:v>
      </x:c>
      <x:c r="P130" t="str">
        <x:v>None</x:v>
      </x:c>
      <x:c r="Q130" t="str">
        <x:v>Prompts/ConceptArt/equipment_light_hood_t06_base_concept_sheet.txt</x:v>
      </x:c>
      <x:c r="R130" t="str">
        <x:v>Prompts/Meshy/BaseGeometry/equipment_light_hood_t06_base_geometry.txt</x:v>
      </x:c>
      <x:c r="S130" t="str">
        <x:v>Prompts/TextureVariants/equipment_light_hood_t06_base_rarity_variants.txt</x:v>
      </x:c>
      <x:c r="T130" t="n">
        <x:v>2</x:v>
      </x:c>
      <x:c r="U130" t="n">
        <x:v>2</x:v>
      </x:c>
      <x:c r="V130" t="n">
        <x:v>1</x:v>
      </x:c>
      <x:c r="W130" t="n">
        <x:v>1</x:v>
      </x:c>
      <x:c r="X130" t="n">
        <x:v>0</x:v>
      </x:c>
      <x:c r="Y130" t="str">
        <x:v>readable at inventory scale; tier identity clear without UI; all six rarity variants preserve family; pivot and scale correct; no fragile geometry; URP PBR maps valid</x:v>
      </x:c>
      <x:c r="Z130" t="str">
        <x:v>Assets/_Game/Art/Equipment/LightArmor/light_hood/T6/Models</x:v>
      </x:c>
      <x:c r="AA130" t="str">
        <x:v>Not Started</x:v>
      </x:c>
      <x:c r="AB130" t="str">
        <x:v>Pending</x:v>
      </x:c>
      <x:c r="AC130" s="18" t="n">
        <x:f>T130*'Settings &amp; Rates'!$B$5+U130*'Settings &amp; Rates'!$B$6+V130*'Settings &amp; Rates'!$B$7+W130*'Settings &amp; Rates'!$B$8+X130*'Settings &amp; Rates'!$B$9</x:f>
        <x:v>55</x:v>
      </x:c>
      <x:c r="AD130" s="18" t="n">
        <x:f>SUMIF('Attempt Log'!$B$2:$B$101,A130,'Attempt Log'!$K$2:$K$101)</x:f>
        <x:v>0</x:v>
      </x:c>
      <x:c r="AE130" s="18" t="n">
        <x:f>AD130-AC130</x:f>
        <x:v>-55</x:v>
      </x:c>
      <x:c r="AF130" t="n">
        <x:f>COUNTIF('Attempt Log'!$B$2:$B$101,A130)</x:f>
        <x:v>0</x:v>
      </x:c>
      <x:c r="AG130" t="n">
        <x:f>IFERROR(SUMIFS('Attempt Log'!$U$2:$U$101,'Attempt Log'!$B$2:$B$101,A130,'Attempt Log'!$N$2:$N$101,"Yes")/COUNTIFS('Attempt Log'!$B$2:$B$101,A130,'Attempt Log'!$N$2:$N$101,"Yes"),0)</x:f>
        <x:v>0</x:v>
      </x:c>
    </x:row>
    <x:row r="131">
      <x:c r="A131" t="str">
        <x:v>equipment_longbow_t06_base</x:v>
      </x:c>
      <x:c r="B131" t="str">
        <x:v>Arco Longo T6</x:v>
      </x:c>
      <x:c r="C131" t="str">
        <x:v>Longbow T6</x:v>
      </x:c>
      <x:c r="D131" t="str">
        <x:v>Task017</x:v>
      </x:c>
      <x:c r="E131" t="str">
        <x:v>Equipment</x:v>
      </x:c>
      <x:c r="F131" t="str">
        <x:v>Weapon</x:v>
      </x:c>
      <x:c r="G131" t="str">
        <x:v>longbow</x:v>
      </x:c>
      <x:c r="H131" t="str">
        <x:v>Season 1</x:v>
      </x:c>
      <x:c r="I131" t="str">
        <x:v>P2</x:v>
      </x:c>
      <x:c r="J131" t="str">
        <x:v>B12_EQUIPMENT_T6</x:v>
      </x:c>
      <x:c r="K131" t="str">
        <x:v>Text to 3D</x:v>
      </x:c>
      <x:c r="L131" t="str">
        <x:v>Optional</x:v>
      </x:c>
      <x:c r="M131" t="n">
        <x:v>1700</x:v>
      </x:c>
      <x:c r="N131" t="str">
        <x:v>1024</x:v>
      </x:c>
      <x:c r="O131" t="str">
        <x:v>No</x:v>
      </x:c>
      <x:c r="P131" t="str">
        <x:v>None</x:v>
      </x:c>
      <x:c r="Q131" t="str">
        <x:v>Prompts/ConceptArt/equipment_longbow_t06_base_concept_sheet.txt</x:v>
      </x:c>
      <x:c r="R131" t="str">
        <x:v>Prompts/Meshy/BaseGeometry/equipment_longbow_t06_base_geometry.txt</x:v>
      </x:c>
      <x:c r="S131" t="str">
        <x:v>Prompts/TextureVariants/equipment_longbow_t06_base_rarity_variants.txt</x:v>
      </x:c>
      <x:c r="T131" t="n">
        <x:v>1</x:v>
      </x:c>
      <x:c r="U131" t="n">
        <x:v>2</x:v>
      </x:c>
      <x:c r="V131" t="n">
        <x:v>1</x:v>
      </x:c>
      <x:c r="W131" t="n">
        <x:v>1</x:v>
      </x:c>
      <x:c r="X131" t="n">
        <x:v>0</x:v>
      </x:c>
      <x:c r="Y131" t="str">
        <x:v>readable at inventory scale; tier identity clear without UI; all six rarity variants preserve family; pivot and scale correct; no fragile geometry; URP PBR maps valid</x:v>
      </x:c>
      <x:c r="Z131" t="str">
        <x:v>Assets/_Game/Art/Equipment/Weapon/longbow/T6/Models</x:v>
      </x:c>
      <x:c r="AA131" t="str">
        <x:v>Not Started</x:v>
      </x:c>
      <x:c r="AB131" t="str">
        <x:v>Pending</x:v>
      </x:c>
      <x:c r="AC131" s="18" t="n">
        <x:f>T131*'Settings &amp; Rates'!$B$5+U131*'Settings &amp; Rates'!$B$6+V131*'Settings &amp; Rates'!$B$7+W131*'Settings &amp; Rates'!$B$8+X131*'Settings &amp; Rates'!$B$9</x:f>
        <x:v>55</x:v>
      </x:c>
      <x:c r="AD131" s="18" t="n">
        <x:f>SUMIF('Attempt Log'!$B$2:$B$101,A131,'Attempt Log'!$K$2:$K$101)</x:f>
        <x:v>0</x:v>
      </x:c>
      <x:c r="AE131" s="18" t="n">
        <x:f>AD131-AC131</x:f>
        <x:v>-55</x:v>
      </x:c>
      <x:c r="AF131" t="n">
        <x:f>COUNTIF('Attempt Log'!$B$2:$B$101,A131)</x:f>
        <x:v>0</x:v>
      </x:c>
      <x:c r="AG131" t="n">
        <x:f>IFERROR(SUMIFS('Attempt Log'!$U$2:$U$101,'Attempt Log'!$B$2:$B$101,A131,'Attempt Log'!$N$2:$N$101,"Yes")/COUNTIFS('Attempt Log'!$B$2:$B$101,A131,'Attempt Log'!$N$2:$N$101,"Yes"),0)</x:f>
        <x:v>0</x:v>
      </x:c>
    </x:row>
    <x:row r="132">
      <x:c r="A132" t="str">
        <x:v>equipment_ring_t06_base</x:v>
      </x:c>
      <x:c r="B132" t="str">
        <x:v>Anel T6</x:v>
      </x:c>
      <x:c r="C132" t="str">
        <x:v>Ring T6</x:v>
      </x:c>
      <x:c r="D132" t="str">
        <x:v>Task017</x:v>
      </x:c>
      <x:c r="E132" t="str">
        <x:v>Equipment</x:v>
      </x:c>
      <x:c r="F132" t="str">
        <x:v>Accessory</x:v>
      </x:c>
      <x:c r="G132" t="str">
        <x:v>ring</x:v>
      </x:c>
      <x:c r="H132" t="str">
        <x:v>Season 1</x:v>
      </x:c>
      <x:c r="I132" t="str">
        <x:v>P2</x:v>
      </x:c>
      <x:c r="J132" t="str">
        <x:v>B12_EQUIPMENT_T6</x:v>
      </x:c>
      <x:c r="K132" t="str">
        <x:v>Text to 3D</x:v>
      </x:c>
      <x:c r="L132" t="str">
        <x:v>Optional</x:v>
      </x:c>
      <x:c r="M132" t="n">
        <x:v>550</x:v>
      </x:c>
      <x:c r="N132" t="str">
        <x:v>512</x:v>
      </x:c>
      <x:c r="O132" t="str">
        <x:v>No</x:v>
      </x:c>
      <x:c r="P132" t="str">
        <x:v>None</x:v>
      </x:c>
      <x:c r="Q132" t="str">
        <x:v>Prompts/ConceptArt/equipment_ring_t06_base_concept_sheet.txt</x:v>
      </x:c>
      <x:c r="R132" t="str">
        <x:v>Prompts/Meshy/BaseGeometry/equipment_ring_t06_base_geometry.txt</x:v>
      </x:c>
      <x:c r="S132" t="str">
        <x:v>Prompts/TextureVariants/equipment_ring_t06_base_rarity_variants.txt</x:v>
      </x:c>
      <x:c r="T132" t="n">
        <x:v>1</x:v>
      </x:c>
      <x:c r="U132" t="n">
        <x:v>2</x:v>
      </x:c>
      <x:c r="V132" t="n">
        <x:v>1</x:v>
      </x:c>
      <x:c r="W132" t="n">
        <x:v>1</x:v>
      </x:c>
      <x:c r="X132" t="n">
        <x:v>0</x:v>
      </x:c>
      <x:c r="Y132" t="str">
        <x:v>readable at inventory scale; tier identity clear without UI; all six rarity variants preserve family; pivot and scale correct; no fragile geometry; URP PBR maps valid</x:v>
      </x:c>
      <x:c r="Z132" t="str">
        <x:v>Assets/_Game/Art/Equipment/Accessory/ring/T6/Models</x:v>
      </x:c>
      <x:c r="AA132" t="str">
        <x:v>Not Started</x:v>
      </x:c>
      <x:c r="AB132" t="str">
        <x:v>Pending</x:v>
      </x:c>
      <x:c r="AC132" s="18" t="n">
        <x:f>T132*'Settings &amp; Rates'!$B$5+U132*'Settings &amp; Rates'!$B$6+V132*'Settings &amp; Rates'!$B$7+W132*'Settings &amp; Rates'!$B$8+X132*'Settings &amp; Rates'!$B$9</x:f>
        <x:v>55</x:v>
      </x:c>
      <x:c r="AD132" s="18" t="n">
        <x:f>SUMIF('Attempt Log'!$B$2:$B$101,A132,'Attempt Log'!$K$2:$K$101)</x:f>
        <x:v>0</x:v>
      </x:c>
      <x:c r="AE132" s="18" t="n">
        <x:f>AD132-AC132</x:f>
        <x:v>-55</x:v>
      </x:c>
      <x:c r="AF132" t="n">
        <x:f>COUNTIF('Attempt Log'!$B$2:$B$101,A132)</x:f>
        <x:v>0</x:v>
      </x:c>
      <x:c r="AG132" t="n">
        <x:f>IFERROR(SUMIFS('Attempt Log'!$U$2:$U$101,'Attempt Log'!$B$2:$B$101,A132,'Attempt Log'!$N$2:$N$101,"Yes")/COUNTIFS('Attempt Log'!$B$2:$B$101,A132,'Attempt Log'!$N$2:$N$101,"Yes"),0)</x:f>
        <x:v>0</x:v>
      </x:c>
    </x:row>
    <x:row r="133">
      <x:c r="A133" t="str">
        <x:v>equipment_shield_t06_base</x:v>
      </x:c>
      <x:c r="B133" t="str">
        <x:v>Escudo T6</x:v>
      </x:c>
      <x:c r="C133" t="str">
        <x:v>Shield T6</x:v>
      </x:c>
      <x:c r="D133" t="str">
        <x:v>Task017</x:v>
      </x:c>
      <x:c r="E133" t="str">
        <x:v>Equipment</x:v>
      </x:c>
      <x:c r="F133" t="str">
        <x:v>Weapon</x:v>
      </x:c>
      <x:c r="G133" t="str">
        <x:v>shield</x:v>
      </x:c>
      <x:c r="H133" t="str">
        <x:v>Season 1</x:v>
      </x:c>
      <x:c r="I133" t="str">
        <x:v>P2</x:v>
      </x:c>
      <x:c r="J133" t="str">
        <x:v>B12_EQUIPMENT_T6</x:v>
      </x:c>
      <x:c r="K133" t="str">
        <x:v>Text to 3D</x:v>
      </x:c>
      <x:c r="L133" t="str">
        <x:v>Optional</x:v>
      </x:c>
      <x:c r="M133" t="n">
        <x:v>2500</x:v>
      </x:c>
      <x:c r="N133" t="str">
        <x:v>1024</x:v>
      </x:c>
      <x:c r="O133" t="str">
        <x:v>No</x:v>
      </x:c>
      <x:c r="P133" t="str">
        <x:v>None</x:v>
      </x:c>
      <x:c r="Q133" t="str">
        <x:v>Prompts/ConceptArt/equipment_shield_t06_base_concept_sheet.txt</x:v>
      </x:c>
      <x:c r="R133" t="str">
        <x:v>Prompts/Meshy/BaseGeometry/equipment_shield_t06_base_geometry.txt</x:v>
      </x:c>
      <x:c r="S133" t="str">
        <x:v>Prompts/TextureVariants/equipment_shield_t06_base_rarity_variants.txt</x:v>
      </x:c>
      <x:c r="T133" t="n">
        <x:v>1</x:v>
      </x:c>
      <x:c r="U133" t="n">
        <x:v>2</x:v>
      </x:c>
      <x:c r="V133" t="n">
        <x:v>1</x:v>
      </x:c>
      <x:c r="W133" t="n">
        <x:v>1</x:v>
      </x:c>
      <x:c r="X133" t="n">
        <x:v>0</x:v>
      </x:c>
      <x:c r="Y133" t="str">
        <x:v>readable at inventory scale; tier identity clear without UI; all six rarity variants preserve family; pivot and scale correct; no fragile geometry; URP PBR maps valid</x:v>
      </x:c>
      <x:c r="Z133" t="str">
        <x:v>Assets/_Game/Art/Equipment/Weapon/shield/T6/Models</x:v>
      </x:c>
      <x:c r="AA133" t="str">
        <x:v>Not Started</x:v>
      </x:c>
      <x:c r="AB133" t="str">
        <x:v>Pending</x:v>
      </x:c>
      <x:c r="AC133" s="18" t="n">
        <x:f>T133*'Settings &amp; Rates'!$B$5+U133*'Settings &amp; Rates'!$B$6+V133*'Settings &amp; Rates'!$B$7+W133*'Settings &amp; Rates'!$B$8+X133*'Settings &amp; Rates'!$B$9</x:f>
        <x:v>55</x:v>
      </x:c>
      <x:c r="AD133" s="18" t="n">
        <x:f>SUMIF('Attempt Log'!$B$2:$B$101,A133,'Attempt Log'!$K$2:$K$101)</x:f>
        <x:v>0</x:v>
      </x:c>
      <x:c r="AE133" s="18" t="n">
        <x:f>AD133-AC133</x:f>
        <x:v>-55</x:v>
      </x:c>
      <x:c r="AF133" t="n">
        <x:f>COUNTIF('Attempt Log'!$B$2:$B$101,A133)</x:f>
        <x:v>0</x:v>
      </x:c>
      <x:c r="AG133" t="n">
        <x:f>IFERROR(SUMIFS('Attempt Log'!$U$2:$U$101,'Attempt Log'!$B$2:$B$101,A133,'Attempt Log'!$N$2:$N$101,"Yes")/COUNTIFS('Attempt Log'!$B$2:$B$101,A133,'Attempt Log'!$N$2:$N$101,"Yes"),0)</x:f>
        <x:v>0</x:v>
      </x:c>
    </x:row>
    <x:row r="134">
      <x:c r="A134" t="str">
        <x:v>equipment_staff_t06_base</x:v>
      </x:c>
      <x:c r="B134" t="str">
        <x:v>Cajado T6</x:v>
      </x:c>
      <x:c r="C134" t="str">
        <x:v>Staff T6</x:v>
      </x:c>
      <x:c r="D134" t="str">
        <x:v>Task017</x:v>
      </x:c>
      <x:c r="E134" t="str">
        <x:v>Equipment</x:v>
      </x:c>
      <x:c r="F134" t="str">
        <x:v>Weapon</x:v>
      </x:c>
      <x:c r="G134" t="str">
        <x:v>staff</x:v>
      </x:c>
      <x:c r="H134" t="str">
        <x:v>Season 1</x:v>
      </x:c>
      <x:c r="I134" t="str">
        <x:v>P2</x:v>
      </x:c>
      <x:c r="J134" t="str">
        <x:v>B12_EQUIPMENT_T6</x:v>
      </x:c>
      <x:c r="K134" t="str">
        <x:v>Text to 3D</x:v>
      </x:c>
      <x:c r="L134" t="str">
        <x:v>Optional</x:v>
      </x:c>
      <x:c r="M134" t="n">
        <x:v>2400</x:v>
      </x:c>
      <x:c r="N134" t="str">
        <x:v>1024</x:v>
      </x:c>
      <x:c r="O134" t="str">
        <x:v>No</x:v>
      </x:c>
      <x:c r="P134" t="str">
        <x:v>None</x:v>
      </x:c>
      <x:c r="Q134" t="str">
        <x:v>Prompts/ConceptArt/equipment_staff_t06_base_concept_sheet.txt</x:v>
      </x:c>
      <x:c r="R134" t="str">
        <x:v>Prompts/Meshy/BaseGeometry/equipment_staff_t06_base_geometry.txt</x:v>
      </x:c>
      <x:c r="S134" t="str">
        <x:v>Prompts/TextureVariants/equipment_staff_t06_base_rarity_variants.txt</x:v>
      </x:c>
      <x:c r="T134" t="n">
        <x:v>1</x:v>
      </x:c>
      <x:c r="U134" t="n">
        <x:v>2</x:v>
      </x:c>
      <x:c r="V134" t="n">
        <x:v>1</x:v>
      </x:c>
      <x:c r="W134" t="n">
        <x:v>1</x:v>
      </x:c>
      <x:c r="X134" t="n">
        <x:v>0</x:v>
      </x:c>
      <x:c r="Y134" t="str">
        <x:v>readable at inventory scale; tier identity clear without UI; all six rarity variants preserve family; pivot and scale correct; no fragile geometry; URP PBR maps valid</x:v>
      </x:c>
      <x:c r="Z134" t="str">
        <x:v>Assets/_Game/Art/Equipment/Weapon/staff/T6/Models</x:v>
      </x:c>
      <x:c r="AA134" t="str">
        <x:v>Not Started</x:v>
      </x:c>
      <x:c r="AB134" t="str">
        <x:v>Pending</x:v>
      </x:c>
      <x:c r="AC134" s="18" t="n">
        <x:f>T134*'Settings &amp; Rates'!$B$5+U134*'Settings &amp; Rates'!$B$6+V134*'Settings &amp; Rates'!$B$7+W134*'Settings &amp; Rates'!$B$8+X134*'Settings &amp; Rates'!$B$9</x:f>
        <x:v>55</x:v>
      </x:c>
      <x:c r="AD134" s="18" t="n">
        <x:f>SUMIF('Attempt Log'!$B$2:$B$101,A134,'Attempt Log'!$K$2:$K$101)</x:f>
        <x:v>0</x:v>
      </x:c>
      <x:c r="AE134" s="18" t="n">
        <x:f>AD134-AC134</x:f>
        <x:v>-55</x:v>
      </x:c>
      <x:c r="AF134" t="n">
        <x:f>COUNTIF('Attempt Log'!$B$2:$B$101,A134)</x:f>
        <x:v>0</x:v>
      </x:c>
      <x:c r="AG134" t="n">
        <x:f>IFERROR(SUMIFS('Attempt Log'!$U$2:$U$101,'Attempt Log'!$B$2:$B$101,A134,'Attempt Log'!$N$2:$N$101,"Yes")/COUNTIFS('Attempt Log'!$B$2:$B$101,A134,'Attempt Log'!$N$2:$N$101,"Yes"),0)</x:f>
        <x:v>0</x:v>
      </x:c>
    </x:row>
    <x:row r="135">
      <x:c r="A135" t="str">
        <x:v>equipment_sword_1h_t06_base</x:v>
      </x:c>
      <x:c r="B135" t="str">
        <x:v>Espada de Uma Mão T6</x:v>
      </x:c>
      <x:c r="C135" t="str">
        <x:v>One-Handed Sword T6</x:v>
      </x:c>
      <x:c r="D135" t="str">
        <x:v>Task017</x:v>
      </x:c>
      <x:c r="E135" t="str">
        <x:v>Equipment</x:v>
      </x:c>
      <x:c r="F135" t="str">
        <x:v>Weapon</x:v>
      </x:c>
      <x:c r="G135" t="str">
        <x:v>sword_1h</x:v>
      </x:c>
      <x:c r="H135" t="str">
        <x:v>Season 1</x:v>
      </x:c>
      <x:c r="I135" t="str">
        <x:v>P2</x:v>
      </x:c>
      <x:c r="J135" t="str">
        <x:v>B12_EQUIPMENT_T6</x:v>
      </x:c>
      <x:c r="K135" t="str">
        <x:v>Text to 3D</x:v>
      </x:c>
      <x:c r="L135" t="str">
        <x:v>Optional</x:v>
      </x:c>
      <x:c r="M135" t="n">
        <x:v>2000</x:v>
      </x:c>
      <x:c r="N135" t="str">
        <x:v>1024</x:v>
      </x:c>
      <x:c r="O135" t="str">
        <x:v>No</x:v>
      </x:c>
      <x:c r="P135" t="str">
        <x:v>None</x:v>
      </x:c>
      <x:c r="Q135" t="str">
        <x:v>Prompts/ConceptArt/equipment_sword_1h_t06_base_concept_sheet.txt</x:v>
      </x:c>
      <x:c r="R135" t="str">
        <x:v>Prompts/Meshy/BaseGeometry/equipment_sword_1h_t06_base_geometry.txt</x:v>
      </x:c>
      <x:c r="S135" t="str">
        <x:v>Prompts/TextureVariants/equipment_sword_1h_t06_base_rarity_variants.txt</x:v>
      </x:c>
      <x:c r="T135" t="n">
        <x:v>1</x:v>
      </x:c>
      <x:c r="U135" t="n">
        <x:v>2</x:v>
      </x:c>
      <x:c r="V135" t="n">
        <x:v>1</x:v>
      </x:c>
      <x:c r="W135" t="n">
        <x:v>1</x:v>
      </x:c>
      <x:c r="X135" t="n">
        <x:v>0</x:v>
      </x:c>
      <x:c r="Y135" t="str">
        <x:v>readable at inventory scale; tier identity clear without UI; all six rarity variants preserve family; pivot and scale correct; no fragile geometry; URP PBR maps valid</x:v>
      </x:c>
      <x:c r="Z135" t="str">
        <x:v>Assets/_Game/Art/Equipment/Weapon/sword_1h/T6/Models</x:v>
      </x:c>
      <x:c r="AA135" t="str">
        <x:v>Not Started</x:v>
      </x:c>
      <x:c r="AB135" t="str">
        <x:v>Pending</x:v>
      </x:c>
      <x:c r="AC135" s="18" t="n">
        <x:f>T135*'Settings &amp; Rates'!$B$5+U135*'Settings &amp; Rates'!$B$6+V135*'Settings &amp; Rates'!$B$7+W135*'Settings &amp; Rates'!$B$8+X135*'Settings &amp; Rates'!$B$9</x:f>
        <x:v>55</x:v>
      </x:c>
      <x:c r="AD135" s="18" t="n">
        <x:f>SUMIF('Attempt Log'!$B$2:$B$101,A135,'Attempt Log'!$K$2:$K$101)</x:f>
        <x:v>0</x:v>
      </x:c>
      <x:c r="AE135" s="18" t="n">
        <x:f>AD135-AC135</x:f>
        <x:v>-55</x:v>
      </x:c>
      <x:c r="AF135" t="n">
        <x:f>COUNTIF('Attempt Log'!$B$2:$B$101,A135)</x:f>
        <x:v>0</x:v>
      </x:c>
      <x:c r="AG135" t="n">
        <x:f>IFERROR(SUMIFS('Attempt Log'!$U$2:$U$101,'Attempt Log'!$B$2:$B$101,A135,'Attempt Log'!$N$2:$N$101,"Yes")/COUNTIFS('Attempt Log'!$B$2:$B$101,A135,'Attempt Log'!$N$2:$N$101,"Yes"),0)</x:f>
        <x:v>0</x:v>
      </x:c>
    </x:row>
    <x:row r="136">
      <x:c r="A136" t="str">
        <x:v>equipment_amulet_t07_base</x:v>
      </x:c>
      <x:c r="B136" t="str">
        <x:v>Amuleto T7</x:v>
      </x:c>
      <x:c r="C136" t="str">
        <x:v>Amulet T7</x:v>
      </x:c>
      <x:c r="D136" t="str">
        <x:v>Task017</x:v>
      </x:c>
      <x:c r="E136" t="str">
        <x:v>Equipment</x:v>
      </x:c>
      <x:c r="F136" t="str">
        <x:v>Accessory</x:v>
      </x:c>
      <x:c r="G136" t="str">
        <x:v>amulet</x:v>
      </x:c>
      <x:c r="H136" t="str">
        <x:v>Season 1</x:v>
      </x:c>
      <x:c r="I136" t="str">
        <x:v>P2</x:v>
      </x:c>
      <x:c r="J136" t="str">
        <x:v>B13_EQUIPMENT_T7</x:v>
      </x:c>
      <x:c r="K136" t="str">
        <x:v>Text to 3D</x:v>
      </x:c>
      <x:c r="L136" t="str">
        <x:v>Optional</x:v>
      </x:c>
      <x:c r="M136" t="n">
        <x:v>900</x:v>
      </x:c>
      <x:c r="N136" t="str">
        <x:v>512</x:v>
      </x:c>
      <x:c r="O136" t="str">
        <x:v>No</x:v>
      </x:c>
      <x:c r="P136" t="str">
        <x:v>None</x:v>
      </x:c>
      <x:c r="Q136" t="str">
        <x:v>Prompts/ConceptArt/equipment_amulet_t07_base_concept_sheet.txt</x:v>
      </x:c>
      <x:c r="R136" t="str">
        <x:v>Prompts/Meshy/BaseGeometry/equipment_amulet_t07_base_geometry.txt</x:v>
      </x:c>
      <x:c r="S136" t="str">
        <x:v>Prompts/TextureVariants/equipment_amulet_t07_base_rarity_variants.txt</x:v>
      </x:c>
      <x:c r="T136" t="n">
        <x:v>1</x:v>
      </x:c>
      <x:c r="U136" t="n">
        <x:v>2</x:v>
      </x:c>
      <x:c r="V136" t="n">
        <x:v>1</x:v>
      </x:c>
      <x:c r="W136" t="n">
        <x:v>1</x:v>
      </x:c>
      <x:c r="X136" t="n">
        <x:v>0</x:v>
      </x:c>
      <x:c r="Y136" t="str">
        <x:v>readable at inventory scale; tier identity clear without UI; all six rarity variants preserve family; pivot and scale correct; no fragile geometry; URP PBR maps valid</x:v>
      </x:c>
      <x:c r="Z136" t="str">
        <x:v>Assets/_Game/Art/Equipment/Accessory/amulet/T7/Models</x:v>
      </x:c>
      <x:c r="AA136" t="str">
        <x:v>Not Started</x:v>
      </x:c>
      <x:c r="AB136" t="str">
        <x:v>Pending</x:v>
      </x:c>
      <x:c r="AC136" s="18" t="n">
        <x:f>T136*'Settings &amp; Rates'!$B$5+U136*'Settings &amp; Rates'!$B$6+V136*'Settings &amp; Rates'!$B$7+W136*'Settings &amp; Rates'!$B$8+X136*'Settings &amp; Rates'!$B$9</x:f>
        <x:v>55</x:v>
      </x:c>
      <x:c r="AD136" s="18" t="n">
        <x:f>SUMIF('Attempt Log'!$B$2:$B$101,A136,'Attempt Log'!$K$2:$K$101)</x:f>
        <x:v>0</x:v>
      </x:c>
      <x:c r="AE136" s="18" t="n">
        <x:f>AD136-AC136</x:f>
        <x:v>-55</x:v>
      </x:c>
      <x:c r="AF136" t="n">
        <x:f>COUNTIF('Attempt Log'!$B$2:$B$101,A136)</x:f>
        <x:v>0</x:v>
      </x:c>
      <x:c r="AG136" t="n">
        <x:f>IFERROR(SUMIFS('Attempt Log'!$U$2:$U$101,'Attempt Log'!$B$2:$B$101,A136,'Attempt Log'!$N$2:$N$101,"Yes")/COUNTIFS('Attempt Log'!$B$2:$B$101,A136,'Attempt Log'!$N$2:$N$101,"Yes"),0)</x:f>
        <x:v>0</x:v>
      </x:c>
    </x:row>
    <x:row r="137">
      <x:c r="A137" t="str">
        <x:v>equipment_cloth_boots_t07_base</x:v>
      </x:c>
      <x:c r="B137" t="str">
        <x:v>Botas Arcanas T7</x:v>
      </x:c>
      <x:c r="C137" t="str">
        <x:v>Arcane Boots T7</x:v>
      </x:c>
      <x:c r="D137" t="str">
        <x:v>Task017</x:v>
      </x:c>
      <x:c r="E137" t="str">
        <x:v>Equipment</x:v>
      </x:c>
      <x:c r="F137" t="str">
        <x:v>Cloth Armor</x:v>
      </x:c>
      <x:c r="G137" t="str">
        <x:v>cloth_boots</x:v>
      </x:c>
      <x:c r="H137" t="str">
        <x:v>Season 1</x:v>
      </x:c>
      <x:c r="I137" t="str">
        <x:v>P2</x:v>
      </x:c>
      <x:c r="J137" t="str">
        <x:v>B13_EQUIPMENT_T7</x:v>
      </x:c>
      <x:c r="K137" t="str">
        <x:v>Image to 3D</x:v>
      </x:c>
      <x:c r="L137" t="str">
        <x:v>Yes</x:v>
      </x:c>
      <x:c r="M137" t="n">
        <x:v>1450</x:v>
      </x:c>
      <x:c r="N137" t="str">
        <x:v>1024</x:v>
      </x:c>
      <x:c r="O137" t="str">
        <x:v>No</x:v>
      </x:c>
      <x:c r="P137" t="str">
        <x:v>None</x:v>
      </x:c>
      <x:c r="Q137" t="str">
        <x:v>Prompts/ConceptArt/equipment_cloth_boots_t07_base_concept_sheet.txt</x:v>
      </x:c>
      <x:c r="R137" t="str">
        <x:v>Prompts/Meshy/BaseGeometry/equipment_cloth_boots_t07_base_geometry.txt</x:v>
      </x:c>
      <x:c r="S137" t="str">
        <x:v>Prompts/TextureVariants/equipment_cloth_boots_t07_base_rarity_variants.txt</x:v>
      </x:c>
      <x:c r="T137" t="n">
        <x:v>2</x:v>
      </x:c>
      <x:c r="U137" t="n">
        <x:v>2</x:v>
      </x:c>
      <x:c r="V137" t="n">
        <x:v>1</x:v>
      </x:c>
      <x:c r="W137" t="n">
        <x:v>1</x:v>
      </x:c>
      <x:c r="X137" t="n">
        <x:v>0</x:v>
      </x:c>
      <x:c r="Y137" t="str">
        <x:v>readable at inventory scale; tier identity clear without UI; all six rarity variants preserve family; pivot and scale correct; no fragile geometry; URP PBR maps valid</x:v>
      </x:c>
      <x:c r="Z137" t="str">
        <x:v>Assets/_Game/Art/Equipment/ClothArmor/cloth_boots/T7/Models</x:v>
      </x:c>
      <x:c r="AA137" t="str">
        <x:v>Not Started</x:v>
      </x:c>
      <x:c r="AB137" t="str">
        <x:v>Pending</x:v>
      </x:c>
      <x:c r="AC137" s="18" t="n">
        <x:f>T137*'Settings &amp; Rates'!$B$5+U137*'Settings &amp; Rates'!$B$6+V137*'Settings &amp; Rates'!$B$7+W137*'Settings &amp; Rates'!$B$8+X137*'Settings &amp; Rates'!$B$9</x:f>
        <x:v>55</x:v>
      </x:c>
      <x:c r="AD137" s="18" t="n">
        <x:f>SUMIF('Attempt Log'!$B$2:$B$101,A137,'Attempt Log'!$K$2:$K$101)</x:f>
        <x:v>0</x:v>
      </x:c>
      <x:c r="AE137" s="18" t="n">
        <x:f>AD137-AC137</x:f>
        <x:v>-55</x:v>
      </x:c>
      <x:c r="AF137" t="n">
        <x:f>COUNTIF('Attempt Log'!$B$2:$B$101,A137)</x:f>
        <x:v>0</x:v>
      </x:c>
      <x:c r="AG137" t="n">
        <x:f>IFERROR(SUMIFS('Attempt Log'!$U$2:$U$101,'Attempt Log'!$B$2:$B$101,A137,'Attempt Log'!$N$2:$N$101,"Yes")/COUNTIFS('Attempt Log'!$B$2:$B$101,A137,'Attempt Log'!$N$2:$N$101,"Yes"),0)</x:f>
        <x:v>0</x:v>
      </x:c>
    </x:row>
    <x:row r="138">
      <x:c r="A138" t="str">
        <x:v>equipment_cloth_gloves_t07_base</x:v>
      </x:c>
      <x:c r="B138" t="str">
        <x:v>Luvas Arcanas T7</x:v>
      </x:c>
      <x:c r="C138" t="str">
        <x:v>Arcane Gloves T7</x:v>
      </x:c>
      <x:c r="D138" t="str">
        <x:v>Task017</x:v>
      </x:c>
      <x:c r="E138" t="str">
        <x:v>Equipment</x:v>
      </x:c>
      <x:c r="F138" t="str">
        <x:v>Cloth Armor</x:v>
      </x:c>
      <x:c r="G138" t="str">
        <x:v>cloth_gloves</x:v>
      </x:c>
      <x:c r="H138" t="str">
        <x:v>Season 1</x:v>
      </x:c>
      <x:c r="I138" t="str">
        <x:v>P2</x:v>
      </x:c>
      <x:c r="J138" t="str">
        <x:v>B13_EQUIPMENT_T7</x:v>
      </x:c>
      <x:c r="K138" t="str">
        <x:v>Image to 3D</x:v>
      </x:c>
      <x:c r="L138" t="str">
        <x:v>Yes</x:v>
      </x:c>
      <x:c r="M138" t="n">
        <x:v>1200</x:v>
      </x:c>
      <x:c r="N138" t="str">
        <x:v>1024</x:v>
      </x:c>
      <x:c r="O138" t="str">
        <x:v>No</x:v>
      </x:c>
      <x:c r="P138" t="str">
        <x:v>None</x:v>
      </x:c>
      <x:c r="Q138" t="str">
        <x:v>Prompts/ConceptArt/equipment_cloth_gloves_t07_base_concept_sheet.txt</x:v>
      </x:c>
      <x:c r="R138" t="str">
        <x:v>Prompts/Meshy/BaseGeometry/equipment_cloth_gloves_t07_base_geometry.txt</x:v>
      </x:c>
      <x:c r="S138" t="str">
        <x:v>Prompts/TextureVariants/equipment_cloth_gloves_t07_base_rarity_variants.txt</x:v>
      </x:c>
      <x:c r="T138" t="n">
        <x:v>2</x:v>
      </x:c>
      <x:c r="U138" t="n">
        <x:v>2</x:v>
      </x:c>
      <x:c r="V138" t="n">
        <x:v>1</x:v>
      </x:c>
      <x:c r="W138" t="n">
        <x:v>1</x:v>
      </x:c>
      <x:c r="X138" t="n">
        <x:v>0</x:v>
      </x:c>
      <x:c r="Y138" t="str">
        <x:v>readable at inventory scale; tier identity clear without UI; all six rarity variants preserve family; pivot and scale correct; no fragile geometry; URP PBR maps valid</x:v>
      </x:c>
      <x:c r="Z138" t="str">
        <x:v>Assets/_Game/Art/Equipment/ClothArmor/cloth_gloves/T7/Models</x:v>
      </x:c>
      <x:c r="AA138" t="str">
        <x:v>Not Started</x:v>
      </x:c>
      <x:c r="AB138" t="str">
        <x:v>Pending</x:v>
      </x:c>
      <x:c r="AC138" s="18" t="n">
        <x:f>T138*'Settings &amp; Rates'!$B$5+U138*'Settings &amp; Rates'!$B$6+V138*'Settings &amp; Rates'!$B$7+W138*'Settings &amp; Rates'!$B$8+X138*'Settings &amp; Rates'!$B$9</x:f>
        <x:v>55</x:v>
      </x:c>
      <x:c r="AD138" s="18" t="n">
        <x:f>SUMIF('Attempt Log'!$B$2:$B$101,A138,'Attempt Log'!$K$2:$K$101)</x:f>
        <x:v>0</x:v>
      </x:c>
      <x:c r="AE138" s="18" t="n">
        <x:f>AD138-AC138</x:f>
        <x:v>-55</x:v>
      </x:c>
      <x:c r="AF138" t="n">
        <x:f>COUNTIF('Attempt Log'!$B$2:$B$101,A138)</x:f>
        <x:v>0</x:v>
      </x:c>
      <x:c r="AG138" t="n">
        <x:f>IFERROR(SUMIFS('Attempt Log'!$U$2:$U$101,'Attempt Log'!$B$2:$B$101,A138,'Attempt Log'!$N$2:$N$101,"Yes")/COUNTIFS('Attempt Log'!$B$2:$B$101,A138,'Attempt Log'!$N$2:$N$101,"Yes"),0)</x:f>
        <x:v>0</x:v>
      </x:c>
    </x:row>
    <x:row r="139">
      <x:c r="A139" t="str">
        <x:v>equipment_cloth_hood_t07_base</x:v>
      </x:c>
      <x:c r="B139" t="str">
        <x:v>Capuz Arcano T7</x:v>
      </x:c>
      <x:c r="C139" t="str">
        <x:v>Arcane Hood T7</x:v>
      </x:c>
      <x:c r="D139" t="str">
        <x:v>Task017</x:v>
      </x:c>
      <x:c r="E139" t="str">
        <x:v>Equipment</x:v>
      </x:c>
      <x:c r="F139" t="str">
        <x:v>Cloth Armor</x:v>
      </x:c>
      <x:c r="G139" t="str">
        <x:v>cloth_hood</x:v>
      </x:c>
      <x:c r="H139" t="str">
        <x:v>Season 1</x:v>
      </x:c>
      <x:c r="I139" t="str">
        <x:v>P2</x:v>
      </x:c>
      <x:c r="J139" t="str">
        <x:v>B13_EQUIPMENT_T7</x:v>
      </x:c>
      <x:c r="K139" t="str">
        <x:v>Image to 3D</x:v>
      </x:c>
      <x:c r="L139" t="str">
        <x:v>Yes</x:v>
      </x:c>
      <x:c r="M139" t="n">
        <x:v>1500</x:v>
      </x:c>
      <x:c r="N139" t="str">
        <x:v>1024</x:v>
      </x:c>
      <x:c r="O139" t="str">
        <x:v>No</x:v>
      </x:c>
      <x:c r="P139" t="str">
        <x:v>None</x:v>
      </x:c>
      <x:c r="Q139" t="str">
        <x:v>Prompts/ConceptArt/equipment_cloth_hood_t07_base_concept_sheet.txt</x:v>
      </x:c>
      <x:c r="R139" t="str">
        <x:v>Prompts/Meshy/BaseGeometry/equipment_cloth_hood_t07_base_geometry.txt</x:v>
      </x:c>
      <x:c r="S139" t="str">
        <x:v>Prompts/TextureVariants/equipment_cloth_hood_t07_base_rarity_variants.txt</x:v>
      </x:c>
      <x:c r="T139" t="n">
        <x:v>2</x:v>
      </x:c>
      <x:c r="U139" t="n">
        <x:v>2</x:v>
      </x:c>
      <x:c r="V139" t="n">
        <x:v>1</x:v>
      </x:c>
      <x:c r="W139" t="n">
        <x:v>1</x:v>
      </x:c>
      <x:c r="X139" t="n">
        <x:v>0</x:v>
      </x:c>
      <x:c r="Y139" t="str">
        <x:v>readable at inventory scale; tier identity clear without UI; all six rarity variants preserve family; pivot and scale correct; no fragile geometry; URP PBR maps valid</x:v>
      </x:c>
      <x:c r="Z139" t="str">
        <x:v>Assets/_Game/Art/Equipment/ClothArmor/cloth_hood/T7/Models</x:v>
      </x:c>
      <x:c r="AA139" t="str">
        <x:v>Not Started</x:v>
      </x:c>
      <x:c r="AB139" t="str">
        <x:v>Pending</x:v>
      </x:c>
      <x:c r="AC139" s="18" t="n">
        <x:f>T139*'Settings &amp; Rates'!$B$5+U139*'Settings &amp; Rates'!$B$6+V139*'Settings &amp; Rates'!$B$7+W139*'Settings &amp; Rates'!$B$8+X139*'Settings &amp; Rates'!$B$9</x:f>
        <x:v>55</x:v>
      </x:c>
      <x:c r="AD139" s="18" t="n">
        <x:f>SUMIF('Attempt Log'!$B$2:$B$101,A139,'Attempt Log'!$K$2:$K$101)</x:f>
        <x:v>0</x:v>
      </x:c>
      <x:c r="AE139" s="18" t="n">
        <x:f>AD139-AC139</x:f>
        <x:v>-55</x:v>
      </x:c>
      <x:c r="AF139" t="n">
        <x:f>COUNTIF('Attempt Log'!$B$2:$B$101,A139)</x:f>
        <x:v>0</x:v>
      </x:c>
      <x:c r="AG139" t="n">
        <x:f>IFERROR(SUMIFS('Attempt Log'!$U$2:$U$101,'Attempt Log'!$B$2:$B$101,A139,'Attempt Log'!$N$2:$N$101,"Yes")/COUNTIFS('Attempt Log'!$B$2:$B$101,A139,'Attempt Log'!$N$2:$N$101,"Yes"),0)</x:f>
        <x:v>0</x:v>
      </x:c>
    </x:row>
    <x:row r="140">
      <x:c r="A140" t="str">
        <x:v>equipment_cloth_robe_t07_base</x:v>
      </x:c>
      <x:c r="B140" t="str">
        <x:v>Manto Arcano T7</x:v>
      </x:c>
      <x:c r="C140" t="str">
        <x:v>Arcane Robe T7</x:v>
      </x:c>
      <x:c r="D140" t="str">
        <x:v>Task017</x:v>
      </x:c>
      <x:c r="E140" t="str">
        <x:v>Equipment</x:v>
      </x:c>
      <x:c r="F140" t="str">
        <x:v>Cloth Armor</x:v>
      </x:c>
      <x:c r="G140" t="str">
        <x:v>cloth_robe</x:v>
      </x:c>
      <x:c r="H140" t="str">
        <x:v>Season 1</x:v>
      </x:c>
      <x:c r="I140" t="str">
        <x:v>P2</x:v>
      </x:c>
      <x:c r="J140" t="str">
        <x:v>B13_EQUIPMENT_T7</x:v>
      </x:c>
      <x:c r="K140" t="str">
        <x:v>Image to 3D</x:v>
      </x:c>
      <x:c r="L140" t="str">
        <x:v>Yes</x:v>
      </x:c>
      <x:c r="M140" t="n">
        <x:v>3350</x:v>
      </x:c>
      <x:c r="N140" t="str">
        <x:v>1024</x:v>
      </x:c>
      <x:c r="O140" t="str">
        <x:v>No</x:v>
      </x:c>
      <x:c r="P140" t="str">
        <x:v>None</x:v>
      </x:c>
      <x:c r="Q140" t="str">
        <x:v>Prompts/ConceptArt/equipment_cloth_robe_t07_base_concept_sheet.txt</x:v>
      </x:c>
      <x:c r="R140" t="str">
        <x:v>Prompts/Meshy/BaseGeometry/equipment_cloth_robe_t07_base_geometry.txt</x:v>
      </x:c>
      <x:c r="S140" t="str">
        <x:v>Prompts/TextureVariants/equipment_cloth_robe_t07_base_rarity_variants.txt</x:v>
      </x:c>
      <x:c r="T140" t="n">
        <x:v>2</x:v>
      </x:c>
      <x:c r="U140" t="n">
        <x:v>2</x:v>
      </x:c>
      <x:c r="V140" t="n">
        <x:v>1</x:v>
      </x:c>
      <x:c r="W140" t="n">
        <x:v>1</x:v>
      </x:c>
      <x:c r="X140" t="n">
        <x:v>0</x:v>
      </x:c>
      <x:c r="Y140" t="str">
        <x:v>readable at inventory scale; tier identity clear without UI; all six rarity variants preserve family; pivot and scale correct; no fragile geometry; URP PBR maps valid</x:v>
      </x:c>
      <x:c r="Z140" t="str">
        <x:v>Assets/_Game/Art/Equipment/ClothArmor/cloth_robe/T7/Models</x:v>
      </x:c>
      <x:c r="AA140" t="str">
        <x:v>Not Started</x:v>
      </x:c>
      <x:c r="AB140" t="str">
        <x:v>Pending</x:v>
      </x:c>
      <x:c r="AC140" s="18" t="n">
        <x:f>T140*'Settings &amp; Rates'!$B$5+U140*'Settings &amp; Rates'!$B$6+V140*'Settings &amp; Rates'!$B$7+W140*'Settings &amp; Rates'!$B$8+X140*'Settings &amp; Rates'!$B$9</x:f>
        <x:v>55</x:v>
      </x:c>
      <x:c r="AD140" s="18" t="n">
        <x:f>SUMIF('Attempt Log'!$B$2:$B$101,A140,'Attempt Log'!$K$2:$K$101)</x:f>
        <x:v>0</x:v>
      </x:c>
      <x:c r="AE140" s="18" t="n">
        <x:f>AD140-AC140</x:f>
        <x:v>-55</x:v>
      </x:c>
      <x:c r="AF140" t="n">
        <x:f>COUNTIF('Attempt Log'!$B$2:$B$101,A140)</x:f>
        <x:v>0</x:v>
      </x:c>
      <x:c r="AG140" t="n">
        <x:f>IFERROR(SUMIFS('Attempt Log'!$U$2:$U$101,'Attempt Log'!$B$2:$B$101,A140,'Attempt Log'!$N$2:$N$101,"Yes")/COUNTIFS('Attempt Log'!$B$2:$B$101,A140,'Attempt Log'!$N$2:$N$101,"Yes"),0)</x:f>
        <x:v>0</x:v>
      </x:c>
    </x:row>
    <x:row r="141">
      <x:c r="A141" t="str">
        <x:v>equipment_heavy_boots_t07_base</x:v>
      </x:c>
      <x:c r="B141" t="str">
        <x:v>Botas Pesadas T7</x:v>
      </x:c>
      <x:c r="C141" t="str">
        <x:v>Heavy Boots T7</x:v>
      </x:c>
      <x:c r="D141" t="str">
        <x:v>Task017</x:v>
      </x:c>
      <x:c r="E141" t="str">
        <x:v>Equipment</x:v>
      </x:c>
      <x:c r="F141" t="str">
        <x:v>Heavy Armor</x:v>
      </x:c>
      <x:c r="G141" t="str">
        <x:v>heavy_boots</x:v>
      </x:c>
      <x:c r="H141" t="str">
        <x:v>Season 1</x:v>
      </x:c>
      <x:c r="I141" t="str">
        <x:v>P2</x:v>
      </x:c>
      <x:c r="J141" t="str">
        <x:v>B13_EQUIPMENT_T7</x:v>
      </x:c>
      <x:c r="K141" t="str">
        <x:v>Image to 3D</x:v>
      </x:c>
      <x:c r="L141" t="str">
        <x:v>Yes</x:v>
      </x:c>
      <x:c r="M141" t="n">
        <x:v>1750</x:v>
      </x:c>
      <x:c r="N141" t="str">
        <x:v>1024</x:v>
      </x:c>
      <x:c r="O141" t="str">
        <x:v>No</x:v>
      </x:c>
      <x:c r="P141" t="str">
        <x:v>None</x:v>
      </x:c>
      <x:c r="Q141" t="str">
        <x:v>Prompts/ConceptArt/equipment_heavy_boots_t07_base_concept_sheet.txt</x:v>
      </x:c>
      <x:c r="R141" t="str">
        <x:v>Prompts/Meshy/BaseGeometry/equipment_heavy_boots_t07_base_geometry.txt</x:v>
      </x:c>
      <x:c r="S141" t="str">
        <x:v>Prompts/TextureVariants/equipment_heavy_boots_t07_base_rarity_variants.txt</x:v>
      </x:c>
      <x:c r="T141" t="n">
        <x:v>2</x:v>
      </x:c>
      <x:c r="U141" t="n">
        <x:v>2</x:v>
      </x:c>
      <x:c r="V141" t="n">
        <x:v>1</x:v>
      </x:c>
      <x:c r="W141" t="n">
        <x:v>1</x:v>
      </x:c>
      <x:c r="X141" t="n">
        <x:v>0</x:v>
      </x:c>
      <x:c r="Y141" t="str">
        <x:v>readable at inventory scale; tier identity clear without UI; all six rarity variants preserve family; pivot and scale correct; no fragile geometry; URP PBR maps valid</x:v>
      </x:c>
      <x:c r="Z141" t="str">
        <x:v>Assets/_Game/Art/Equipment/HeavyArmor/heavy_boots/T7/Models</x:v>
      </x:c>
      <x:c r="AA141" t="str">
        <x:v>Not Started</x:v>
      </x:c>
      <x:c r="AB141" t="str">
        <x:v>Pending</x:v>
      </x:c>
      <x:c r="AC141" s="18" t="n">
        <x:f>T141*'Settings &amp; Rates'!$B$5+U141*'Settings &amp; Rates'!$B$6+V141*'Settings &amp; Rates'!$B$7+W141*'Settings &amp; Rates'!$B$8+X141*'Settings &amp; Rates'!$B$9</x:f>
        <x:v>55</x:v>
      </x:c>
      <x:c r="AD141" s="18" t="n">
        <x:f>SUMIF('Attempt Log'!$B$2:$B$101,A141,'Attempt Log'!$K$2:$K$101)</x:f>
        <x:v>0</x:v>
      </x:c>
      <x:c r="AE141" s="18" t="n">
        <x:f>AD141-AC141</x:f>
        <x:v>-55</x:v>
      </x:c>
      <x:c r="AF141" t="n">
        <x:f>COUNTIF('Attempt Log'!$B$2:$B$101,A141)</x:f>
        <x:v>0</x:v>
      </x:c>
      <x:c r="AG141" t="n">
        <x:f>IFERROR(SUMIFS('Attempt Log'!$U$2:$U$101,'Attempt Log'!$B$2:$B$101,A141,'Attempt Log'!$N$2:$N$101,"Yes")/COUNTIFS('Attempt Log'!$B$2:$B$101,A141,'Attempt Log'!$N$2:$N$101,"Yes"),0)</x:f>
        <x:v>0</x:v>
      </x:c>
    </x:row>
    <x:row r="142">
      <x:c r="A142" t="str">
        <x:v>equipment_heavy_chest_t07_base</x:v>
      </x:c>
      <x:c r="B142" t="str">
        <x:v>Peitoral Pesado T7</x:v>
      </x:c>
      <x:c r="C142" t="str">
        <x:v>Heavy Chest Armor T7</x:v>
      </x:c>
      <x:c r="D142" t="str">
        <x:v>Task017</x:v>
      </x:c>
      <x:c r="E142" t="str">
        <x:v>Equipment</x:v>
      </x:c>
      <x:c r="F142" t="str">
        <x:v>Heavy Armor</x:v>
      </x:c>
      <x:c r="G142" t="str">
        <x:v>heavy_chest</x:v>
      </x:c>
      <x:c r="H142" t="str">
        <x:v>Season 1</x:v>
      </x:c>
      <x:c r="I142" t="str">
        <x:v>P2</x:v>
      </x:c>
      <x:c r="J142" t="str">
        <x:v>B13_EQUIPMENT_T7</x:v>
      </x:c>
      <x:c r="K142" t="str">
        <x:v>Image to 3D</x:v>
      </x:c>
      <x:c r="L142" t="str">
        <x:v>Yes</x:v>
      </x:c>
      <x:c r="M142" t="n">
        <x:v>3750</x:v>
      </x:c>
      <x:c r="N142" t="str">
        <x:v>1024</x:v>
      </x:c>
      <x:c r="O142" t="str">
        <x:v>No</x:v>
      </x:c>
      <x:c r="P142" t="str">
        <x:v>None</x:v>
      </x:c>
      <x:c r="Q142" t="str">
        <x:v>Prompts/ConceptArt/equipment_heavy_chest_t07_base_concept_sheet.txt</x:v>
      </x:c>
      <x:c r="R142" t="str">
        <x:v>Prompts/Meshy/BaseGeometry/equipment_heavy_chest_t07_base_geometry.txt</x:v>
      </x:c>
      <x:c r="S142" t="str">
        <x:v>Prompts/TextureVariants/equipment_heavy_chest_t07_base_rarity_variants.txt</x:v>
      </x:c>
      <x:c r="T142" t="n">
        <x:v>2</x:v>
      </x:c>
      <x:c r="U142" t="n">
        <x:v>2</x:v>
      </x:c>
      <x:c r="V142" t="n">
        <x:v>1</x:v>
      </x:c>
      <x:c r="W142" t="n">
        <x:v>1</x:v>
      </x:c>
      <x:c r="X142" t="n">
        <x:v>0</x:v>
      </x:c>
      <x:c r="Y142" t="str">
        <x:v>readable at inventory scale; tier identity clear without UI; all six rarity variants preserve family; pivot and scale correct; no fragile geometry; URP PBR maps valid</x:v>
      </x:c>
      <x:c r="Z142" t="str">
        <x:v>Assets/_Game/Art/Equipment/HeavyArmor/heavy_chest/T7/Models</x:v>
      </x:c>
      <x:c r="AA142" t="str">
        <x:v>Not Started</x:v>
      </x:c>
      <x:c r="AB142" t="str">
        <x:v>Pending</x:v>
      </x:c>
      <x:c r="AC142" s="18" t="n">
        <x:f>T142*'Settings &amp; Rates'!$B$5+U142*'Settings &amp; Rates'!$B$6+V142*'Settings &amp; Rates'!$B$7+W142*'Settings &amp; Rates'!$B$8+X142*'Settings &amp; Rates'!$B$9</x:f>
        <x:v>55</x:v>
      </x:c>
      <x:c r="AD142" s="18" t="n">
        <x:f>SUMIF('Attempt Log'!$B$2:$B$101,A142,'Attempt Log'!$K$2:$K$101)</x:f>
        <x:v>0</x:v>
      </x:c>
      <x:c r="AE142" s="18" t="n">
        <x:f>AD142-AC142</x:f>
        <x:v>-55</x:v>
      </x:c>
      <x:c r="AF142" t="n">
        <x:f>COUNTIF('Attempt Log'!$B$2:$B$101,A142)</x:f>
        <x:v>0</x:v>
      </x:c>
      <x:c r="AG142" t="n">
        <x:f>IFERROR(SUMIFS('Attempt Log'!$U$2:$U$101,'Attempt Log'!$B$2:$B$101,A142,'Attempt Log'!$N$2:$N$101,"Yes")/COUNTIFS('Attempt Log'!$B$2:$B$101,A142,'Attempt Log'!$N$2:$N$101,"Yes"),0)</x:f>
        <x:v>0</x:v>
      </x:c>
    </x:row>
    <x:row r="143">
      <x:c r="A143" t="str">
        <x:v>equipment_heavy_gloves_t07_base</x:v>
      </x:c>
      <x:c r="B143" t="str">
        <x:v>Manoplas Pesadas T7</x:v>
      </x:c>
      <x:c r="C143" t="str">
        <x:v>Heavy Gauntlets T7</x:v>
      </x:c>
      <x:c r="D143" t="str">
        <x:v>Task017</x:v>
      </x:c>
      <x:c r="E143" t="str">
        <x:v>Equipment</x:v>
      </x:c>
      <x:c r="F143" t="str">
        <x:v>Heavy Armor</x:v>
      </x:c>
      <x:c r="G143" t="str">
        <x:v>heavy_gloves</x:v>
      </x:c>
      <x:c r="H143" t="str">
        <x:v>Season 1</x:v>
      </x:c>
      <x:c r="I143" t="str">
        <x:v>P2</x:v>
      </x:c>
      <x:c r="J143" t="str">
        <x:v>B13_EQUIPMENT_T7</x:v>
      </x:c>
      <x:c r="K143" t="str">
        <x:v>Image to 3D</x:v>
      </x:c>
      <x:c r="L143" t="str">
        <x:v>Yes</x:v>
      </x:c>
      <x:c r="M143" t="n">
        <x:v>1550</x:v>
      </x:c>
      <x:c r="N143" t="str">
        <x:v>1024</x:v>
      </x:c>
      <x:c r="O143" t="str">
        <x:v>No</x:v>
      </x:c>
      <x:c r="P143" t="str">
        <x:v>None</x:v>
      </x:c>
      <x:c r="Q143" t="str">
        <x:v>Prompts/ConceptArt/equipment_heavy_gloves_t07_base_concept_sheet.txt</x:v>
      </x:c>
      <x:c r="R143" t="str">
        <x:v>Prompts/Meshy/BaseGeometry/equipment_heavy_gloves_t07_base_geometry.txt</x:v>
      </x:c>
      <x:c r="S143" t="str">
        <x:v>Prompts/TextureVariants/equipment_heavy_gloves_t07_base_rarity_variants.txt</x:v>
      </x:c>
      <x:c r="T143" t="n">
        <x:v>2</x:v>
      </x:c>
      <x:c r="U143" t="n">
        <x:v>2</x:v>
      </x:c>
      <x:c r="V143" t="n">
        <x:v>1</x:v>
      </x:c>
      <x:c r="W143" t="n">
        <x:v>1</x:v>
      </x:c>
      <x:c r="X143" t="n">
        <x:v>0</x:v>
      </x:c>
      <x:c r="Y143" t="str">
        <x:v>readable at inventory scale; tier identity clear without UI; all six rarity variants preserve family; pivot and scale correct; no fragile geometry; URP PBR maps valid</x:v>
      </x:c>
      <x:c r="Z143" t="str">
        <x:v>Assets/_Game/Art/Equipment/HeavyArmor/heavy_gloves/T7/Models</x:v>
      </x:c>
      <x:c r="AA143" t="str">
        <x:v>Not Started</x:v>
      </x:c>
      <x:c r="AB143" t="str">
        <x:v>Pending</x:v>
      </x:c>
      <x:c r="AC143" s="18" t="n">
        <x:f>T143*'Settings &amp; Rates'!$B$5+U143*'Settings &amp; Rates'!$B$6+V143*'Settings &amp; Rates'!$B$7+W143*'Settings &amp; Rates'!$B$8+X143*'Settings &amp; Rates'!$B$9</x:f>
        <x:v>55</x:v>
      </x:c>
      <x:c r="AD143" s="18" t="n">
        <x:f>SUMIF('Attempt Log'!$B$2:$B$101,A143,'Attempt Log'!$K$2:$K$101)</x:f>
        <x:v>0</x:v>
      </x:c>
      <x:c r="AE143" s="18" t="n">
        <x:f>AD143-AC143</x:f>
        <x:v>-55</x:v>
      </x:c>
      <x:c r="AF143" t="n">
        <x:f>COUNTIF('Attempt Log'!$B$2:$B$101,A143)</x:f>
        <x:v>0</x:v>
      </x:c>
      <x:c r="AG143" t="n">
        <x:f>IFERROR(SUMIFS('Attempt Log'!$U$2:$U$101,'Attempt Log'!$B$2:$B$101,A143,'Attempt Log'!$N$2:$N$101,"Yes")/COUNTIFS('Attempt Log'!$B$2:$B$101,A143,'Attempt Log'!$N$2:$N$101,"Yes"),0)</x:f>
        <x:v>0</x:v>
      </x:c>
    </x:row>
    <x:row r="144">
      <x:c r="A144" t="str">
        <x:v>equipment_heavy_helmet_t07_base</x:v>
      </x:c>
      <x:c r="B144" t="str">
        <x:v>Elmo Pesado T7</x:v>
      </x:c>
      <x:c r="C144" t="str">
        <x:v>Heavy Helmet T7</x:v>
      </x:c>
      <x:c r="D144" t="str">
        <x:v>Task017</x:v>
      </x:c>
      <x:c r="E144" t="str">
        <x:v>Equipment</x:v>
      </x:c>
      <x:c r="F144" t="str">
        <x:v>Heavy Armor</x:v>
      </x:c>
      <x:c r="G144" t="str">
        <x:v>heavy_helmet</x:v>
      </x:c>
      <x:c r="H144" t="str">
        <x:v>Season 1</x:v>
      </x:c>
      <x:c r="I144" t="str">
        <x:v>P2</x:v>
      </x:c>
      <x:c r="J144" t="str">
        <x:v>B13_EQUIPMENT_T7</x:v>
      </x:c>
      <x:c r="K144" t="str">
        <x:v>Image to 3D</x:v>
      </x:c>
      <x:c r="L144" t="str">
        <x:v>Yes</x:v>
      </x:c>
      <x:c r="M144" t="n">
        <x:v>2200</x:v>
      </x:c>
      <x:c r="N144" t="str">
        <x:v>1024</x:v>
      </x:c>
      <x:c r="O144" t="str">
        <x:v>No</x:v>
      </x:c>
      <x:c r="P144" t="str">
        <x:v>None</x:v>
      </x:c>
      <x:c r="Q144" t="str">
        <x:v>Prompts/ConceptArt/equipment_heavy_helmet_t07_base_concept_sheet.txt</x:v>
      </x:c>
      <x:c r="R144" t="str">
        <x:v>Prompts/Meshy/BaseGeometry/equipment_heavy_helmet_t07_base_geometry.txt</x:v>
      </x:c>
      <x:c r="S144" t="str">
        <x:v>Prompts/TextureVariants/equipment_heavy_helmet_t07_base_rarity_variants.txt</x:v>
      </x:c>
      <x:c r="T144" t="n">
        <x:v>2</x:v>
      </x:c>
      <x:c r="U144" t="n">
        <x:v>2</x:v>
      </x:c>
      <x:c r="V144" t="n">
        <x:v>1</x:v>
      </x:c>
      <x:c r="W144" t="n">
        <x:v>1</x:v>
      </x:c>
      <x:c r="X144" t="n">
        <x:v>0</x:v>
      </x:c>
      <x:c r="Y144" t="str">
        <x:v>readable at inventory scale; tier identity clear without UI; all six rarity variants preserve family; pivot and scale correct; no fragile geometry; URP PBR maps valid</x:v>
      </x:c>
      <x:c r="Z144" t="str">
        <x:v>Assets/_Game/Art/Equipment/HeavyArmor/heavy_helmet/T7/Models</x:v>
      </x:c>
      <x:c r="AA144" t="str">
        <x:v>Not Started</x:v>
      </x:c>
      <x:c r="AB144" t="str">
        <x:v>Pending</x:v>
      </x:c>
      <x:c r="AC144" s="18" t="n">
        <x:f>T144*'Settings &amp; Rates'!$B$5+U144*'Settings &amp; Rates'!$B$6+V144*'Settings &amp; Rates'!$B$7+W144*'Settings &amp; Rates'!$B$8+X144*'Settings &amp; Rates'!$B$9</x:f>
        <x:v>55</x:v>
      </x:c>
      <x:c r="AD144" s="18" t="n">
        <x:f>SUMIF('Attempt Log'!$B$2:$B$101,A144,'Attempt Log'!$K$2:$K$101)</x:f>
        <x:v>0</x:v>
      </x:c>
      <x:c r="AE144" s="18" t="n">
        <x:f>AD144-AC144</x:f>
        <x:v>-55</x:v>
      </x:c>
      <x:c r="AF144" t="n">
        <x:f>COUNTIF('Attempt Log'!$B$2:$B$101,A144)</x:f>
        <x:v>0</x:v>
      </x:c>
      <x:c r="AG144" t="n">
        <x:f>IFERROR(SUMIFS('Attempt Log'!$U$2:$U$101,'Attempt Log'!$B$2:$B$101,A144,'Attempt Log'!$N$2:$N$101,"Yes")/COUNTIFS('Attempt Log'!$B$2:$B$101,A144,'Attempt Log'!$N$2:$N$101,"Yes"),0)</x:f>
        <x:v>0</x:v>
      </x:c>
    </x:row>
    <x:row r="145">
      <x:c r="A145" t="str">
        <x:v>equipment_light_boots_t07_base</x:v>
      </x:c>
      <x:c r="B145" t="str">
        <x:v>Botas Leves T7</x:v>
      </x:c>
      <x:c r="C145" t="str">
        <x:v>Light Boots T7</x:v>
      </x:c>
      <x:c r="D145" t="str">
        <x:v>Task017</x:v>
      </x:c>
      <x:c r="E145" t="str">
        <x:v>Equipment</x:v>
      </x:c>
      <x:c r="F145" t="str">
        <x:v>Light Armor</x:v>
      </x:c>
      <x:c r="G145" t="str">
        <x:v>light_boots</x:v>
      </x:c>
      <x:c r="H145" t="str">
        <x:v>Season 1</x:v>
      </x:c>
      <x:c r="I145" t="str">
        <x:v>P2</x:v>
      </x:c>
      <x:c r="J145" t="str">
        <x:v>B13_EQUIPMENT_T7</x:v>
      </x:c>
      <x:c r="K145" t="str">
        <x:v>Image to 3D</x:v>
      </x:c>
      <x:c r="L145" t="str">
        <x:v>Yes</x:v>
      </x:c>
      <x:c r="M145" t="n">
        <x:v>1450</x:v>
      </x:c>
      <x:c r="N145" t="str">
        <x:v>1024</x:v>
      </x:c>
      <x:c r="O145" t="str">
        <x:v>No</x:v>
      </x:c>
      <x:c r="P145" t="str">
        <x:v>None</x:v>
      </x:c>
      <x:c r="Q145" t="str">
        <x:v>Prompts/ConceptArt/equipment_light_boots_t07_base_concept_sheet.txt</x:v>
      </x:c>
      <x:c r="R145" t="str">
        <x:v>Prompts/Meshy/BaseGeometry/equipment_light_boots_t07_base_geometry.txt</x:v>
      </x:c>
      <x:c r="S145" t="str">
        <x:v>Prompts/TextureVariants/equipment_light_boots_t07_base_rarity_variants.txt</x:v>
      </x:c>
      <x:c r="T145" t="n">
        <x:v>2</x:v>
      </x:c>
      <x:c r="U145" t="n">
        <x:v>2</x:v>
      </x:c>
      <x:c r="V145" t="n">
        <x:v>1</x:v>
      </x:c>
      <x:c r="W145" t="n">
        <x:v>1</x:v>
      </x:c>
      <x:c r="X145" t="n">
        <x:v>0</x:v>
      </x:c>
      <x:c r="Y145" t="str">
        <x:v>readable at inventory scale; tier identity clear without UI; all six rarity variants preserve family; pivot and scale correct; no fragile geometry; URP PBR maps valid</x:v>
      </x:c>
      <x:c r="Z145" t="str">
        <x:v>Assets/_Game/Art/Equipment/LightArmor/light_boots/T7/Models</x:v>
      </x:c>
      <x:c r="AA145" t="str">
        <x:v>Not Started</x:v>
      </x:c>
      <x:c r="AB145" t="str">
        <x:v>Pending</x:v>
      </x:c>
      <x:c r="AC145" s="18" t="n">
        <x:f>T145*'Settings &amp; Rates'!$B$5+U145*'Settings &amp; Rates'!$B$6+V145*'Settings &amp; Rates'!$B$7+W145*'Settings &amp; Rates'!$B$8+X145*'Settings &amp; Rates'!$B$9</x:f>
        <x:v>55</x:v>
      </x:c>
      <x:c r="AD145" s="18" t="n">
        <x:f>SUMIF('Attempt Log'!$B$2:$B$101,A145,'Attempt Log'!$K$2:$K$101)</x:f>
        <x:v>0</x:v>
      </x:c>
      <x:c r="AE145" s="18" t="n">
        <x:f>AD145-AC145</x:f>
        <x:v>-55</x:v>
      </x:c>
      <x:c r="AF145" t="n">
        <x:f>COUNTIF('Attempt Log'!$B$2:$B$101,A145)</x:f>
        <x:v>0</x:v>
      </x:c>
      <x:c r="AG145" t="n">
        <x:f>IFERROR(SUMIFS('Attempt Log'!$U$2:$U$101,'Attempt Log'!$B$2:$B$101,A145,'Attempt Log'!$N$2:$N$101,"Yes")/COUNTIFS('Attempt Log'!$B$2:$B$101,A145,'Attempt Log'!$N$2:$N$101,"Yes"),0)</x:f>
        <x:v>0</x:v>
      </x:c>
    </x:row>
    <x:row r="146">
      <x:c r="A146" t="str">
        <x:v>equipment_light_chest_t07_base</x:v>
      </x:c>
      <x:c r="B146" t="str">
        <x:v>Armadura Leve T7</x:v>
      </x:c>
      <x:c r="C146" t="str">
        <x:v>Light Chest Armor T7</x:v>
      </x:c>
      <x:c r="D146" t="str">
        <x:v>Task017</x:v>
      </x:c>
      <x:c r="E146" t="str">
        <x:v>Equipment</x:v>
      </x:c>
      <x:c r="F146" t="str">
        <x:v>Light Armor</x:v>
      </x:c>
      <x:c r="G146" t="str">
        <x:v>light_chest</x:v>
      </x:c>
      <x:c r="H146" t="str">
        <x:v>Season 1</x:v>
      </x:c>
      <x:c r="I146" t="str">
        <x:v>P2</x:v>
      </x:c>
      <x:c r="J146" t="str">
        <x:v>B13_EQUIPMENT_T7</x:v>
      </x:c>
      <x:c r="K146" t="str">
        <x:v>Image to 3D</x:v>
      </x:c>
      <x:c r="L146" t="str">
        <x:v>Yes</x:v>
      </x:c>
      <x:c r="M146" t="n">
        <x:v>2800</x:v>
      </x:c>
      <x:c r="N146" t="str">
        <x:v>1024</x:v>
      </x:c>
      <x:c r="O146" t="str">
        <x:v>No</x:v>
      </x:c>
      <x:c r="P146" t="str">
        <x:v>None</x:v>
      </x:c>
      <x:c r="Q146" t="str">
        <x:v>Prompts/ConceptArt/equipment_light_chest_t07_base_concept_sheet.txt</x:v>
      </x:c>
      <x:c r="R146" t="str">
        <x:v>Prompts/Meshy/BaseGeometry/equipment_light_chest_t07_base_geometry.txt</x:v>
      </x:c>
      <x:c r="S146" t="str">
        <x:v>Prompts/TextureVariants/equipment_light_chest_t07_base_rarity_variants.txt</x:v>
      </x:c>
      <x:c r="T146" t="n">
        <x:v>2</x:v>
      </x:c>
      <x:c r="U146" t="n">
        <x:v>2</x:v>
      </x:c>
      <x:c r="V146" t="n">
        <x:v>1</x:v>
      </x:c>
      <x:c r="W146" t="n">
        <x:v>1</x:v>
      </x:c>
      <x:c r="X146" t="n">
        <x:v>0</x:v>
      </x:c>
      <x:c r="Y146" t="str">
        <x:v>readable at inventory scale; tier identity clear without UI; all six rarity variants preserve family; pivot and scale correct; no fragile geometry; URP PBR maps valid</x:v>
      </x:c>
      <x:c r="Z146" t="str">
        <x:v>Assets/_Game/Art/Equipment/LightArmor/light_chest/T7/Models</x:v>
      </x:c>
      <x:c r="AA146" t="str">
        <x:v>Not Started</x:v>
      </x:c>
      <x:c r="AB146" t="str">
        <x:v>Pending</x:v>
      </x:c>
      <x:c r="AC146" s="18" t="n">
        <x:f>T146*'Settings &amp; Rates'!$B$5+U146*'Settings &amp; Rates'!$B$6+V146*'Settings &amp; Rates'!$B$7+W146*'Settings &amp; Rates'!$B$8+X146*'Settings &amp; Rates'!$B$9</x:f>
        <x:v>55</x:v>
      </x:c>
      <x:c r="AD146" s="18" t="n">
        <x:f>SUMIF('Attempt Log'!$B$2:$B$101,A146,'Attempt Log'!$K$2:$K$101)</x:f>
        <x:v>0</x:v>
      </x:c>
      <x:c r="AE146" s="18" t="n">
        <x:f>AD146-AC146</x:f>
        <x:v>-55</x:v>
      </x:c>
      <x:c r="AF146" t="n">
        <x:f>COUNTIF('Attempt Log'!$B$2:$B$101,A146)</x:f>
        <x:v>0</x:v>
      </x:c>
      <x:c r="AG146" t="n">
        <x:f>IFERROR(SUMIFS('Attempt Log'!$U$2:$U$101,'Attempt Log'!$B$2:$B$101,A146,'Attempt Log'!$N$2:$N$101,"Yes")/COUNTIFS('Attempt Log'!$B$2:$B$101,A146,'Attempt Log'!$N$2:$N$101,"Yes"),0)</x:f>
        <x:v>0</x:v>
      </x:c>
    </x:row>
    <x:row r="147">
      <x:c r="A147" t="str">
        <x:v>equipment_light_gloves_t07_base</x:v>
      </x:c>
      <x:c r="B147" t="str">
        <x:v>Luvas Leves T7</x:v>
      </x:c>
      <x:c r="C147" t="str">
        <x:v>Light Gloves T7</x:v>
      </x:c>
      <x:c r="D147" t="str">
        <x:v>Task017</x:v>
      </x:c>
      <x:c r="E147" t="str">
        <x:v>Equipment</x:v>
      </x:c>
      <x:c r="F147" t="str">
        <x:v>Light Armor</x:v>
      </x:c>
      <x:c r="G147" t="str">
        <x:v>light_gloves</x:v>
      </x:c>
      <x:c r="H147" t="str">
        <x:v>Season 1</x:v>
      </x:c>
      <x:c r="I147" t="str">
        <x:v>P2</x:v>
      </x:c>
      <x:c r="J147" t="str">
        <x:v>B13_EQUIPMENT_T7</x:v>
      </x:c>
      <x:c r="K147" t="str">
        <x:v>Image to 3D</x:v>
      </x:c>
      <x:c r="L147" t="str">
        <x:v>Yes</x:v>
      </x:c>
      <x:c r="M147" t="n">
        <x:v>1200</x:v>
      </x:c>
      <x:c r="N147" t="str">
        <x:v>1024</x:v>
      </x:c>
      <x:c r="O147" t="str">
        <x:v>No</x:v>
      </x:c>
      <x:c r="P147" t="str">
        <x:v>None</x:v>
      </x:c>
      <x:c r="Q147" t="str">
        <x:v>Prompts/ConceptArt/equipment_light_gloves_t07_base_concept_sheet.txt</x:v>
      </x:c>
      <x:c r="R147" t="str">
        <x:v>Prompts/Meshy/BaseGeometry/equipment_light_gloves_t07_base_geometry.txt</x:v>
      </x:c>
      <x:c r="S147" t="str">
        <x:v>Prompts/TextureVariants/equipment_light_gloves_t07_base_rarity_variants.txt</x:v>
      </x:c>
      <x:c r="T147" t="n">
        <x:v>2</x:v>
      </x:c>
      <x:c r="U147" t="n">
        <x:v>2</x:v>
      </x:c>
      <x:c r="V147" t="n">
        <x:v>1</x:v>
      </x:c>
      <x:c r="W147" t="n">
        <x:v>1</x:v>
      </x:c>
      <x:c r="X147" t="n">
        <x:v>0</x:v>
      </x:c>
      <x:c r="Y147" t="str">
        <x:v>readable at inventory scale; tier identity clear without UI; all six rarity variants preserve family; pivot and scale correct; no fragile geometry; URP PBR maps valid</x:v>
      </x:c>
      <x:c r="Z147" t="str">
        <x:v>Assets/_Game/Art/Equipment/LightArmor/light_gloves/T7/Models</x:v>
      </x:c>
      <x:c r="AA147" t="str">
        <x:v>Not Started</x:v>
      </x:c>
      <x:c r="AB147" t="str">
        <x:v>Pending</x:v>
      </x:c>
      <x:c r="AC147" s="18" t="n">
        <x:f>T147*'Settings &amp; Rates'!$B$5+U147*'Settings &amp; Rates'!$B$6+V147*'Settings &amp; Rates'!$B$7+W147*'Settings &amp; Rates'!$B$8+X147*'Settings &amp; Rates'!$B$9</x:f>
        <x:v>55</x:v>
      </x:c>
      <x:c r="AD147" s="18" t="n">
        <x:f>SUMIF('Attempt Log'!$B$2:$B$101,A147,'Attempt Log'!$K$2:$K$101)</x:f>
        <x:v>0</x:v>
      </x:c>
      <x:c r="AE147" s="18" t="n">
        <x:f>AD147-AC147</x:f>
        <x:v>-55</x:v>
      </x:c>
      <x:c r="AF147" t="n">
        <x:f>COUNTIF('Attempt Log'!$B$2:$B$101,A147)</x:f>
        <x:v>0</x:v>
      </x:c>
      <x:c r="AG147" t="n">
        <x:f>IFERROR(SUMIFS('Attempt Log'!$U$2:$U$101,'Attempt Log'!$B$2:$B$101,A147,'Attempt Log'!$N$2:$N$101,"Yes")/COUNTIFS('Attempt Log'!$B$2:$B$101,A147,'Attempt Log'!$N$2:$N$101,"Yes"),0)</x:f>
        <x:v>0</x:v>
      </x:c>
    </x:row>
    <x:row r="148">
      <x:c r="A148" t="str">
        <x:v>equipment_light_hood_t07_base</x:v>
      </x:c>
      <x:c r="B148" t="str">
        <x:v>Capuz Leve T7</x:v>
      </x:c>
      <x:c r="C148" t="str">
        <x:v>Light Hood T7</x:v>
      </x:c>
      <x:c r="D148" t="str">
        <x:v>Task017</x:v>
      </x:c>
      <x:c r="E148" t="str">
        <x:v>Equipment</x:v>
      </x:c>
      <x:c r="F148" t="str">
        <x:v>Light Armor</x:v>
      </x:c>
      <x:c r="G148" t="str">
        <x:v>light_hood</x:v>
      </x:c>
      <x:c r="H148" t="str">
        <x:v>Season 1</x:v>
      </x:c>
      <x:c r="I148" t="str">
        <x:v>P2</x:v>
      </x:c>
      <x:c r="J148" t="str">
        <x:v>B13_EQUIPMENT_T7</x:v>
      </x:c>
      <x:c r="K148" t="str">
        <x:v>Image to 3D</x:v>
      </x:c>
      <x:c r="L148" t="str">
        <x:v>Yes</x:v>
      </x:c>
      <x:c r="M148" t="n">
        <x:v>1450</x:v>
      </x:c>
      <x:c r="N148" t="str">
        <x:v>1024</x:v>
      </x:c>
      <x:c r="O148" t="str">
        <x:v>No</x:v>
      </x:c>
      <x:c r="P148" t="str">
        <x:v>None</x:v>
      </x:c>
      <x:c r="Q148" t="str">
        <x:v>Prompts/ConceptArt/equipment_light_hood_t07_base_concept_sheet.txt</x:v>
      </x:c>
      <x:c r="R148" t="str">
        <x:v>Prompts/Meshy/BaseGeometry/equipment_light_hood_t07_base_geometry.txt</x:v>
      </x:c>
      <x:c r="S148" t="str">
        <x:v>Prompts/TextureVariants/equipment_light_hood_t07_base_rarity_variants.txt</x:v>
      </x:c>
      <x:c r="T148" t="n">
        <x:v>2</x:v>
      </x:c>
      <x:c r="U148" t="n">
        <x:v>2</x:v>
      </x:c>
      <x:c r="V148" t="n">
        <x:v>1</x:v>
      </x:c>
      <x:c r="W148" t="n">
        <x:v>1</x:v>
      </x:c>
      <x:c r="X148" t="n">
        <x:v>0</x:v>
      </x:c>
      <x:c r="Y148" t="str">
        <x:v>readable at inventory scale; tier identity clear without UI; all six rarity variants preserve family; pivot and scale correct; no fragile geometry; URP PBR maps valid</x:v>
      </x:c>
      <x:c r="Z148" t="str">
        <x:v>Assets/_Game/Art/Equipment/LightArmor/light_hood/T7/Models</x:v>
      </x:c>
      <x:c r="AA148" t="str">
        <x:v>Not Started</x:v>
      </x:c>
      <x:c r="AB148" t="str">
        <x:v>Pending</x:v>
      </x:c>
      <x:c r="AC148" s="18" t="n">
        <x:f>T148*'Settings &amp; Rates'!$B$5+U148*'Settings &amp; Rates'!$B$6+V148*'Settings &amp; Rates'!$B$7+W148*'Settings &amp; Rates'!$B$8+X148*'Settings &amp; Rates'!$B$9</x:f>
        <x:v>55</x:v>
      </x:c>
      <x:c r="AD148" s="18" t="n">
        <x:f>SUMIF('Attempt Log'!$B$2:$B$101,A148,'Attempt Log'!$K$2:$K$101)</x:f>
        <x:v>0</x:v>
      </x:c>
      <x:c r="AE148" s="18" t="n">
        <x:f>AD148-AC148</x:f>
        <x:v>-55</x:v>
      </x:c>
      <x:c r="AF148" t="n">
        <x:f>COUNTIF('Attempt Log'!$B$2:$B$101,A148)</x:f>
        <x:v>0</x:v>
      </x:c>
      <x:c r="AG148" t="n">
        <x:f>IFERROR(SUMIFS('Attempt Log'!$U$2:$U$101,'Attempt Log'!$B$2:$B$101,A148,'Attempt Log'!$N$2:$N$101,"Yes")/COUNTIFS('Attempt Log'!$B$2:$B$101,A148,'Attempt Log'!$N$2:$N$101,"Yes"),0)</x:f>
        <x:v>0</x:v>
      </x:c>
    </x:row>
    <x:row r="149">
      <x:c r="A149" t="str">
        <x:v>equipment_longbow_t07_base</x:v>
      </x:c>
      <x:c r="B149" t="str">
        <x:v>Arco Longo T7</x:v>
      </x:c>
      <x:c r="C149" t="str">
        <x:v>Longbow T7</x:v>
      </x:c>
      <x:c r="D149" t="str">
        <x:v>Task017</x:v>
      </x:c>
      <x:c r="E149" t="str">
        <x:v>Equipment</x:v>
      </x:c>
      <x:c r="F149" t="str">
        <x:v>Weapon</x:v>
      </x:c>
      <x:c r="G149" t="str">
        <x:v>longbow</x:v>
      </x:c>
      <x:c r="H149" t="str">
        <x:v>Season 1</x:v>
      </x:c>
      <x:c r="I149" t="str">
        <x:v>P2</x:v>
      </x:c>
      <x:c r="J149" t="str">
        <x:v>B13_EQUIPMENT_T7</x:v>
      </x:c>
      <x:c r="K149" t="str">
        <x:v>Text to 3D</x:v>
      </x:c>
      <x:c r="L149" t="str">
        <x:v>Optional</x:v>
      </x:c>
      <x:c r="M149" t="n">
        <x:v>1700</x:v>
      </x:c>
      <x:c r="N149" t="str">
        <x:v>1024</x:v>
      </x:c>
      <x:c r="O149" t="str">
        <x:v>No</x:v>
      </x:c>
      <x:c r="P149" t="str">
        <x:v>None</x:v>
      </x:c>
      <x:c r="Q149" t="str">
        <x:v>Prompts/ConceptArt/equipment_longbow_t07_base_concept_sheet.txt</x:v>
      </x:c>
      <x:c r="R149" t="str">
        <x:v>Prompts/Meshy/BaseGeometry/equipment_longbow_t07_base_geometry.txt</x:v>
      </x:c>
      <x:c r="S149" t="str">
        <x:v>Prompts/TextureVariants/equipment_longbow_t07_base_rarity_variants.txt</x:v>
      </x:c>
      <x:c r="T149" t="n">
        <x:v>1</x:v>
      </x:c>
      <x:c r="U149" t="n">
        <x:v>2</x:v>
      </x:c>
      <x:c r="V149" t="n">
        <x:v>1</x:v>
      </x:c>
      <x:c r="W149" t="n">
        <x:v>1</x:v>
      </x:c>
      <x:c r="X149" t="n">
        <x:v>0</x:v>
      </x:c>
      <x:c r="Y149" t="str">
        <x:v>readable at inventory scale; tier identity clear without UI; all six rarity variants preserve family; pivot and scale correct; no fragile geometry; URP PBR maps valid</x:v>
      </x:c>
      <x:c r="Z149" t="str">
        <x:v>Assets/_Game/Art/Equipment/Weapon/longbow/T7/Models</x:v>
      </x:c>
      <x:c r="AA149" t="str">
        <x:v>Not Started</x:v>
      </x:c>
      <x:c r="AB149" t="str">
        <x:v>Pending</x:v>
      </x:c>
      <x:c r="AC149" s="18" t="n">
        <x:f>T149*'Settings &amp; Rates'!$B$5+U149*'Settings &amp; Rates'!$B$6+V149*'Settings &amp; Rates'!$B$7+W149*'Settings &amp; Rates'!$B$8+X149*'Settings &amp; Rates'!$B$9</x:f>
        <x:v>55</x:v>
      </x:c>
      <x:c r="AD149" s="18" t="n">
        <x:f>SUMIF('Attempt Log'!$B$2:$B$101,A149,'Attempt Log'!$K$2:$K$101)</x:f>
        <x:v>0</x:v>
      </x:c>
      <x:c r="AE149" s="18" t="n">
        <x:f>AD149-AC149</x:f>
        <x:v>-55</x:v>
      </x:c>
      <x:c r="AF149" t="n">
        <x:f>COUNTIF('Attempt Log'!$B$2:$B$101,A149)</x:f>
        <x:v>0</x:v>
      </x:c>
      <x:c r="AG149" t="n">
        <x:f>IFERROR(SUMIFS('Attempt Log'!$U$2:$U$101,'Attempt Log'!$B$2:$B$101,A149,'Attempt Log'!$N$2:$N$101,"Yes")/COUNTIFS('Attempt Log'!$B$2:$B$101,A149,'Attempt Log'!$N$2:$N$101,"Yes"),0)</x:f>
        <x:v>0</x:v>
      </x:c>
    </x:row>
    <x:row r="150">
      <x:c r="A150" t="str">
        <x:v>equipment_ring_t07_base</x:v>
      </x:c>
      <x:c r="B150" t="str">
        <x:v>Anel T7</x:v>
      </x:c>
      <x:c r="C150" t="str">
        <x:v>Ring T7</x:v>
      </x:c>
      <x:c r="D150" t="str">
        <x:v>Task017</x:v>
      </x:c>
      <x:c r="E150" t="str">
        <x:v>Equipment</x:v>
      </x:c>
      <x:c r="F150" t="str">
        <x:v>Accessory</x:v>
      </x:c>
      <x:c r="G150" t="str">
        <x:v>ring</x:v>
      </x:c>
      <x:c r="H150" t="str">
        <x:v>Season 1</x:v>
      </x:c>
      <x:c r="I150" t="str">
        <x:v>P2</x:v>
      </x:c>
      <x:c r="J150" t="str">
        <x:v>B13_EQUIPMENT_T7</x:v>
      </x:c>
      <x:c r="K150" t="str">
        <x:v>Text to 3D</x:v>
      </x:c>
      <x:c r="L150" t="str">
        <x:v>Optional</x:v>
      </x:c>
      <x:c r="M150" t="n">
        <x:v>550</x:v>
      </x:c>
      <x:c r="N150" t="str">
        <x:v>512</x:v>
      </x:c>
      <x:c r="O150" t="str">
        <x:v>No</x:v>
      </x:c>
      <x:c r="P150" t="str">
        <x:v>None</x:v>
      </x:c>
      <x:c r="Q150" t="str">
        <x:v>Prompts/ConceptArt/equipment_ring_t07_base_concept_sheet.txt</x:v>
      </x:c>
      <x:c r="R150" t="str">
        <x:v>Prompts/Meshy/BaseGeometry/equipment_ring_t07_base_geometry.txt</x:v>
      </x:c>
      <x:c r="S150" t="str">
        <x:v>Prompts/TextureVariants/equipment_ring_t07_base_rarity_variants.txt</x:v>
      </x:c>
      <x:c r="T150" t="n">
        <x:v>1</x:v>
      </x:c>
      <x:c r="U150" t="n">
        <x:v>2</x:v>
      </x:c>
      <x:c r="V150" t="n">
        <x:v>1</x:v>
      </x:c>
      <x:c r="W150" t="n">
        <x:v>1</x:v>
      </x:c>
      <x:c r="X150" t="n">
        <x:v>0</x:v>
      </x:c>
      <x:c r="Y150" t="str">
        <x:v>readable at inventory scale; tier identity clear without UI; all six rarity variants preserve family; pivot and scale correct; no fragile geometry; URP PBR maps valid</x:v>
      </x:c>
      <x:c r="Z150" t="str">
        <x:v>Assets/_Game/Art/Equipment/Accessory/ring/T7/Models</x:v>
      </x:c>
      <x:c r="AA150" t="str">
        <x:v>Not Started</x:v>
      </x:c>
      <x:c r="AB150" t="str">
        <x:v>Pending</x:v>
      </x:c>
      <x:c r="AC150" s="18" t="n">
        <x:f>T150*'Settings &amp; Rates'!$B$5+U150*'Settings &amp; Rates'!$B$6+V150*'Settings &amp; Rates'!$B$7+W150*'Settings &amp; Rates'!$B$8+X150*'Settings &amp; Rates'!$B$9</x:f>
        <x:v>55</x:v>
      </x:c>
      <x:c r="AD150" s="18" t="n">
        <x:f>SUMIF('Attempt Log'!$B$2:$B$101,A150,'Attempt Log'!$K$2:$K$101)</x:f>
        <x:v>0</x:v>
      </x:c>
      <x:c r="AE150" s="18" t="n">
        <x:f>AD150-AC150</x:f>
        <x:v>-55</x:v>
      </x:c>
      <x:c r="AF150" t="n">
        <x:f>COUNTIF('Attempt Log'!$B$2:$B$101,A150)</x:f>
        <x:v>0</x:v>
      </x:c>
      <x:c r="AG150" t="n">
        <x:f>IFERROR(SUMIFS('Attempt Log'!$U$2:$U$101,'Attempt Log'!$B$2:$B$101,A150,'Attempt Log'!$N$2:$N$101,"Yes")/COUNTIFS('Attempt Log'!$B$2:$B$101,A150,'Attempt Log'!$N$2:$N$101,"Yes"),0)</x:f>
        <x:v>0</x:v>
      </x:c>
    </x:row>
    <x:row r="151">
      <x:c r="A151" t="str">
        <x:v>equipment_shield_t07_base</x:v>
      </x:c>
      <x:c r="B151" t="str">
        <x:v>Escudo T7</x:v>
      </x:c>
      <x:c r="C151" t="str">
        <x:v>Shield T7</x:v>
      </x:c>
      <x:c r="D151" t="str">
        <x:v>Task017</x:v>
      </x:c>
      <x:c r="E151" t="str">
        <x:v>Equipment</x:v>
      </x:c>
      <x:c r="F151" t="str">
        <x:v>Weapon</x:v>
      </x:c>
      <x:c r="G151" t="str">
        <x:v>shield</x:v>
      </x:c>
      <x:c r="H151" t="str">
        <x:v>Season 1</x:v>
      </x:c>
      <x:c r="I151" t="str">
        <x:v>P2</x:v>
      </x:c>
      <x:c r="J151" t="str">
        <x:v>B13_EQUIPMENT_T7</x:v>
      </x:c>
      <x:c r="K151" t="str">
        <x:v>Text to 3D</x:v>
      </x:c>
      <x:c r="L151" t="str">
        <x:v>Optional</x:v>
      </x:c>
      <x:c r="M151" t="n">
        <x:v>2500</x:v>
      </x:c>
      <x:c r="N151" t="str">
        <x:v>1024</x:v>
      </x:c>
      <x:c r="O151" t="str">
        <x:v>No</x:v>
      </x:c>
      <x:c r="P151" t="str">
        <x:v>None</x:v>
      </x:c>
      <x:c r="Q151" t="str">
        <x:v>Prompts/ConceptArt/equipment_shield_t07_base_concept_sheet.txt</x:v>
      </x:c>
      <x:c r="R151" t="str">
        <x:v>Prompts/Meshy/BaseGeometry/equipment_shield_t07_base_geometry.txt</x:v>
      </x:c>
      <x:c r="S151" t="str">
        <x:v>Prompts/TextureVariants/equipment_shield_t07_base_rarity_variants.txt</x:v>
      </x:c>
      <x:c r="T151" t="n">
        <x:v>1</x:v>
      </x:c>
      <x:c r="U151" t="n">
        <x:v>2</x:v>
      </x:c>
      <x:c r="V151" t="n">
        <x:v>1</x:v>
      </x:c>
      <x:c r="W151" t="n">
        <x:v>1</x:v>
      </x:c>
      <x:c r="X151" t="n">
        <x:v>0</x:v>
      </x:c>
      <x:c r="Y151" t="str">
        <x:v>readable at inventory scale; tier identity clear without UI; all six rarity variants preserve family; pivot and scale correct; no fragile geometry; URP PBR maps valid</x:v>
      </x:c>
      <x:c r="Z151" t="str">
        <x:v>Assets/_Game/Art/Equipment/Weapon/shield/T7/Models</x:v>
      </x:c>
      <x:c r="AA151" t="str">
        <x:v>Not Started</x:v>
      </x:c>
      <x:c r="AB151" t="str">
        <x:v>Pending</x:v>
      </x:c>
      <x:c r="AC151" s="18" t="n">
        <x:f>T151*'Settings &amp; Rates'!$B$5+U151*'Settings &amp; Rates'!$B$6+V151*'Settings &amp; Rates'!$B$7+W151*'Settings &amp; Rates'!$B$8+X151*'Settings &amp; Rates'!$B$9</x:f>
        <x:v>55</x:v>
      </x:c>
      <x:c r="AD151" s="18" t="n">
        <x:f>SUMIF('Attempt Log'!$B$2:$B$101,A151,'Attempt Log'!$K$2:$K$101)</x:f>
        <x:v>0</x:v>
      </x:c>
      <x:c r="AE151" s="18" t="n">
        <x:f>AD151-AC151</x:f>
        <x:v>-55</x:v>
      </x:c>
      <x:c r="AF151" t="n">
        <x:f>COUNTIF('Attempt Log'!$B$2:$B$101,A151)</x:f>
        <x:v>0</x:v>
      </x:c>
      <x:c r="AG151" t="n">
        <x:f>IFERROR(SUMIFS('Attempt Log'!$U$2:$U$101,'Attempt Log'!$B$2:$B$101,A151,'Attempt Log'!$N$2:$N$101,"Yes")/COUNTIFS('Attempt Log'!$B$2:$B$101,A151,'Attempt Log'!$N$2:$N$101,"Yes"),0)</x:f>
        <x:v>0</x:v>
      </x:c>
    </x:row>
    <x:row r="152">
      <x:c r="A152" t="str">
        <x:v>equipment_staff_t07_base</x:v>
      </x:c>
      <x:c r="B152" t="str">
        <x:v>Cajado T7</x:v>
      </x:c>
      <x:c r="C152" t="str">
        <x:v>Staff T7</x:v>
      </x:c>
      <x:c r="D152" t="str">
        <x:v>Task017</x:v>
      </x:c>
      <x:c r="E152" t="str">
        <x:v>Equipment</x:v>
      </x:c>
      <x:c r="F152" t="str">
        <x:v>Weapon</x:v>
      </x:c>
      <x:c r="G152" t="str">
        <x:v>staff</x:v>
      </x:c>
      <x:c r="H152" t="str">
        <x:v>Season 1</x:v>
      </x:c>
      <x:c r="I152" t="str">
        <x:v>P2</x:v>
      </x:c>
      <x:c r="J152" t="str">
        <x:v>B13_EQUIPMENT_T7</x:v>
      </x:c>
      <x:c r="K152" t="str">
        <x:v>Text to 3D</x:v>
      </x:c>
      <x:c r="L152" t="str">
        <x:v>Optional</x:v>
      </x:c>
      <x:c r="M152" t="n">
        <x:v>2400</x:v>
      </x:c>
      <x:c r="N152" t="str">
        <x:v>1024</x:v>
      </x:c>
      <x:c r="O152" t="str">
        <x:v>No</x:v>
      </x:c>
      <x:c r="P152" t="str">
        <x:v>None</x:v>
      </x:c>
      <x:c r="Q152" t="str">
        <x:v>Prompts/ConceptArt/equipment_staff_t07_base_concept_sheet.txt</x:v>
      </x:c>
      <x:c r="R152" t="str">
        <x:v>Prompts/Meshy/BaseGeometry/equipment_staff_t07_base_geometry.txt</x:v>
      </x:c>
      <x:c r="S152" t="str">
        <x:v>Prompts/TextureVariants/equipment_staff_t07_base_rarity_variants.txt</x:v>
      </x:c>
      <x:c r="T152" t="n">
        <x:v>1</x:v>
      </x:c>
      <x:c r="U152" t="n">
        <x:v>2</x:v>
      </x:c>
      <x:c r="V152" t="n">
        <x:v>1</x:v>
      </x:c>
      <x:c r="W152" t="n">
        <x:v>1</x:v>
      </x:c>
      <x:c r="X152" t="n">
        <x:v>0</x:v>
      </x:c>
      <x:c r="Y152" t="str">
        <x:v>readable at inventory scale; tier identity clear without UI; all six rarity variants preserve family; pivot and scale correct; no fragile geometry; URP PBR maps valid</x:v>
      </x:c>
      <x:c r="Z152" t="str">
        <x:v>Assets/_Game/Art/Equipment/Weapon/staff/T7/Models</x:v>
      </x:c>
      <x:c r="AA152" t="str">
        <x:v>Not Started</x:v>
      </x:c>
      <x:c r="AB152" t="str">
        <x:v>Pending</x:v>
      </x:c>
      <x:c r="AC152" s="18" t="n">
        <x:f>T152*'Settings &amp; Rates'!$B$5+U152*'Settings &amp; Rates'!$B$6+V152*'Settings &amp; Rates'!$B$7+W152*'Settings &amp; Rates'!$B$8+X152*'Settings &amp; Rates'!$B$9</x:f>
        <x:v>55</x:v>
      </x:c>
      <x:c r="AD152" s="18" t="n">
        <x:f>SUMIF('Attempt Log'!$B$2:$B$101,A152,'Attempt Log'!$K$2:$K$101)</x:f>
        <x:v>0</x:v>
      </x:c>
      <x:c r="AE152" s="18" t="n">
        <x:f>AD152-AC152</x:f>
        <x:v>-55</x:v>
      </x:c>
      <x:c r="AF152" t="n">
        <x:f>COUNTIF('Attempt Log'!$B$2:$B$101,A152)</x:f>
        <x:v>0</x:v>
      </x:c>
      <x:c r="AG152" t="n">
        <x:f>IFERROR(SUMIFS('Attempt Log'!$U$2:$U$101,'Attempt Log'!$B$2:$B$101,A152,'Attempt Log'!$N$2:$N$101,"Yes")/COUNTIFS('Attempt Log'!$B$2:$B$101,A152,'Attempt Log'!$N$2:$N$101,"Yes"),0)</x:f>
        <x:v>0</x:v>
      </x:c>
    </x:row>
    <x:row r="153">
      <x:c r="A153" t="str">
        <x:v>equipment_sword_1h_t07_base</x:v>
      </x:c>
      <x:c r="B153" t="str">
        <x:v>Espada de Uma Mão T7</x:v>
      </x:c>
      <x:c r="C153" t="str">
        <x:v>One-Handed Sword T7</x:v>
      </x:c>
      <x:c r="D153" t="str">
        <x:v>Task017</x:v>
      </x:c>
      <x:c r="E153" t="str">
        <x:v>Equipment</x:v>
      </x:c>
      <x:c r="F153" t="str">
        <x:v>Weapon</x:v>
      </x:c>
      <x:c r="G153" t="str">
        <x:v>sword_1h</x:v>
      </x:c>
      <x:c r="H153" t="str">
        <x:v>Season 1</x:v>
      </x:c>
      <x:c r="I153" t="str">
        <x:v>P2</x:v>
      </x:c>
      <x:c r="J153" t="str">
        <x:v>B13_EQUIPMENT_T7</x:v>
      </x:c>
      <x:c r="K153" t="str">
        <x:v>Text to 3D</x:v>
      </x:c>
      <x:c r="L153" t="str">
        <x:v>Optional</x:v>
      </x:c>
      <x:c r="M153" t="n">
        <x:v>2000</x:v>
      </x:c>
      <x:c r="N153" t="str">
        <x:v>1024</x:v>
      </x:c>
      <x:c r="O153" t="str">
        <x:v>No</x:v>
      </x:c>
      <x:c r="P153" t="str">
        <x:v>None</x:v>
      </x:c>
      <x:c r="Q153" t="str">
        <x:v>Prompts/ConceptArt/equipment_sword_1h_t07_base_concept_sheet.txt</x:v>
      </x:c>
      <x:c r="R153" t="str">
        <x:v>Prompts/Meshy/BaseGeometry/equipment_sword_1h_t07_base_geometry.txt</x:v>
      </x:c>
      <x:c r="S153" t="str">
        <x:v>Prompts/TextureVariants/equipment_sword_1h_t07_base_rarity_variants.txt</x:v>
      </x:c>
      <x:c r="T153" t="n">
        <x:v>1</x:v>
      </x:c>
      <x:c r="U153" t="n">
        <x:v>2</x:v>
      </x:c>
      <x:c r="V153" t="n">
        <x:v>1</x:v>
      </x:c>
      <x:c r="W153" t="n">
        <x:v>1</x:v>
      </x:c>
      <x:c r="X153" t="n">
        <x:v>0</x:v>
      </x:c>
      <x:c r="Y153" t="str">
        <x:v>readable at inventory scale; tier identity clear without UI; all six rarity variants preserve family; pivot and scale correct; no fragile geometry; URP PBR maps valid</x:v>
      </x:c>
      <x:c r="Z153" t="str">
        <x:v>Assets/_Game/Art/Equipment/Weapon/sword_1h/T7/Models</x:v>
      </x:c>
      <x:c r="AA153" t="str">
        <x:v>Not Started</x:v>
      </x:c>
      <x:c r="AB153" t="str">
        <x:v>Pending</x:v>
      </x:c>
      <x:c r="AC153" s="18" t="n">
        <x:f>T153*'Settings &amp; Rates'!$B$5+U153*'Settings &amp; Rates'!$B$6+V153*'Settings &amp; Rates'!$B$7+W153*'Settings &amp; Rates'!$B$8+X153*'Settings &amp; Rates'!$B$9</x:f>
        <x:v>55</x:v>
      </x:c>
      <x:c r="AD153" s="18" t="n">
        <x:f>SUMIF('Attempt Log'!$B$2:$B$101,A153,'Attempt Log'!$K$2:$K$101)</x:f>
        <x:v>0</x:v>
      </x:c>
      <x:c r="AE153" s="18" t="n">
        <x:f>AD153-AC153</x:f>
        <x:v>-55</x:v>
      </x:c>
      <x:c r="AF153" t="n">
        <x:f>COUNTIF('Attempt Log'!$B$2:$B$101,A153)</x:f>
        <x:v>0</x:v>
      </x:c>
      <x:c r="AG153" t="n">
        <x:f>IFERROR(SUMIFS('Attempt Log'!$U$2:$U$101,'Attempt Log'!$B$2:$B$101,A153,'Attempt Log'!$N$2:$N$101,"Yes")/COUNTIFS('Attempt Log'!$B$2:$B$101,A153,'Attempt Log'!$N$2:$N$101,"Yes"),0)</x:f>
        <x:v>0</x:v>
      </x:c>
    </x:row>
    <x:row r="154">
      <x:c r="A154" t="str">
        <x:v>equipment_amulet_t08_base</x:v>
      </x:c>
      <x:c r="B154" t="str">
        <x:v>Amuleto T8</x:v>
      </x:c>
      <x:c r="C154" t="str">
        <x:v>Amulet T8</x:v>
      </x:c>
      <x:c r="D154" t="str">
        <x:v>Task017</x:v>
      </x:c>
      <x:c r="E154" t="str">
        <x:v>Equipment</x:v>
      </x:c>
      <x:c r="F154" t="str">
        <x:v>Accessory</x:v>
      </x:c>
      <x:c r="G154" t="str">
        <x:v>amulet</x:v>
      </x:c>
      <x:c r="H154" t="str">
        <x:v>Post-MVP</x:v>
      </x:c>
      <x:c r="I154" t="str">
        <x:v>P3</x:v>
      </x:c>
      <x:c r="J154" t="str">
        <x:v>B14_EQUIPMENT_T8</x:v>
      </x:c>
      <x:c r="K154" t="str">
        <x:v>Text to 3D</x:v>
      </x:c>
      <x:c r="L154" t="str">
        <x:v>Optional</x:v>
      </x:c>
      <x:c r="M154" t="n">
        <x:v>900</x:v>
      </x:c>
      <x:c r="N154" t="str">
        <x:v>512</x:v>
      </x:c>
      <x:c r="O154" t="str">
        <x:v>No</x:v>
      </x:c>
      <x:c r="P154" t="str">
        <x:v>None</x:v>
      </x:c>
      <x:c r="Q154" t="str">
        <x:v>Prompts/ConceptArt/equipment_amulet_t08_base_concept_sheet.txt</x:v>
      </x:c>
      <x:c r="R154" t="str">
        <x:v>Prompts/Meshy/BaseGeometry/equipment_amulet_t08_base_geometry.txt</x:v>
      </x:c>
      <x:c r="S154" t="str">
        <x:v>Prompts/TextureVariants/equipment_amulet_t08_base_rarity_variants.txt</x:v>
      </x:c>
      <x:c r="T154" t="n">
        <x:v>1</x:v>
      </x:c>
      <x:c r="U154" t="n">
        <x:v>1</x:v>
      </x:c>
      <x:c r="V154" t="n">
        <x:v>1</x:v>
      </x:c>
      <x:c r="W154" t="n">
        <x:v>1</x:v>
      </x:c>
      <x:c r="X154" t="n">
        <x:v>0</x:v>
      </x:c>
      <x:c r="Y154" t="str">
        <x:v>readable at inventory scale; tier identity clear without UI; all six rarity variants preserve family; pivot and scale correct; no fragile geometry; URP PBR maps valid</x:v>
      </x:c>
      <x:c r="Z154" t="str">
        <x:v>Assets/_Game/Art/Equipment/Accessory/amulet/T8/Models</x:v>
      </x:c>
      <x:c r="AA154" t="str">
        <x:v>Not Started</x:v>
      </x:c>
      <x:c r="AB154" t="str">
        <x:v>Pending</x:v>
      </x:c>
      <x:c r="AC154" s="18" t="n">
        <x:f>T154*'Settings &amp; Rates'!$B$5+U154*'Settings &amp; Rates'!$B$6+V154*'Settings &amp; Rates'!$B$7+W154*'Settings &amp; Rates'!$B$8+X154*'Settings &amp; Rates'!$B$9</x:f>
        <x:v>35</x:v>
      </x:c>
      <x:c r="AD154" s="18" t="n">
        <x:f>SUMIF('Attempt Log'!$B$2:$B$101,A154,'Attempt Log'!$K$2:$K$101)</x:f>
        <x:v>0</x:v>
      </x:c>
      <x:c r="AE154" s="18" t="n">
        <x:f>AD154-AC154</x:f>
        <x:v>-35</x:v>
      </x:c>
      <x:c r="AF154" t="n">
        <x:f>COUNTIF('Attempt Log'!$B$2:$B$101,A154)</x:f>
        <x:v>0</x:v>
      </x:c>
      <x:c r="AG154" t="n">
        <x:f>IFERROR(SUMIFS('Attempt Log'!$U$2:$U$101,'Attempt Log'!$B$2:$B$101,A154,'Attempt Log'!$N$2:$N$101,"Yes")/COUNTIFS('Attempt Log'!$B$2:$B$101,A154,'Attempt Log'!$N$2:$N$101,"Yes"),0)</x:f>
        <x:v>0</x:v>
      </x:c>
    </x:row>
    <x:row r="155">
      <x:c r="A155" t="str">
        <x:v>equipment_cloth_boots_t08_base</x:v>
      </x:c>
      <x:c r="B155" t="str">
        <x:v>Botas Arcanas T8</x:v>
      </x:c>
      <x:c r="C155" t="str">
        <x:v>Arcane Boots T8</x:v>
      </x:c>
      <x:c r="D155" t="str">
        <x:v>Task017</x:v>
      </x:c>
      <x:c r="E155" t="str">
        <x:v>Equipment</x:v>
      </x:c>
      <x:c r="F155" t="str">
        <x:v>Cloth Armor</x:v>
      </x:c>
      <x:c r="G155" t="str">
        <x:v>cloth_boots</x:v>
      </x:c>
      <x:c r="H155" t="str">
        <x:v>Post-MVP</x:v>
      </x:c>
      <x:c r="I155" t="str">
        <x:v>P3</x:v>
      </x:c>
      <x:c r="J155" t="str">
        <x:v>B14_EQUIPMENT_T8</x:v>
      </x:c>
      <x:c r="K155" t="str">
        <x:v>Image to 3D</x:v>
      </x:c>
      <x:c r="L155" t="str">
        <x:v>Yes</x:v>
      </x:c>
      <x:c r="M155" t="n">
        <x:v>1450</x:v>
      </x:c>
      <x:c r="N155" t="str">
        <x:v>1024</x:v>
      </x:c>
      <x:c r="O155" t="str">
        <x:v>No</x:v>
      </x:c>
      <x:c r="P155" t="str">
        <x:v>None</x:v>
      </x:c>
      <x:c r="Q155" t="str">
        <x:v>Prompts/ConceptArt/equipment_cloth_boots_t08_base_concept_sheet.txt</x:v>
      </x:c>
      <x:c r="R155" t="str">
        <x:v>Prompts/Meshy/BaseGeometry/equipment_cloth_boots_t08_base_geometry.txt</x:v>
      </x:c>
      <x:c r="S155" t="str">
        <x:v>Prompts/TextureVariants/equipment_cloth_boots_t08_base_rarity_variants.txt</x:v>
      </x:c>
      <x:c r="T155" t="n">
        <x:v>2</x:v>
      </x:c>
      <x:c r="U155" t="n">
        <x:v>1</x:v>
      </x:c>
      <x:c r="V155" t="n">
        <x:v>1</x:v>
      </x:c>
      <x:c r="W155" t="n">
        <x:v>1</x:v>
      </x:c>
      <x:c r="X155" t="n">
        <x:v>0</x:v>
      </x:c>
      <x:c r="Y155" t="str">
        <x:v>readable at inventory scale; tier identity clear without UI; all six rarity variants preserve family; pivot and scale correct; no fragile geometry; URP PBR maps valid</x:v>
      </x:c>
      <x:c r="Z155" t="str">
        <x:v>Assets/_Game/Art/Equipment/ClothArmor/cloth_boots/T8/Models</x:v>
      </x:c>
      <x:c r="AA155" t="str">
        <x:v>Not Started</x:v>
      </x:c>
      <x:c r="AB155" t="str">
        <x:v>Pending</x:v>
      </x:c>
      <x:c r="AC155" s="18" t="n">
        <x:f>T155*'Settings &amp; Rates'!$B$5+U155*'Settings &amp; Rates'!$B$6+V155*'Settings &amp; Rates'!$B$7+W155*'Settings &amp; Rates'!$B$8+X155*'Settings &amp; Rates'!$B$9</x:f>
        <x:v>35</x:v>
      </x:c>
      <x:c r="AD155" s="18" t="n">
        <x:f>SUMIF('Attempt Log'!$B$2:$B$101,A155,'Attempt Log'!$K$2:$K$101)</x:f>
        <x:v>0</x:v>
      </x:c>
      <x:c r="AE155" s="18" t="n">
        <x:f>AD155-AC155</x:f>
        <x:v>-35</x:v>
      </x:c>
      <x:c r="AF155" t="n">
        <x:f>COUNTIF('Attempt Log'!$B$2:$B$101,A155)</x:f>
        <x:v>0</x:v>
      </x:c>
      <x:c r="AG155" t="n">
        <x:f>IFERROR(SUMIFS('Attempt Log'!$U$2:$U$101,'Attempt Log'!$B$2:$B$101,A155,'Attempt Log'!$N$2:$N$101,"Yes")/COUNTIFS('Attempt Log'!$B$2:$B$101,A155,'Attempt Log'!$N$2:$N$101,"Yes"),0)</x:f>
        <x:v>0</x:v>
      </x:c>
    </x:row>
    <x:row r="156">
      <x:c r="A156" t="str">
        <x:v>equipment_cloth_gloves_t08_base</x:v>
      </x:c>
      <x:c r="B156" t="str">
        <x:v>Luvas Arcanas T8</x:v>
      </x:c>
      <x:c r="C156" t="str">
        <x:v>Arcane Gloves T8</x:v>
      </x:c>
      <x:c r="D156" t="str">
        <x:v>Task017</x:v>
      </x:c>
      <x:c r="E156" t="str">
        <x:v>Equipment</x:v>
      </x:c>
      <x:c r="F156" t="str">
        <x:v>Cloth Armor</x:v>
      </x:c>
      <x:c r="G156" t="str">
        <x:v>cloth_gloves</x:v>
      </x:c>
      <x:c r="H156" t="str">
        <x:v>Post-MVP</x:v>
      </x:c>
      <x:c r="I156" t="str">
        <x:v>P3</x:v>
      </x:c>
      <x:c r="J156" t="str">
        <x:v>B14_EQUIPMENT_T8</x:v>
      </x:c>
      <x:c r="K156" t="str">
        <x:v>Image to 3D</x:v>
      </x:c>
      <x:c r="L156" t="str">
        <x:v>Yes</x:v>
      </x:c>
      <x:c r="M156" t="n">
        <x:v>1200</x:v>
      </x:c>
      <x:c r="N156" t="str">
        <x:v>1024</x:v>
      </x:c>
      <x:c r="O156" t="str">
        <x:v>No</x:v>
      </x:c>
      <x:c r="P156" t="str">
        <x:v>None</x:v>
      </x:c>
      <x:c r="Q156" t="str">
        <x:v>Prompts/ConceptArt/equipment_cloth_gloves_t08_base_concept_sheet.txt</x:v>
      </x:c>
      <x:c r="R156" t="str">
        <x:v>Prompts/Meshy/BaseGeometry/equipment_cloth_gloves_t08_base_geometry.txt</x:v>
      </x:c>
      <x:c r="S156" t="str">
        <x:v>Prompts/TextureVariants/equipment_cloth_gloves_t08_base_rarity_variants.txt</x:v>
      </x:c>
      <x:c r="T156" t="n">
        <x:v>2</x:v>
      </x:c>
      <x:c r="U156" t="n">
        <x:v>1</x:v>
      </x:c>
      <x:c r="V156" t="n">
        <x:v>1</x:v>
      </x:c>
      <x:c r="W156" t="n">
        <x:v>1</x:v>
      </x:c>
      <x:c r="X156" t="n">
        <x:v>0</x:v>
      </x:c>
      <x:c r="Y156" t="str">
        <x:v>readable at inventory scale; tier identity clear without UI; all six rarity variants preserve family; pivot and scale correct; no fragile geometry; URP PBR maps valid</x:v>
      </x:c>
      <x:c r="Z156" t="str">
        <x:v>Assets/_Game/Art/Equipment/ClothArmor/cloth_gloves/T8/Models</x:v>
      </x:c>
      <x:c r="AA156" t="str">
        <x:v>Not Started</x:v>
      </x:c>
      <x:c r="AB156" t="str">
        <x:v>Pending</x:v>
      </x:c>
      <x:c r="AC156" s="18" t="n">
        <x:f>T156*'Settings &amp; Rates'!$B$5+U156*'Settings &amp; Rates'!$B$6+V156*'Settings &amp; Rates'!$B$7+W156*'Settings &amp; Rates'!$B$8+X156*'Settings &amp; Rates'!$B$9</x:f>
        <x:v>35</x:v>
      </x:c>
      <x:c r="AD156" s="18" t="n">
        <x:f>SUMIF('Attempt Log'!$B$2:$B$101,A156,'Attempt Log'!$K$2:$K$101)</x:f>
        <x:v>0</x:v>
      </x:c>
      <x:c r="AE156" s="18" t="n">
        <x:f>AD156-AC156</x:f>
        <x:v>-35</x:v>
      </x:c>
      <x:c r="AF156" t="n">
        <x:f>COUNTIF('Attempt Log'!$B$2:$B$101,A156)</x:f>
        <x:v>0</x:v>
      </x:c>
      <x:c r="AG156" t="n">
        <x:f>IFERROR(SUMIFS('Attempt Log'!$U$2:$U$101,'Attempt Log'!$B$2:$B$101,A156,'Attempt Log'!$N$2:$N$101,"Yes")/COUNTIFS('Attempt Log'!$B$2:$B$101,A156,'Attempt Log'!$N$2:$N$101,"Yes"),0)</x:f>
        <x:v>0</x:v>
      </x:c>
    </x:row>
    <x:row r="157">
      <x:c r="A157" t="str">
        <x:v>equipment_cloth_hood_t08_base</x:v>
      </x:c>
      <x:c r="B157" t="str">
        <x:v>Capuz Arcano T8</x:v>
      </x:c>
      <x:c r="C157" t="str">
        <x:v>Arcane Hood T8</x:v>
      </x:c>
      <x:c r="D157" t="str">
        <x:v>Task017</x:v>
      </x:c>
      <x:c r="E157" t="str">
        <x:v>Equipment</x:v>
      </x:c>
      <x:c r="F157" t="str">
        <x:v>Cloth Armor</x:v>
      </x:c>
      <x:c r="G157" t="str">
        <x:v>cloth_hood</x:v>
      </x:c>
      <x:c r="H157" t="str">
        <x:v>Post-MVP</x:v>
      </x:c>
      <x:c r="I157" t="str">
        <x:v>P3</x:v>
      </x:c>
      <x:c r="J157" t="str">
        <x:v>B14_EQUIPMENT_T8</x:v>
      </x:c>
      <x:c r="K157" t="str">
        <x:v>Image to 3D</x:v>
      </x:c>
      <x:c r="L157" t="str">
        <x:v>Yes</x:v>
      </x:c>
      <x:c r="M157" t="n">
        <x:v>1500</x:v>
      </x:c>
      <x:c r="N157" t="str">
        <x:v>1024</x:v>
      </x:c>
      <x:c r="O157" t="str">
        <x:v>No</x:v>
      </x:c>
      <x:c r="P157" t="str">
        <x:v>None</x:v>
      </x:c>
      <x:c r="Q157" t="str">
        <x:v>Prompts/ConceptArt/equipment_cloth_hood_t08_base_concept_sheet.txt</x:v>
      </x:c>
      <x:c r="R157" t="str">
        <x:v>Prompts/Meshy/BaseGeometry/equipment_cloth_hood_t08_base_geometry.txt</x:v>
      </x:c>
      <x:c r="S157" t="str">
        <x:v>Prompts/TextureVariants/equipment_cloth_hood_t08_base_rarity_variants.txt</x:v>
      </x:c>
      <x:c r="T157" t="n">
        <x:v>2</x:v>
      </x:c>
      <x:c r="U157" t="n">
        <x:v>1</x:v>
      </x:c>
      <x:c r="V157" t="n">
        <x:v>1</x:v>
      </x:c>
      <x:c r="W157" t="n">
        <x:v>1</x:v>
      </x:c>
      <x:c r="X157" t="n">
        <x:v>0</x:v>
      </x:c>
      <x:c r="Y157" t="str">
        <x:v>readable at inventory scale; tier identity clear without UI; all six rarity variants preserve family; pivot and scale correct; no fragile geometry; URP PBR maps valid</x:v>
      </x:c>
      <x:c r="Z157" t="str">
        <x:v>Assets/_Game/Art/Equipment/ClothArmor/cloth_hood/T8/Models</x:v>
      </x:c>
      <x:c r="AA157" t="str">
        <x:v>Not Started</x:v>
      </x:c>
      <x:c r="AB157" t="str">
        <x:v>Pending</x:v>
      </x:c>
      <x:c r="AC157" s="18" t="n">
        <x:f>T157*'Settings &amp; Rates'!$B$5+U157*'Settings &amp; Rates'!$B$6+V157*'Settings &amp; Rates'!$B$7+W157*'Settings &amp; Rates'!$B$8+X157*'Settings &amp; Rates'!$B$9</x:f>
        <x:v>35</x:v>
      </x:c>
      <x:c r="AD157" s="18" t="n">
        <x:f>SUMIF('Attempt Log'!$B$2:$B$101,A157,'Attempt Log'!$K$2:$K$101)</x:f>
        <x:v>0</x:v>
      </x:c>
      <x:c r="AE157" s="18" t="n">
        <x:f>AD157-AC157</x:f>
        <x:v>-35</x:v>
      </x:c>
      <x:c r="AF157" t="n">
        <x:f>COUNTIF('Attempt Log'!$B$2:$B$101,A157)</x:f>
        <x:v>0</x:v>
      </x:c>
      <x:c r="AG157" t="n">
        <x:f>IFERROR(SUMIFS('Attempt Log'!$U$2:$U$101,'Attempt Log'!$B$2:$B$101,A157,'Attempt Log'!$N$2:$N$101,"Yes")/COUNTIFS('Attempt Log'!$B$2:$B$101,A157,'Attempt Log'!$N$2:$N$101,"Yes"),0)</x:f>
        <x:v>0</x:v>
      </x:c>
    </x:row>
    <x:row r="158">
      <x:c r="A158" t="str">
        <x:v>equipment_cloth_robe_t08_base</x:v>
      </x:c>
      <x:c r="B158" t="str">
        <x:v>Manto Arcano T8</x:v>
      </x:c>
      <x:c r="C158" t="str">
        <x:v>Arcane Robe T8</x:v>
      </x:c>
      <x:c r="D158" t="str">
        <x:v>Task017</x:v>
      </x:c>
      <x:c r="E158" t="str">
        <x:v>Equipment</x:v>
      </x:c>
      <x:c r="F158" t="str">
        <x:v>Cloth Armor</x:v>
      </x:c>
      <x:c r="G158" t="str">
        <x:v>cloth_robe</x:v>
      </x:c>
      <x:c r="H158" t="str">
        <x:v>Post-MVP</x:v>
      </x:c>
      <x:c r="I158" t="str">
        <x:v>P3</x:v>
      </x:c>
      <x:c r="J158" t="str">
        <x:v>B14_EQUIPMENT_T8</x:v>
      </x:c>
      <x:c r="K158" t="str">
        <x:v>Image to 3D</x:v>
      </x:c>
      <x:c r="L158" t="str">
        <x:v>Yes</x:v>
      </x:c>
      <x:c r="M158" t="n">
        <x:v>3350</x:v>
      </x:c>
      <x:c r="N158" t="str">
        <x:v>1024</x:v>
      </x:c>
      <x:c r="O158" t="str">
        <x:v>No</x:v>
      </x:c>
      <x:c r="P158" t="str">
        <x:v>None</x:v>
      </x:c>
      <x:c r="Q158" t="str">
        <x:v>Prompts/ConceptArt/equipment_cloth_robe_t08_base_concept_sheet.txt</x:v>
      </x:c>
      <x:c r="R158" t="str">
        <x:v>Prompts/Meshy/BaseGeometry/equipment_cloth_robe_t08_base_geometry.txt</x:v>
      </x:c>
      <x:c r="S158" t="str">
        <x:v>Prompts/TextureVariants/equipment_cloth_robe_t08_base_rarity_variants.txt</x:v>
      </x:c>
      <x:c r="T158" t="n">
        <x:v>2</x:v>
      </x:c>
      <x:c r="U158" t="n">
        <x:v>1</x:v>
      </x:c>
      <x:c r="V158" t="n">
        <x:v>1</x:v>
      </x:c>
      <x:c r="W158" t="n">
        <x:v>1</x:v>
      </x:c>
      <x:c r="X158" t="n">
        <x:v>0</x:v>
      </x:c>
      <x:c r="Y158" t="str">
        <x:v>readable at inventory scale; tier identity clear without UI; all six rarity variants preserve family; pivot and scale correct; no fragile geometry; URP PBR maps valid</x:v>
      </x:c>
      <x:c r="Z158" t="str">
        <x:v>Assets/_Game/Art/Equipment/ClothArmor/cloth_robe/T8/Models</x:v>
      </x:c>
      <x:c r="AA158" t="str">
        <x:v>Not Started</x:v>
      </x:c>
      <x:c r="AB158" t="str">
        <x:v>Pending</x:v>
      </x:c>
      <x:c r="AC158" s="18" t="n">
        <x:f>T158*'Settings &amp; Rates'!$B$5+U158*'Settings &amp; Rates'!$B$6+V158*'Settings &amp; Rates'!$B$7+W158*'Settings &amp; Rates'!$B$8+X158*'Settings &amp; Rates'!$B$9</x:f>
        <x:v>35</x:v>
      </x:c>
      <x:c r="AD158" s="18" t="n">
        <x:f>SUMIF('Attempt Log'!$B$2:$B$101,A158,'Attempt Log'!$K$2:$K$101)</x:f>
        <x:v>0</x:v>
      </x:c>
      <x:c r="AE158" s="18" t="n">
        <x:f>AD158-AC158</x:f>
        <x:v>-35</x:v>
      </x:c>
      <x:c r="AF158" t="n">
        <x:f>COUNTIF('Attempt Log'!$B$2:$B$101,A158)</x:f>
        <x:v>0</x:v>
      </x:c>
      <x:c r="AG158" t="n">
        <x:f>IFERROR(SUMIFS('Attempt Log'!$U$2:$U$101,'Attempt Log'!$B$2:$B$101,A158,'Attempt Log'!$N$2:$N$101,"Yes")/COUNTIFS('Attempt Log'!$B$2:$B$101,A158,'Attempt Log'!$N$2:$N$101,"Yes"),0)</x:f>
        <x:v>0</x:v>
      </x:c>
    </x:row>
    <x:row r="159">
      <x:c r="A159" t="str">
        <x:v>equipment_heavy_boots_t08_base</x:v>
      </x:c>
      <x:c r="B159" t="str">
        <x:v>Botas Pesadas T8</x:v>
      </x:c>
      <x:c r="C159" t="str">
        <x:v>Heavy Boots T8</x:v>
      </x:c>
      <x:c r="D159" t="str">
        <x:v>Task017</x:v>
      </x:c>
      <x:c r="E159" t="str">
        <x:v>Equipment</x:v>
      </x:c>
      <x:c r="F159" t="str">
        <x:v>Heavy Armor</x:v>
      </x:c>
      <x:c r="G159" t="str">
        <x:v>heavy_boots</x:v>
      </x:c>
      <x:c r="H159" t="str">
        <x:v>Post-MVP</x:v>
      </x:c>
      <x:c r="I159" t="str">
        <x:v>P3</x:v>
      </x:c>
      <x:c r="J159" t="str">
        <x:v>B14_EQUIPMENT_T8</x:v>
      </x:c>
      <x:c r="K159" t="str">
        <x:v>Image to 3D</x:v>
      </x:c>
      <x:c r="L159" t="str">
        <x:v>Yes</x:v>
      </x:c>
      <x:c r="M159" t="n">
        <x:v>1750</x:v>
      </x:c>
      <x:c r="N159" t="str">
        <x:v>1024</x:v>
      </x:c>
      <x:c r="O159" t="str">
        <x:v>No</x:v>
      </x:c>
      <x:c r="P159" t="str">
        <x:v>None</x:v>
      </x:c>
      <x:c r="Q159" t="str">
        <x:v>Prompts/ConceptArt/equipment_heavy_boots_t08_base_concept_sheet.txt</x:v>
      </x:c>
      <x:c r="R159" t="str">
        <x:v>Prompts/Meshy/BaseGeometry/equipment_heavy_boots_t08_base_geometry.txt</x:v>
      </x:c>
      <x:c r="S159" t="str">
        <x:v>Prompts/TextureVariants/equipment_heavy_boots_t08_base_rarity_variants.txt</x:v>
      </x:c>
      <x:c r="T159" t="n">
        <x:v>2</x:v>
      </x:c>
      <x:c r="U159" t="n">
        <x:v>1</x:v>
      </x:c>
      <x:c r="V159" t="n">
        <x:v>1</x:v>
      </x:c>
      <x:c r="W159" t="n">
        <x:v>1</x:v>
      </x:c>
      <x:c r="X159" t="n">
        <x:v>0</x:v>
      </x:c>
      <x:c r="Y159" t="str">
        <x:v>readable at inventory scale; tier identity clear without UI; all six rarity variants preserve family; pivot and scale correct; no fragile geometry; URP PBR maps valid</x:v>
      </x:c>
      <x:c r="Z159" t="str">
        <x:v>Assets/_Game/Art/Equipment/HeavyArmor/heavy_boots/T8/Models</x:v>
      </x:c>
      <x:c r="AA159" t="str">
        <x:v>Not Started</x:v>
      </x:c>
      <x:c r="AB159" t="str">
        <x:v>Pending</x:v>
      </x:c>
      <x:c r="AC159" s="18" t="n">
        <x:f>T159*'Settings &amp; Rates'!$B$5+U159*'Settings &amp; Rates'!$B$6+V159*'Settings &amp; Rates'!$B$7+W159*'Settings &amp; Rates'!$B$8+X159*'Settings &amp; Rates'!$B$9</x:f>
        <x:v>35</x:v>
      </x:c>
      <x:c r="AD159" s="18" t="n">
        <x:f>SUMIF('Attempt Log'!$B$2:$B$101,A159,'Attempt Log'!$K$2:$K$101)</x:f>
        <x:v>0</x:v>
      </x:c>
      <x:c r="AE159" s="18" t="n">
        <x:f>AD159-AC159</x:f>
        <x:v>-35</x:v>
      </x:c>
      <x:c r="AF159" t="n">
        <x:f>COUNTIF('Attempt Log'!$B$2:$B$101,A159)</x:f>
        <x:v>0</x:v>
      </x:c>
      <x:c r="AG159" t="n">
        <x:f>IFERROR(SUMIFS('Attempt Log'!$U$2:$U$101,'Attempt Log'!$B$2:$B$101,A159,'Attempt Log'!$N$2:$N$101,"Yes")/COUNTIFS('Attempt Log'!$B$2:$B$101,A159,'Attempt Log'!$N$2:$N$101,"Yes"),0)</x:f>
        <x:v>0</x:v>
      </x:c>
    </x:row>
    <x:row r="160">
      <x:c r="A160" t="str">
        <x:v>equipment_heavy_chest_t08_base</x:v>
      </x:c>
      <x:c r="B160" t="str">
        <x:v>Peitoral Pesado T8</x:v>
      </x:c>
      <x:c r="C160" t="str">
        <x:v>Heavy Chest Armor T8</x:v>
      </x:c>
      <x:c r="D160" t="str">
        <x:v>Task017</x:v>
      </x:c>
      <x:c r="E160" t="str">
        <x:v>Equipment</x:v>
      </x:c>
      <x:c r="F160" t="str">
        <x:v>Heavy Armor</x:v>
      </x:c>
      <x:c r="G160" t="str">
        <x:v>heavy_chest</x:v>
      </x:c>
      <x:c r="H160" t="str">
        <x:v>Post-MVP</x:v>
      </x:c>
      <x:c r="I160" t="str">
        <x:v>P3</x:v>
      </x:c>
      <x:c r="J160" t="str">
        <x:v>B14_EQUIPMENT_T8</x:v>
      </x:c>
      <x:c r="K160" t="str">
        <x:v>Image to 3D</x:v>
      </x:c>
      <x:c r="L160" t="str">
        <x:v>Yes</x:v>
      </x:c>
      <x:c r="M160" t="n">
        <x:v>3750</x:v>
      </x:c>
      <x:c r="N160" t="str">
        <x:v>1024</x:v>
      </x:c>
      <x:c r="O160" t="str">
        <x:v>No</x:v>
      </x:c>
      <x:c r="P160" t="str">
        <x:v>None</x:v>
      </x:c>
      <x:c r="Q160" t="str">
        <x:v>Prompts/ConceptArt/equipment_heavy_chest_t08_base_concept_sheet.txt</x:v>
      </x:c>
      <x:c r="R160" t="str">
        <x:v>Prompts/Meshy/BaseGeometry/equipment_heavy_chest_t08_base_geometry.txt</x:v>
      </x:c>
      <x:c r="S160" t="str">
        <x:v>Prompts/TextureVariants/equipment_heavy_chest_t08_base_rarity_variants.txt</x:v>
      </x:c>
      <x:c r="T160" t="n">
        <x:v>2</x:v>
      </x:c>
      <x:c r="U160" t="n">
        <x:v>1</x:v>
      </x:c>
      <x:c r="V160" t="n">
        <x:v>1</x:v>
      </x:c>
      <x:c r="W160" t="n">
        <x:v>1</x:v>
      </x:c>
      <x:c r="X160" t="n">
        <x:v>0</x:v>
      </x:c>
      <x:c r="Y160" t="str">
        <x:v>readable at inventory scale; tier identity clear without UI; all six rarity variants preserve family; pivot and scale correct; no fragile geometry; URP PBR maps valid</x:v>
      </x:c>
      <x:c r="Z160" t="str">
        <x:v>Assets/_Game/Art/Equipment/HeavyArmor/heavy_chest/T8/Models</x:v>
      </x:c>
      <x:c r="AA160" t="str">
        <x:v>Not Started</x:v>
      </x:c>
      <x:c r="AB160" t="str">
        <x:v>Pending</x:v>
      </x:c>
      <x:c r="AC160" s="18" t="n">
        <x:f>T160*'Settings &amp; Rates'!$B$5+U160*'Settings &amp; Rates'!$B$6+V160*'Settings &amp; Rates'!$B$7+W160*'Settings &amp; Rates'!$B$8+X160*'Settings &amp; Rates'!$B$9</x:f>
        <x:v>35</x:v>
      </x:c>
      <x:c r="AD160" s="18" t="n">
        <x:f>SUMIF('Attempt Log'!$B$2:$B$101,A160,'Attempt Log'!$K$2:$K$101)</x:f>
        <x:v>0</x:v>
      </x:c>
      <x:c r="AE160" s="18" t="n">
        <x:f>AD160-AC160</x:f>
        <x:v>-35</x:v>
      </x:c>
      <x:c r="AF160" t="n">
        <x:f>COUNTIF('Attempt Log'!$B$2:$B$101,A160)</x:f>
        <x:v>0</x:v>
      </x:c>
      <x:c r="AG160" t="n">
        <x:f>IFERROR(SUMIFS('Attempt Log'!$U$2:$U$101,'Attempt Log'!$B$2:$B$101,A160,'Attempt Log'!$N$2:$N$101,"Yes")/COUNTIFS('Attempt Log'!$B$2:$B$101,A160,'Attempt Log'!$N$2:$N$101,"Yes"),0)</x:f>
        <x:v>0</x:v>
      </x:c>
    </x:row>
    <x:row r="161">
      <x:c r="A161" t="str">
        <x:v>equipment_heavy_gloves_t08_base</x:v>
      </x:c>
      <x:c r="B161" t="str">
        <x:v>Manoplas Pesadas T8</x:v>
      </x:c>
      <x:c r="C161" t="str">
        <x:v>Heavy Gauntlets T8</x:v>
      </x:c>
      <x:c r="D161" t="str">
        <x:v>Task017</x:v>
      </x:c>
      <x:c r="E161" t="str">
        <x:v>Equipment</x:v>
      </x:c>
      <x:c r="F161" t="str">
        <x:v>Heavy Armor</x:v>
      </x:c>
      <x:c r="G161" t="str">
        <x:v>heavy_gloves</x:v>
      </x:c>
      <x:c r="H161" t="str">
        <x:v>Post-MVP</x:v>
      </x:c>
      <x:c r="I161" t="str">
        <x:v>P3</x:v>
      </x:c>
      <x:c r="J161" t="str">
        <x:v>B14_EQUIPMENT_T8</x:v>
      </x:c>
      <x:c r="K161" t="str">
        <x:v>Image to 3D</x:v>
      </x:c>
      <x:c r="L161" t="str">
        <x:v>Yes</x:v>
      </x:c>
      <x:c r="M161" t="n">
        <x:v>1550</x:v>
      </x:c>
      <x:c r="N161" t="str">
        <x:v>1024</x:v>
      </x:c>
      <x:c r="O161" t="str">
        <x:v>No</x:v>
      </x:c>
      <x:c r="P161" t="str">
        <x:v>None</x:v>
      </x:c>
      <x:c r="Q161" t="str">
        <x:v>Prompts/ConceptArt/equipment_heavy_gloves_t08_base_concept_sheet.txt</x:v>
      </x:c>
      <x:c r="R161" t="str">
        <x:v>Prompts/Meshy/BaseGeometry/equipment_heavy_gloves_t08_base_geometry.txt</x:v>
      </x:c>
      <x:c r="S161" t="str">
        <x:v>Prompts/TextureVariants/equipment_heavy_gloves_t08_base_rarity_variants.txt</x:v>
      </x:c>
      <x:c r="T161" t="n">
        <x:v>2</x:v>
      </x:c>
      <x:c r="U161" t="n">
        <x:v>1</x:v>
      </x:c>
      <x:c r="V161" t="n">
        <x:v>1</x:v>
      </x:c>
      <x:c r="W161" t="n">
        <x:v>1</x:v>
      </x:c>
      <x:c r="X161" t="n">
        <x:v>0</x:v>
      </x:c>
      <x:c r="Y161" t="str">
        <x:v>readable at inventory scale; tier identity clear without UI; all six rarity variants preserve family; pivot and scale correct; no fragile geometry; URP PBR maps valid</x:v>
      </x:c>
      <x:c r="Z161" t="str">
        <x:v>Assets/_Game/Art/Equipment/HeavyArmor/heavy_gloves/T8/Models</x:v>
      </x:c>
      <x:c r="AA161" t="str">
        <x:v>Not Started</x:v>
      </x:c>
      <x:c r="AB161" t="str">
        <x:v>Pending</x:v>
      </x:c>
      <x:c r="AC161" s="18" t="n">
        <x:f>T161*'Settings &amp; Rates'!$B$5+U161*'Settings &amp; Rates'!$B$6+V161*'Settings &amp; Rates'!$B$7+W161*'Settings &amp; Rates'!$B$8+X161*'Settings &amp; Rates'!$B$9</x:f>
        <x:v>35</x:v>
      </x:c>
      <x:c r="AD161" s="18" t="n">
        <x:f>SUMIF('Attempt Log'!$B$2:$B$101,A161,'Attempt Log'!$K$2:$K$101)</x:f>
        <x:v>0</x:v>
      </x:c>
      <x:c r="AE161" s="18" t="n">
        <x:f>AD161-AC161</x:f>
        <x:v>-35</x:v>
      </x:c>
      <x:c r="AF161" t="n">
        <x:f>COUNTIF('Attempt Log'!$B$2:$B$101,A161)</x:f>
        <x:v>0</x:v>
      </x:c>
      <x:c r="AG161" t="n">
        <x:f>IFERROR(SUMIFS('Attempt Log'!$U$2:$U$101,'Attempt Log'!$B$2:$B$101,A161,'Attempt Log'!$N$2:$N$101,"Yes")/COUNTIFS('Attempt Log'!$B$2:$B$101,A161,'Attempt Log'!$N$2:$N$101,"Yes"),0)</x:f>
        <x:v>0</x:v>
      </x:c>
    </x:row>
    <x:row r="162">
      <x:c r="A162" t="str">
        <x:v>equipment_heavy_helmet_t08_base</x:v>
      </x:c>
      <x:c r="B162" t="str">
        <x:v>Elmo Pesado T8</x:v>
      </x:c>
      <x:c r="C162" t="str">
        <x:v>Heavy Helmet T8</x:v>
      </x:c>
      <x:c r="D162" t="str">
        <x:v>Task017</x:v>
      </x:c>
      <x:c r="E162" t="str">
        <x:v>Equipment</x:v>
      </x:c>
      <x:c r="F162" t="str">
        <x:v>Heavy Armor</x:v>
      </x:c>
      <x:c r="G162" t="str">
        <x:v>heavy_helmet</x:v>
      </x:c>
      <x:c r="H162" t="str">
        <x:v>Post-MVP</x:v>
      </x:c>
      <x:c r="I162" t="str">
        <x:v>P3</x:v>
      </x:c>
      <x:c r="J162" t="str">
        <x:v>B14_EQUIPMENT_T8</x:v>
      </x:c>
      <x:c r="K162" t="str">
        <x:v>Image to 3D</x:v>
      </x:c>
      <x:c r="L162" t="str">
        <x:v>Yes</x:v>
      </x:c>
      <x:c r="M162" t="n">
        <x:v>2200</x:v>
      </x:c>
      <x:c r="N162" t="str">
        <x:v>1024</x:v>
      </x:c>
      <x:c r="O162" t="str">
        <x:v>No</x:v>
      </x:c>
      <x:c r="P162" t="str">
        <x:v>None</x:v>
      </x:c>
      <x:c r="Q162" t="str">
        <x:v>Prompts/ConceptArt/equipment_heavy_helmet_t08_base_concept_sheet.txt</x:v>
      </x:c>
      <x:c r="R162" t="str">
        <x:v>Prompts/Meshy/BaseGeometry/equipment_heavy_helmet_t08_base_geometry.txt</x:v>
      </x:c>
      <x:c r="S162" t="str">
        <x:v>Prompts/TextureVariants/equipment_heavy_helmet_t08_base_rarity_variants.txt</x:v>
      </x:c>
      <x:c r="T162" t="n">
        <x:v>2</x:v>
      </x:c>
      <x:c r="U162" t="n">
        <x:v>1</x:v>
      </x:c>
      <x:c r="V162" t="n">
        <x:v>1</x:v>
      </x:c>
      <x:c r="W162" t="n">
        <x:v>1</x:v>
      </x:c>
      <x:c r="X162" t="n">
        <x:v>0</x:v>
      </x:c>
      <x:c r="Y162" t="str">
        <x:v>readable at inventory scale; tier identity clear without UI; all six rarity variants preserve family; pivot and scale correct; no fragile geometry; URP PBR maps valid</x:v>
      </x:c>
      <x:c r="Z162" t="str">
        <x:v>Assets/_Game/Art/Equipment/HeavyArmor/heavy_helmet/T8/Models</x:v>
      </x:c>
      <x:c r="AA162" t="str">
        <x:v>Not Started</x:v>
      </x:c>
      <x:c r="AB162" t="str">
        <x:v>Pending</x:v>
      </x:c>
      <x:c r="AC162" s="18" t="n">
        <x:f>T162*'Settings &amp; Rates'!$B$5+U162*'Settings &amp; Rates'!$B$6+V162*'Settings &amp; Rates'!$B$7+W162*'Settings &amp; Rates'!$B$8+X162*'Settings &amp; Rates'!$B$9</x:f>
        <x:v>35</x:v>
      </x:c>
      <x:c r="AD162" s="18" t="n">
        <x:f>SUMIF('Attempt Log'!$B$2:$B$101,A162,'Attempt Log'!$K$2:$K$101)</x:f>
        <x:v>0</x:v>
      </x:c>
      <x:c r="AE162" s="18" t="n">
        <x:f>AD162-AC162</x:f>
        <x:v>-35</x:v>
      </x:c>
      <x:c r="AF162" t="n">
        <x:f>COUNTIF('Attempt Log'!$B$2:$B$101,A162)</x:f>
        <x:v>0</x:v>
      </x:c>
      <x:c r="AG162" t="n">
        <x:f>IFERROR(SUMIFS('Attempt Log'!$U$2:$U$101,'Attempt Log'!$B$2:$B$101,A162,'Attempt Log'!$N$2:$N$101,"Yes")/COUNTIFS('Attempt Log'!$B$2:$B$101,A162,'Attempt Log'!$N$2:$N$101,"Yes"),0)</x:f>
        <x:v>0</x:v>
      </x:c>
    </x:row>
    <x:row r="163">
      <x:c r="A163" t="str">
        <x:v>equipment_light_boots_t08_base</x:v>
      </x:c>
      <x:c r="B163" t="str">
        <x:v>Botas Leves T8</x:v>
      </x:c>
      <x:c r="C163" t="str">
        <x:v>Light Boots T8</x:v>
      </x:c>
      <x:c r="D163" t="str">
        <x:v>Task017</x:v>
      </x:c>
      <x:c r="E163" t="str">
        <x:v>Equipment</x:v>
      </x:c>
      <x:c r="F163" t="str">
        <x:v>Light Armor</x:v>
      </x:c>
      <x:c r="G163" t="str">
        <x:v>light_boots</x:v>
      </x:c>
      <x:c r="H163" t="str">
        <x:v>Post-MVP</x:v>
      </x:c>
      <x:c r="I163" t="str">
        <x:v>P3</x:v>
      </x:c>
      <x:c r="J163" t="str">
        <x:v>B14_EQUIPMENT_T8</x:v>
      </x:c>
      <x:c r="K163" t="str">
        <x:v>Image to 3D</x:v>
      </x:c>
      <x:c r="L163" t="str">
        <x:v>Yes</x:v>
      </x:c>
      <x:c r="M163" t="n">
        <x:v>1450</x:v>
      </x:c>
      <x:c r="N163" t="str">
        <x:v>1024</x:v>
      </x:c>
      <x:c r="O163" t="str">
        <x:v>No</x:v>
      </x:c>
      <x:c r="P163" t="str">
        <x:v>None</x:v>
      </x:c>
      <x:c r="Q163" t="str">
        <x:v>Prompts/ConceptArt/equipment_light_boots_t08_base_concept_sheet.txt</x:v>
      </x:c>
      <x:c r="R163" t="str">
        <x:v>Prompts/Meshy/BaseGeometry/equipment_light_boots_t08_base_geometry.txt</x:v>
      </x:c>
      <x:c r="S163" t="str">
        <x:v>Prompts/TextureVariants/equipment_light_boots_t08_base_rarity_variants.txt</x:v>
      </x:c>
      <x:c r="T163" t="n">
        <x:v>2</x:v>
      </x:c>
      <x:c r="U163" t="n">
        <x:v>1</x:v>
      </x:c>
      <x:c r="V163" t="n">
        <x:v>1</x:v>
      </x:c>
      <x:c r="W163" t="n">
        <x:v>1</x:v>
      </x:c>
      <x:c r="X163" t="n">
        <x:v>0</x:v>
      </x:c>
      <x:c r="Y163" t="str">
        <x:v>readable at inventory scale; tier identity clear without UI; all six rarity variants preserve family; pivot and scale correct; no fragile geometry; URP PBR maps valid</x:v>
      </x:c>
      <x:c r="Z163" t="str">
        <x:v>Assets/_Game/Art/Equipment/LightArmor/light_boots/T8/Models</x:v>
      </x:c>
      <x:c r="AA163" t="str">
        <x:v>Not Started</x:v>
      </x:c>
      <x:c r="AB163" t="str">
        <x:v>Pending</x:v>
      </x:c>
      <x:c r="AC163" s="18" t="n">
        <x:f>T163*'Settings &amp; Rates'!$B$5+U163*'Settings &amp; Rates'!$B$6+V163*'Settings &amp; Rates'!$B$7+W163*'Settings &amp; Rates'!$B$8+X163*'Settings &amp; Rates'!$B$9</x:f>
        <x:v>35</x:v>
      </x:c>
      <x:c r="AD163" s="18" t="n">
        <x:f>SUMIF('Attempt Log'!$B$2:$B$101,A163,'Attempt Log'!$K$2:$K$101)</x:f>
        <x:v>0</x:v>
      </x:c>
      <x:c r="AE163" s="18" t="n">
        <x:f>AD163-AC163</x:f>
        <x:v>-35</x:v>
      </x:c>
      <x:c r="AF163" t="n">
        <x:f>COUNTIF('Attempt Log'!$B$2:$B$101,A163)</x:f>
        <x:v>0</x:v>
      </x:c>
      <x:c r="AG163" t="n">
        <x:f>IFERROR(SUMIFS('Attempt Log'!$U$2:$U$101,'Attempt Log'!$B$2:$B$101,A163,'Attempt Log'!$N$2:$N$101,"Yes")/COUNTIFS('Attempt Log'!$B$2:$B$101,A163,'Attempt Log'!$N$2:$N$101,"Yes"),0)</x:f>
        <x:v>0</x:v>
      </x:c>
    </x:row>
    <x:row r="164">
      <x:c r="A164" t="str">
        <x:v>equipment_light_chest_t08_base</x:v>
      </x:c>
      <x:c r="B164" t="str">
        <x:v>Armadura Leve T8</x:v>
      </x:c>
      <x:c r="C164" t="str">
        <x:v>Light Chest Armor T8</x:v>
      </x:c>
      <x:c r="D164" t="str">
        <x:v>Task017</x:v>
      </x:c>
      <x:c r="E164" t="str">
        <x:v>Equipment</x:v>
      </x:c>
      <x:c r="F164" t="str">
        <x:v>Light Armor</x:v>
      </x:c>
      <x:c r="G164" t="str">
        <x:v>light_chest</x:v>
      </x:c>
      <x:c r="H164" t="str">
        <x:v>Post-MVP</x:v>
      </x:c>
      <x:c r="I164" t="str">
        <x:v>P3</x:v>
      </x:c>
      <x:c r="J164" t="str">
        <x:v>B14_EQUIPMENT_T8</x:v>
      </x:c>
      <x:c r="K164" t="str">
        <x:v>Image to 3D</x:v>
      </x:c>
      <x:c r="L164" t="str">
        <x:v>Yes</x:v>
      </x:c>
      <x:c r="M164" t="n">
        <x:v>2800</x:v>
      </x:c>
      <x:c r="N164" t="str">
        <x:v>1024</x:v>
      </x:c>
      <x:c r="O164" t="str">
        <x:v>No</x:v>
      </x:c>
      <x:c r="P164" t="str">
        <x:v>None</x:v>
      </x:c>
      <x:c r="Q164" t="str">
        <x:v>Prompts/ConceptArt/equipment_light_chest_t08_base_concept_sheet.txt</x:v>
      </x:c>
      <x:c r="R164" t="str">
        <x:v>Prompts/Meshy/BaseGeometry/equipment_light_chest_t08_base_geometry.txt</x:v>
      </x:c>
      <x:c r="S164" t="str">
        <x:v>Prompts/TextureVariants/equipment_light_chest_t08_base_rarity_variants.txt</x:v>
      </x:c>
      <x:c r="T164" t="n">
        <x:v>2</x:v>
      </x:c>
      <x:c r="U164" t="n">
        <x:v>1</x:v>
      </x:c>
      <x:c r="V164" t="n">
        <x:v>1</x:v>
      </x:c>
      <x:c r="W164" t="n">
        <x:v>1</x:v>
      </x:c>
      <x:c r="X164" t="n">
        <x:v>0</x:v>
      </x:c>
      <x:c r="Y164" t="str">
        <x:v>readable at inventory scale; tier identity clear without UI; all six rarity variants preserve family; pivot and scale correct; no fragile geometry; URP PBR maps valid</x:v>
      </x:c>
      <x:c r="Z164" t="str">
        <x:v>Assets/_Game/Art/Equipment/LightArmor/light_chest/T8/Models</x:v>
      </x:c>
      <x:c r="AA164" t="str">
        <x:v>Not Started</x:v>
      </x:c>
      <x:c r="AB164" t="str">
        <x:v>Pending</x:v>
      </x:c>
      <x:c r="AC164" s="18" t="n">
        <x:f>T164*'Settings &amp; Rates'!$B$5+U164*'Settings &amp; Rates'!$B$6+V164*'Settings &amp; Rates'!$B$7+W164*'Settings &amp; Rates'!$B$8+X164*'Settings &amp; Rates'!$B$9</x:f>
        <x:v>35</x:v>
      </x:c>
      <x:c r="AD164" s="18" t="n">
        <x:f>SUMIF('Attempt Log'!$B$2:$B$101,A164,'Attempt Log'!$K$2:$K$101)</x:f>
        <x:v>0</x:v>
      </x:c>
      <x:c r="AE164" s="18" t="n">
        <x:f>AD164-AC164</x:f>
        <x:v>-35</x:v>
      </x:c>
      <x:c r="AF164" t="n">
        <x:f>COUNTIF('Attempt Log'!$B$2:$B$101,A164)</x:f>
        <x:v>0</x:v>
      </x:c>
      <x:c r="AG164" t="n">
        <x:f>IFERROR(SUMIFS('Attempt Log'!$U$2:$U$101,'Attempt Log'!$B$2:$B$101,A164,'Attempt Log'!$N$2:$N$101,"Yes")/COUNTIFS('Attempt Log'!$B$2:$B$101,A164,'Attempt Log'!$N$2:$N$101,"Yes"),0)</x:f>
        <x:v>0</x:v>
      </x:c>
    </x:row>
    <x:row r="165">
      <x:c r="A165" t="str">
        <x:v>equipment_light_gloves_t08_base</x:v>
      </x:c>
      <x:c r="B165" t="str">
        <x:v>Luvas Leves T8</x:v>
      </x:c>
      <x:c r="C165" t="str">
        <x:v>Light Gloves T8</x:v>
      </x:c>
      <x:c r="D165" t="str">
        <x:v>Task017</x:v>
      </x:c>
      <x:c r="E165" t="str">
        <x:v>Equipment</x:v>
      </x:c>
      <x:c r="F165" t="str">
        <x:v>Light Armor</x:v>
      </x:c>
      <x:c r="G165" t="str">
        <x:v>light_gloves</x:v>
      </x:c>
      <x:c r="H165" t="str">
        <x:v>Post-MVP</x:v>
      </x:c>
      <x:c r="I165" t="str">
        <x:v>P3</x:v>
      </x:c>
      <x:c r="J165" t="str">
        <x:v>B14_EQUIPMENT_T8</x:v>
      </x:c>
      <x:c r="K165" t="str">
        <x:v>Image to 3D</x:v>
      </x:c>
      <x:c r="L165" t="str">
        <x:v>Yes</x:v>
      </x:c>
      <x:c r="M165" t="n">
        <x:v>1200</x:v>
      </x:c>
      <x:c r="N165" t="str">
        <x:v>1024</x:v>
      </x:c>
      <x:c r="O165" t="str">
        <x:v>No</x:v>
      </x:c>
      <x:c r="P165" t="str">
        <x:v>None</x:v>
      </x:c>
      <x:c r="Q165" t="str">
        <x:v>Prompts/ConceptArt/equipment_light_gloves_t08_base_concept_sheet.txt</x:v>
      </x:c>
      <x:c r="R165" t="str">
        <x:v>Prompts/Meshy/BaseGeometry/equipment_light_gloves_t08_base_geometry.txt</x:v>
      </x:c>
      <x:c r="S165" t="str">
        <x:v>Prompts/TextureVariants/equipment_light_gloves_t08_base_rarity_variants.txt</x:v>
      </x:c>
      <x:c r="T165" t="n">
        <x:v>2</x:v>
      </x:c>
      <x:c r="U165" t="n">
        <x:v>1</x:v>
      </x:c>
      <x:c r="V165" t="n">
        <x:v>1</x:v>
      </x:c>
      <x:c r="W165" t="n">
        <x:v>1</x:v>
      </x:c>
      <x:c r="X165" t="n">
        <x:v>0</x:v>
      </x:c>
      <x:c r="Y165" t="str">
        <x:v>readable at inventory scale; tier identity clear without UI; all six rarity variants preserve family; pivot and scale correct; no fragile geometry; URP PBR maps valid</x:v>
      </x:c>
      <x:c r="Z165" t="str">
        <x:v>Assets/_Game/Art/Equipment/LightArmor/light_gloves/T8/Models</x:v>
      </x:c>
      <x:c r="AA165" t="str">
        <x:v>Not Started</x:v>
      </x:c>
      <x:c r="AB165" t="str">
        <x:v>Pending</x:v>
      </x:c>
      <x:c r="AC165" s="18" t="n">
        <x:f>T165*'Settings &amp; Rates'!$B$5+U165*'Settings &amp; Rates'!$B$6+V165*'Settings &amp; Rates'!$B$7+W165*'Settings &amp; Rates'!$B$8+X165*'Settings &amp; Rates'!$B$9</x:f>
        <x:v>35</x:v>
      </x:c>
      <x:c r="AD165" s="18" t="n">
        <x:f>SUMIF('Attempt Log'!$B$2:$B$101,A165,'Attempt Log'!$K$2:$K$101)</x:f>
        <x:v>0</x:v>
      </x:c>
      <x:c r="AE165" s="18" t="n">
        <x:f>AD165-AC165</x:f>
        <x:v>-35</x:v>
      </x:c>
      <x:c r="AF165" t="n">
        <x:f>COUNTIF('Attempt Log'!$B$2:$B$101,A165)</x:f>
        <x:v>0</x:v>
      </x:c>
      <x:c r="AG165" t="n">
        <x:f>IFERROR(SUMIFS('Attempt Log'!$U$2:$U$101,'Attempt Log'!$B$2:$B$101,A165,'Attempt Log'!$N$2:$N$101,"Yes")/COUNTIFS('Attempt Log'!$B$2:$B$101,A165,'Attempt Log'!$N$2:$N$101,"Yes"),0)</x:f>
        <x:v>0</x:v>
      </x:c>
    </x:row>
    <x:row r="166">
      <x:c r="A166" t="str">
        <x:v>equipment_light_hood_t08_base</x:v>
      </x:c>
      <x:c r="B166" t="str">
        <x:v>Capuz Leve T8</x:v>
      </x:c>
      <x:c r="C166" t="str">
        <x:v>Light Hood T8</x:v>
      </x:c>
      <x:c r="D166" t="str">
        <x:v>Task017</x:v>
      </x:c>
      <x:c r="E166" t="str">
        <x:v>Equipment</x:v>
      </x:c>
      <x:c r="F166" t="str">
        <x:v>Light Armor</x:v>
      </x:c>
      <x:c r="G166" t="str">
        <x:v>light_hood</x:v>
      </x:c>
      <x:c r="H166" t="str">
        <x:v>Post-MVP</x:v>
      </x:c>
      <x:c r="I166" t="str">
        <x:v>P3</x:v>
      </x:c>
      <x:c r="J166" t="str">
        <x:v>B14_EQUIPMENT_T8</x:v>
      </x:c>
      <x:c r="K166" t="str">
        <x:v>Image to 3D</x:v>
      </x:c>
      <x:c r="L166" t="str">
        <x:v>Yes</x:v>
      </x:c>
      <x:c r="M166" t="n">
        <x:v>1450</x:v>
      </x:c>
      <x:c r="N166" t="str">
        <x:v>1024</x:v>
      </x:c>
      <x:c r="O166" t="str">
        <x:v>No</x:v>
      </x:c>
      <x:c r="P166" t="str">
        <x:v>None</x:v>
      </x:c>
      <x:c r="Q166" t="str">
        <x:v>Prompts/ConceptArt/equipment_light_hood_t08_base_concept_sheet.txt</x:v>
      </x:c>
      <x:c r="R166" t="str">
        <x:v>Prompts/Meshy/BaseGeometry/equipment_light_hood_t08_base_geometry.txt</x:v>
      </x:c>
      <x:c r="S166" t="str">
        <x:v>Prompts/TextureVariants/equipment_light_hood_t08_base_rarity_variants.txt</x:v>
      </x:c>
      <x:c r="T166" t="n">
        <x:v>2</x:v>
      </x:c>
      <x:c r="U166" t="n">
        <x:v>1</x:v>
      </x:c>
      <x:c r="V166" t="n">
        <x:v>1</x:v>
      </x:c>
      <x:c r="W166" t="n">
        <x:v>1</x:v>
      </x:c>
      <x:c r="X166" t="n">
        <x:v>0</x:v>
      </x:c>
      <x:c r="Y166" t="str">
        <x:v>readable at inventory scale; tier identity clear without UI; all six rarity variants preserve family; pivot and scale correct; no fragile geometry; URP PBR maps valid</x:v>
      </x:c>
      <x:c r="Z166" t="str">
        <x:v>Assets/_Game/Art/Equipment/LightArmor/light_hood/T8/Models</x:v>
      </x:c>
      <x:c r="AA166" t="str">
        <x:v>Not Started</x:v>
      </x:c>
      <x:c r="AB166" t="str">
        <x:v>Pending</x:v>
      </x:c>
      <x:c r="AC166" s="18" t="n">
        <x:f>T166*'Settings &amp; Rates'!$B$5+U166*'Settings &amp; Rates'!$B$6+V166*'Settings &amp; Rates'!$B$7+W166*'Settings &amp; Rates'!$B$8+X166*'Settings &amp; Rates'!$B$9</x:f>
        <x:v>35</x:v>
      </x:c>
      <x:c r="AD166" s="18" t="n">
        <x:f>SUMIF('Attempt Log'!$B$2:$B$101,A166,'Attempt Log'!$K$2:$K$101)</x:f>
        <x:v>0</x:v>
      </x:c>
      <x:c r="AE166" s="18" t="n">
        <x:f>AD166-AC166</x:f>
        <x:v>-35</x:v>
      </x:c>
      <x:c r="AF166" t="n">
        <x:f>COUNTIF('Attempt Log'!$B$2:$B$101,A166)</x:f>
        <x:v>0</x:v>
      </x:c>
      <x:c r="AG166" t="n">
        <x:f>IFERROR(SUMIFS('Attempt Log'!$U$2:$U$101,'Attempt Log'!$B$2:$B$101,A166,'Attempt Log'!$N$2:$N$101,"Yes")/COUNTIFS('Attempt Log'!$B$2:$B$101,A166,'Attempt Log'!$N$2:$N$101,"Yes"),0)</x:f>
        <x:v>0</x:v>
      </x:c>
    </x:row>
    <x:row r="167">
      <x:c r="A167" t="str">
        <x:v>equipment_longbow_t08_base</x:v>
      </x:c>
      <x:c r="B167" t="str">
        <x:v>Arco Longo T8</x:v>
      </x:c>
      <x:c r="C167" t="str">
        <x:v>Longbow T8</x:v>
      </x:c>
      <x:c r="D167" t="str">
        <x:v>Task017</x:v>
      </x:c>
      <x:c r="E167" t="str">
        <x:v>Equipment</x:v>
      </x:c>
      <x:c r="F167" t="str">
        <x:v>Weapon</x:v>
      </x:c>
      <x:c r="G167" t="str">
        <x:v>longbow</x:v>
      </x:c>
      <x:c r="H167" t="str">
        <x:v>Post-MVP</x:v>
      </x:c>
      <x:c r="I167" t="str">
        <x:v>P3</x:v>
      </x:c>
      <x:c r="J167" t="str">
        <x:v>B14_EQUIPMENT_T8</x:v>
      </x:c>
      <x:c r="K167" t="str">
        <x:v>Text to 3D</x:v>
      </x:c>
      <x:c r="L167" t="str">
        <x:v>Optional</x:v>
      </x:c>
      <x:c r="M167" t="n">
        <x:v>1700</x:v>
      </x:c>
      <x:c r="N167" t="str">
        <x:v>1024</x:v>
      </x:c>
      <x:c r="O167" t="str">
        <x:v>No</x:v>
      </x:c>
      <x:c r="P167" t="str">
        <x:v>None</x:v>
      </x:c>
      <x:c r="Q167" t="str">
        <x:v>Prompts/ConceptArt/equipment_longbow_t08_base_concept_sheet.txt</x:v>
      </x:c>
      <x:c r="R167" t="str">
        <x:v>Prompts/Meshy/BaseGeometry/equipment_longbow_t08_base_geometry.txt</x:v>
      </x:c>
      <x:c r="S167" t="str">
        <x:v>Prompts/TextureVariants/equipment_longbow_t08_base_rarity_variants.txt</x:v>
      </x:c>
      <x:c r="T167" t="n">
        <x:v>1</x:v>
      </x:c>
      <x:c r="U167" t="n">
        <x:v>1</x:v>
      </x:c>
      <x:c r="V167" t="n">
        <x:v>1</x:v>
      </x:c>
      <x:c r="W167" t="n">
        <x:v>1</x:v>
      </x:c>
      <x:c r="X167" t="n">
        <x:v>0</x:v>
      </x:c>
      <x:c r="Y167" t="str">
        <x:v>readable at inventory scale; tier identity clear without UI; all six rarity variants preserve family; pivot and scale correct; no fragile geometry; URP PBR maps valid</x:v>
      </x:c>
      <x:c r="Z167" t="str">
        <x:v>Assets/_Game/Art/Equipment/Weapon/longbow/T8/Models</x:v>
      </x:c>
      <x:c r="AA167" t="str">
        <x:v>Not Started</x:v>
      </x:c>
      <x:c r="AB167" t="str">
        <x:v>Pending</x:v>
      </x:c>
      <x:c r="AC167" s="18" t="n">
        <x:f>T167*'Settings &amp; Rates'!$B$5+U167*'Settings &amp; Rates'!$B$6+V167*'Settings &amp; Rates'!$B$7+W167*'Settings &amp; Rates'!$B$8+X167*'Settings &amp; Rates'!$B$9</x:f>
        <x:v>35</x:v>
      </x:c>
      <x:c r="AD167" s="18" t="n">
        <x:f>SUMIF('Attempt Log'!$B$2:$B$101,A167,'Attempt Log'!$K$2:$K$101)</x:f>
        <x:v>0</x:v>
      </x:c>
      <x:c r="AE167" s="18" t="n">
        <x:f>AD167-AC167</x:f>
        <x:v>-35</x:v>
      </x:c>
      <x:c r="AF167" t="n">
        <x:f>COUNTIF('Attempt Log'!$B$2:$B$101,A167)</x:f>
        <x:v>0</x:v>
      </x:c>
      <x:c r="AG167" t="n">
        <x:f>IFERROR(SUMIFS('Attempt Log'!$U$2:$U$101,'Attempt Log'!$B$2:$B$101,A167,'Attempt Log'!$N$2:$N$101,"Yes")/COUNTIFS('Attempt Log'!$B$2:$B$101,A167,'Attempt Log'!$N$2:$N$101,"Yes"),0)</x:f>
        <x:v>0</x:v>
      </x:c>
    </x:row>
    <x:row r="168">
      <x:c r="A168" t="str">
        <x:v>equipment_ring_t08_base</x:v>
      </x:c>
      <x:c r="B168" t="str">
        <x:v>Anel T8</x:v>
      </x:c>
      <x:c r="C168" t="str">
        <x:v>Ring T8</x:v>
      </x:c>
      <x:c r="D168" t="str">
        <x:v>Task017</x:v>
      </x:c>
      <x:c r="E168" t="str">
        <x:v>Equipment</x:v>
      </x:c>
      <x:c r="F168" t="str">
        <x:v>Accessory</x:v>
      </x:c>
      <x:c r="G168" t="str">
        <x:v>ring</x:v>
      </x:c>
      <x:c r="H168" t="str">
        <x:v>Post-MVP</x:v>
      </x:c>
      <x:c r="I168" t="str">
        <x:v>P3</x:v>
      </x:c>
      <x:c r="J168" t="str">
        <x:v>B14_EQUIPMENT_T8</x:v>
      </x:c>
      <x:c r="K168" t="str">
        <x:v>Text to 3D</x:v>
      </x:c>
      <x:c r="L168" t="str">
        <x:v>Optional</x:v>
      </x:c>
      <x:c r="M168" t="n">
        <x:v>550</x:v>
      </x:c>
      <x:c r="N168" t="str">
        <x:v>512</x:v>
      </x:c>
      <x:c r="O168" t="str">
        <x:v>No</x:v>
      </x:c>
      <x:c r="P168" t="str">
        <x:v>None</x:v>
      </x:c>
      <x:c r="Q168" t="str">
        <x:v>Prompts/ConceptArt/equipment_ring_t08_base_concept_sheet.txt</x:v>
      </x:c>
      <x:c r="R168" t="str">
        <x:v>Prompts/Meshy/BaseGeometry/equipment_ring_t08_base_geometry.txt</x:v>
      </x:c>
      <x:c r="S168" t="str">
        <x:v>Prompts/TextureVariants/equipment_ring_t08_base_rarity_variants.txt</x:v>
      </x:c>
      <x:c r="T168" t="n">
        <x:v>1</x:v>
      </x:c>
      <x:c r="U168" t="n">
        <x:v>1</x:v>
      </x:c>
      <x:c r="V168" t="n">
        <x:v>1</x:v>
      </x:c>
      <x:c r="W168" t="n">
        <x:v>1</x:v>
      </x:c>
      <x:c r="X168" t="n">
        <x:v>0</x:v>
      </x:c>
      <x:c r="Y168" t="str">
        <x:v>readable at inventory scale; tier identity clear without UI; all six rarity variants preserve family; pivot and scale correct; no fragile geometry; URP PBR maps valid</x:v>
      </x:c>
      <x:c r="Z168" t="str">
        <x:v>Assets/_Game/Art/Equipment/Accessory/ring/T8/Models</x:v>
      </x:c>
      <x:c r="AA168" t="str">
        <x:v>Not Started</x:v>
      </x:c>
      <x:c r="AB168" t="str">
        <x:v>Pending</x:v>
      </x:c>
      <x:c r="AC168" s="18" t="n">
        <x:f>T168*'Settings &amp; Rates'!$B$5+U168*'Settings &amp; Rates'!$B$6+V168*'Settings &amp; Rates'!$B$7+W168*'Settings &amp; Rates'!$B$8+X168*'Settings &amp; Rates'!$B$9</x:f>
        <x:v>35</x:v>
      </x:c>
      <x:c r="AD168" s="18" t="n">
        <x:f>SUMIF('Attempt Log'!$B$2:$B$101,A168,'Attempt Log'!$K$2:$K$101)</x:f>
        <x:v>0</x:v>
      </x:c>
      <x:c r="AE168" s="18" t="n">
        <x:f>AD168-AC168</x:f>
        <x:v>-35</x:v>
      </x:c>
      <x:c r="AF168" t="n">
        <x:f>COUNTIF('Attempt Log'!$B$2:$B$101,A168)</x:f>
        <x:v>0</x:v>
      </x:c>
      <x:c r="AG168" t="n">
        <x:f>IFERROR(SUMIFS('Attempt Log'!$U$2:$U$101,'Attempt Log'!$B$2:$B$101,A168,'Attempt Log'!$N$2:$N$101,"Yes")/COUNTIFS('Attempt Log'!$B$2:$B$101,A168,'Attempt Log'!$N$2:$N$101,"Yes"),0)</x:f>
        <x:v>0</x:v>
      </x:c>
    </x:row>
    <x:row r="169">
      <x:c r="A169" t="str">
        <x:v>equipment_shield_t08_base</x:v>
      </x:c>
      <x:c r="B169" t="str">
        <x:v>Escudo T8</x:v>
      </x:c>
      <x:c r="C169" t="str">
        <x:v>Shield T8</x:v>
      </x:c>
      <x:c r="D169" t="str">
        <x:v>Task017</x:v>
      </x:c>
      <x:c r="E169" t="str">
        <x:v>Equipment</x:v>
      </x:c>
      <x:c r="F169" t="str">
        <x:v>Weapon</x:v>
      </x:c>
      <x:c r="G169" t="str">
        <x:v>shield</x:v>
      </x:c>
      <x:c r="H169" t="str">
        <x:v>Post-MVP</x:v>
      </x:c>
      <x:c r="I169" t="str">
        <x:v>P3</x:v>
      </x:c>
      <x:c r="J169" t="str">
        <x:v>B14_EQUIPMENT_T8</x:v>
      </x:c>
      <x:c r="K169" t="str">
        <x:v>Text to 3D</x:v>
      </x:c>
      <x:c r="L169" t="str">
        <x:v>Optional</x:v>
      </x:c>
      <x:c r="M169" t="n">
        <x:v>2500</x:v>
      </x:c>
      <x:c r="N169" t="str">
        <x:v>1024</x:v>
      </x:c>
      <x:c r="O169" t="str">
        <x:v>No</x:v>
      </x:c>
      <x:c r="P169" t="str">
        <x:v>None</x:v>
      </x:c>
      <x:c r="Q169" t="str">
        <x:v>Prompts/ConceptArt/equipment_shield_t08_base_concept_sheet.txt</x:v>
      </x:c>
      <x:c r="R169" t="str">
        <x:v>Prompts/Meshy/BaseGeometry/equipment_shield_t08_base_geometry.txt</x:v>
      </x:c>
      <x:c r="S169" t="str">
        <x:v>Prompts/TextureVariants/equipment_shield_t08_base_rarity_variants.txt</x:v>
      </x:c>
      <x:c r="T169" t="n">
        <x:v>1</x:v>
      </x:c>
      <x:c r="U169" t="n">
        <x:v>1</x:v>
      </x:c>
      <x:c r="V169" t="n">
        <x:v>1</x:v>
      </x:c>
      <x:c r="W169" t="n">
        <x:v>1</x:v>
      </x:c>
      <x:c r="X169" t="n">
        <x:v>0</x:v>
      </x:c>
      <x:c r="Y169" t="str">
        <x:v>readable at inventory scale; tier identity clear without UI; all six rarity variants preserve family; pivot and scale correct; no fragile geometry; URP PBR maps valid</x:v>
      </x:c>
      <x:c r="Z169" t="str">
        <x:v>Assets/_Game/Art/Equipment/Weapon/shield/T8/Models</x:v>
      </x:c>
      <x:c r="AA169" t="str">
        <x:v>Not Started</x:v>
      </x:c>
      <x:c r="AB169" t="str">
        <x:v>Pending</x:v>
      </x:c>
      <x:c r="AC169" s="18" t="n">
        <x:f>T169*'Settings &amp; Rates'!$B$5+U169*'Settings &amp; Rates'!$B$6+V169*'Settings &amp; Rates'!$B$7+W169*'Settings &amp; Rates'!$B$8+X169*'Settings &amp; Rates'!$B$9</x:f>
        <x:v>35</x:v>
      </x:c>
      <x:c r="AD169" s="18" t="n">
        <x:f>SUMIF('Attempt Log'!$B$2:$B$101,A169,'Attempt Log'!$K$2:$K$101)</x:f>
        <x:v>0</x:v>
      </x:c>
      <x:c r="AE169" s="18" t="n">
        <x:f>AD169-AC169</x:f>
        <x:v>-35</x:v>
      </x:c>
      <x:c r="AF169" t="n">
        <x:f>COUNTIF('Attempt Log'!$B$2:$B$101,A169)</x:f>
        <x:v>0</x:v>
      </x:c>
      <x:c r="AG169" t="n">
        <x:f>IFERROR(SUMIFS('Attempt Log'!$U$2:$U$101,'Attempt Log'!$B$2:$B$101,A169,'Attempt Log'!$N$2:$N$101,"Yes")/COUNTIFS('Attempt Log'!$B$2:$B$101,A169,'Attempt Log'!$N$2:$N$101,"Yes"),0)</x:f>
        <x:v>0</x:v>
      </x:c>
    </x:row>
    <x:row r="170">
      <x:c r="A170" t="str">
        <x:v>equipment_staff_t08_base</x:v>
      </x:c>
      <x:c r="B170" t="str">
        <x:v>Cajado T8</x:v>
      </x:c>
      <x:c r="C170" t="str">
        <x:v>Staff T8</x:v>
      </x:c>
      <x:c r="D170" t="str">
        <x:v>Task017</x:v>
      </x:c>
      <x:c r="E170" t="str">
        <x:v>Equipment</x:v>
      </x:c>
      <x:c r="F170" t="str">
        <x:v>Weapon</x:v>
      </x:c>
      <x:c r="G170" t="str">
        <x:v>staff</x:v>
      </x:c>
      <x:c r="H170" t="str">
        <x:v>Post-MVP</x:v>
      </x:c>
      <x:c r="I170" t="str">
        <x:v>P3</x:v>
      </x:c>
      <x:c r="J170" t="str">
        <x:v>B14_EQUIPMENT_T8</x:v>
      </x:c>
      <x:c r="K170" t="str">
        <x:v>Text to 3D</x:v>
      </x:c>
      <x:c r="L170" t="str">
        <x:v>Optional</x:v>
      </x:c>
      <x:c r="M170" t="n">
        <x:v>2400</x:v>
      </x:c>
      <x:c r="N170" t="str">
        <x:v>1024</x:v>
      </x:c>
      <x:c r="O170" t="str">
        <x:v>No</x:v>
      </x:c>
      <x:c r="P170" t="str">
        <x:v>None</x:v>
      </x:c>
      <x:c r="Q170" t="str">
        <x:v>Prompts/ConceptArt/equipment_staff_t08_base_concept_sheet.txt</x:v>
      </x:c>
      <x:c r="R170" t="str">
        <x:v>Prompts/Meshy/BaseGeometry/equipment_staff_t08_base_geometry.txt</x:v>
      </x:c>
      <x:c r="S170" t="str">
        <x:v>Prompts/TextureVariants/equipment_staff_t08_base_rarity_variants.txt</x:v>
      </x:c>
      <x:c r="T170" t="n">
        <x:v>1</x:v>
      </x:c>
      <x:c r="U170" t="n">
        <x:v>1</x:v>
      </x:c>
      <x:c r="V170" t="n">
        <x:v>1</x:v>
      </x:c>
      <x:c r="W170" t="n">
        <x:v>1</x:v>
      </x:c>
      <x:c r="X170" t="n">
        <x:v>0</x:v>
      </x:c>
      <x:c r="Y170" t="str">
        <x:v>readable at inventory scale; tier identity clear without UI; all six rarity variants preserve family; pivot and scale correct; no fragile geometry; URP PBR maps valid</x:v>
      </x:c>
      <x:c r="Z170" t="str">
        <x:v>Assets/_Game/Art/Equipment/Weapon/staff/T8/Models</x:v>
      </x:c>
      <x:c r="AA170" t="str">
        <x:v>Not Started</x:v>
      </x:c>
      <x:c r="AB170" t="str">
        <x:v>Pending</x:v>
      </x:c>
      <x:c r="AC170" s="18" t="n">
        <x:f>T170*'Settings &amp; Rates'!$B$5+U170*'Settings &amp; Rates'!$B$6+V170*'Settings &amp; Rates'!$B$7+W170*'Settings &amp; Rates'!$B$8+X170*'Settings &amp; Rates'!$B$9</x:f>
        <x:v>35</x:v>
      </x:c>
      <x:c r="AD170" s="18" t="n">
        <x:f>SUMIF('Attempt Log'!$B$2:$B$101,A170,'Attempt Log'!$K$2:$K$101)</x:f>
        <x:v>0</x:v>
      </x:c>
      <x:c r="AE170" s="18" t="n">
        <x:f>AD170-AC170</x:f>
        <x:v>-35</x:v>
      </x:c>
      <x:c r="AF170" t="n">
        <x:f>COUNTIF('Attempt Log'!$B$2:$B$101,A170)</x:f>
        <x:v>0</x:v>
      </x:c>
      <x:c r="AG170" t="n">
        <x:f>IFERROR(SUMIFS('Attempt Log'!$U$2:$U$101,'Attempt Log'!$B$2:$B$101,A170,'Attempt Log'!$N$2:$N$101,"Yes")/COUNTIFS('Attempt Log'!$B$2:$B$101,A170,'Attempt Log'!$N$2:$N$101,"Yes"),0)</x:f>
        <x:v>0</x:v>
      </x:c>
    </x:row>
    <x:row r="171">
      <x:c r="A171" t="str">
        <x:v>equipment_sword_1h_t08_base</x:v>
      </x:c>
      <x:c r="B171" t="str">
        <x:v>Espada de Uma Mão T8</x:v>
      </x:c>
      <x:c r="C171" t="str">
        <x:v>One-Handed Sword T8</x:v>
      </x:c>
      <x:c r="D171" t="str">
        <x:v>Task017</x:v>
      </x:c>
      <x:c r="E171" t="str">
        <x:v>Equipment</x:v>
      </x:c>
      <x:c r="F171" t="str">
        <x:v>Weapon</x:v>
      </x:c>
      <x:c r="G171" t="str">
        <x:v>sword_1h</x:v>
      </x:c>
      <x:c r="H171" t="str">
        <x:v>Post-MVP</x:v>
      </x:c>
      <x:c r="I171" t="str">
        <x:v>P3</x:v>
      </x:c>
      <x:c r="J171" t="str">
        <x:v>B14_EQUIPMENT_T8</x:v>
      </x:c>
      <x:c r="K171" t="str">
        <x:v>Text to 3D</x:v>
      </x:c>
      <x:c r="L171" t="str">
        <x:v>Optional</x:v>
      </x:c>
      <x:c r="M171" t="n">
        <x:v>2000</x:v>
      </x:c>
      <x:c r="N171" t="str">
        <x:v>1024</x:v>
      </x:c>
      <x:c r="O171" t="str">
        <x:v>No</x:v>
      </x:c>
      <x:c r="P171" t="str">
        <x:v>None</x:v>
      </x:c>
      <x:c r="Q171" t="str">
        <x:v>Prompts/ConceptArt/equipment_sword_1h_t08_base_concept_sheet.txt</x:v>
      </x:c>
      <x:c r="R171" t="str">
        <x:v>Prompts/Meshy/BaseGeometry/equipment_sword_1h_t08_base_geometry.txt</x:v>
      </x:c>
      <x:c r="S171" t="str">
        <x:v>Prompts/TextureVariants/equipment_sword_1h_t08_base_rarity_variants.txt</x:v>
      </x:c>
      <x:c r="T171" t="n">
        <x:v>1</x:v>
      </x:c>
      <x:c r="U171" t="n">
        <x:v>1</x:v>
      </x:c>
      <x:c r="V171" t="n">
        <x:v>1</x:v>
      </x:c>
      <x:c r="W171" t="n">
        <x:v>1</x:v>
      </x:c>
      <x:c r="X171" t="n">
        <x:v>0</x:v>
      </x:c>
      <x:c r="Y171" t="str">
        <x:v>readable at inventory scale; tier identity clear without UI; all six rarity variants preserve family; pivot and scale correct; no fragile geometry; URP PBR maps valid</x:v>
      </x:c>
      <x:c r="Z171" t="str">
        <x:v>Assets/_Game/Art/Equipment/Weapon/sword_1h/T8/Models</x:v>
      </x:c>
      <x:c r="AA171" t="str">
        <x:v>Not Started</x:v>
      </x:c>
      <x:c r="AB171" t="str">
        <x:v>Pending</x:v>
      </x:c>
      <x:c r="AC171" s="18" t="n">
        <x:f>T171*'Settings &amp; Rates'!$B$5+U171*'Settings &amp; Rates'!$B$6+V171*'Settings &amp; Rates'!$B$7+W171*'Settings &amp; Rates'!$B$8+X171*'Settings &amp; Rates'!$B$9</x:f>
        <x:v>35</x:v>
      </x:c>
      <x:c r="AD171" s="18" t="n">
        <x:f>SUMIF('Attempt Log'!$B$2:$B$101,A171,'Attempt Log'!$K$2:$K$101)</x:f>
        <x:v>0</x:v>
      </x:c>
      <x:c r="AE171" s="18" t="n">
        <x:f>AD171-AC171</x:f>
        <x:v>-35</x:v>
      </x:c>
      <x:c r="AF171" t="n">
        <x:f>COUNTIF('Attempt Log'!$B$2:$B$101,A171)</x:f>
        <x:v>0</x:v>
      </x:c>
      <x:c r="AG171" t="n">
        <x:f>IFERROR(SUMIFS('Attempt Log'!$U$2:$U$101,'Attempt Log'!$B$2:$B$101,A171,'Attempt Log'!$N$2:$N$101,"Yes")/COUNTIFS('Attempt Log'!$B$2:$B$101,A171,'Attempt Log'!$N$2:$N$101,"Yes"),0)</x:f>
        <x:v>0</x:v>
      </x:c>
    </x:row>
    <x:row r="172">
      <x:c r="A172" t="str">
        <x:v>equipment_amulet_t09_base</x:v>
      </x:c>
      <x:c r="B172" t="str">
        <x:v>Amuleto T9</x:v>
      </x:c>
      <x:c r="C172" t="str">
        <x:v>Amulet T9</x:v>
      </x:c>
      <x:c r="D172" t="str">
        <x:v>Task017</x:v>
      </x:c>
      <x:c r="E172" t="str">
        <x:v>Equipment</x:v>
      </x:c>
      <x:c r="F172" t="str">
        <x:v>Accessory</x:v>
      </x:c>
      <x:c r="G172" t="str">
        <x:v>amulet</x:v>
      </x:c>
      <x:c r="H172" t="str">
        <x:v>Post-MVP</x:v>
      </x:c>
      <x:c r="I172" t="str">
        <x:v>P3</x:v>
      </x:c>
      <x:c r="J172" t="str">
        <x:v>B15_EQUIPMENT_T9</x:v>
      </x:c>
      <x:c r="K172" t="str">
        <x:v>Text to 3D</x:v>
      </x:c>
      <x:c r="L172" t="str">
        <x:v>Optional</x:v>
      </x:c>
      <x:c r="M172" t="n">
        <x:v>900</x:v>
      </x:c>
      <x:c r="N172" t="str">
        <x:v>512</x:v>
      </x:c>
      <x:c r="O172" t="str">
        <x:v>No</x:v>
      </x:c>
      <x:c r="P172" t="str">
        <x:v>None</x:v>
      </x:c>
      <x:c r="Q172" t="str">
        <x:v>Prompts/ConceptArt/equipment_amulet_t09_base_concept_sheet.txt</x:v>
      </x:c>
      <x:c r="R172" t="str">
        <x:v>Prompts/Meshy/BaseGeometry/equipment_amulet_t09_base_geometry.txt</x:v>
      </x:c>
      <x:c r="S172" t="str">
        <x:v>Prompts/TextureVariants/equipment_amulet_t09_base_rarity_variants.txt</x:v>
      </x:c>
      <x:c r="T172" t="n">
        <x:v>1</x:v>
      </x:c>
      <x:c r="U172" t="n">
        <x:v>1</x:v>
      </x:c>
      <x:c r="V172" t="n">
        <x:v>1</x:v>
      </x:c>
      <x:c r="W172" t="n">
        <x:v>1</x:v>
      </x:c>
      <x:c r="X172" t="n">
        <x:v>0</x:v>
      </x:c>
      <x:c r="Y172" t="str">
        <x:v>readable at inventory scale; tier identity clear without UI; all six rarity variants preserve family; pivot and scale correct; no fragile geometry; URP PBR maps valid</x:v>
      </x:c>
      <x:c r="Z172" t="str">
        <x:v>Assets/_Game/Art/Equipment/Accessory/amulet/T9/Models</x:v>
      </x:c>
      <x:c r="AA172" t="str">
        <x:v>Not Started</x:v>
      </x:c>
      <x:c r="AB172" t="str">
        <x:v>Pending</x:v>
      </x:c>
      <x:c r="AC172" s="18" t="n">
        <x:f>T172*'Settings &amp; Rates'!$B$5+U172*'Settings &amp; Rates'!$B$6+V172*'Settings &amp; Rates'!$B$7+W172*'Settings &amp; Rates'!$B$8+X172*'Settings &amp; Rates'!$B$9</x:f>
        <x:v>35</x:v>
      </x:c>
      <x:c r="AD172" s="18" t="n">
        <x:f>SUMIF('Attempt Log'!$B$2:$B$101,A172,'Attempt Log'!$K$2:$K$101)</x:f>
        <x:v>0</x:v>
      </x:c>
      <x:c r="AE172" s="18" t="n">
        <x:f>AD172-AC172</x:f>
        <x:v>-35</x:v>
      </x:c>
      <x:c r="AF172" t="n">
        <x:f>COUNTIF('Attempt Log'!$B$2:$B$101,A172)</x:f>
        <x:v>0</x:v>
      </x:c>
      <x:c r="AG172" t="n">
        <x:f>IFERROR(SUMIFS('Attempt Log'!$U$2:$U$101,'Attempt Log'!$B$2:$B$101,A172,'Attempt Log'!$N$2:$N$101,"Yes")/COUNTIFS('Attempt Log'!$B$2:$B$101,A172,'Attempt Log'!$N$2:$N$101,"Yes"),0)</x:f>
        <x:v>0</x:v>
      </x:c>
    </x:row>
    <x:row r="173">
      <x:c r="A173" t="str">
        <x:v>equipment_cloth_boots_t09_base</x:v>
      </x:c>
      <x:c r="B173" t="str">
        <x:v>Botas Arcanas T9</x:v>
      </x:c>
      <x:c r="C173" t="str">
        <x:v>Arcane Boots T9</x:v>
      </x:c>
      <x:c r="D173" t="str">
        <x:v>Task017</x:v>
      </x:c>
      <x:c r="E173" t="str">
        <x:v>Equipment</x:v>
      </x:c>
      <x:c r="F173" t="str">
        <x:v>Cloth Armor</x:v>
      </x:c>
      <x:c r="G173" t="str">
        <x:v>cloth_boots</x:v>
      </x:c>
      <x:c r="H173" t="str">
        <x:v>Post-MVP</x:v>
      </x:c>
      <x:c r="I173" t="str">
        <x:v>P3</x:v>
      </x:c>
      <x:c r="J173" t="str">
        <x:v>B15_EQUIPMENT_T9</x:v>
      </x:c>
      <x:c r="K173" t="str">
        <x:v>Image to 3D</x:v>
      </x:c>
      <x:c r="L173" t="str">
        <x:v>Yes</x:v>
      </x:c>
      <x:c r="M173" t="n">
        <x:v>1450</x:v>
      </x:c>
      <x:c r="N173" t="str">
        <x:v>1024</x:v>
      </x:c>
      <x:c r="O173" t="str">
        <x:v>No</x:v>
      </x:c>
      <x:c r="P173" t="str">
        <x:v>None</x:v>
      </x:c>
      <x:c r="Q173" t="str">
        <x:v>Prompts/ConceptArt/equipment_cloth_boots_t09_base_concept_sheet.txt</x:v>
      </x:c>
      <x:c r="R173" t="str">
        <x:v>Prompts/Meshy/BaseGeometry/equipment_cloth_boots_t09_base_geometry.txt</x:v>
      </x:c>
      <x:c r="S173" t="str">
        <x:v>Prompts/TextureVariants/equipment_cloth_boots_t09_base_rarity_variants.txt</x:v>
      </x:c>
      <x:c r="T173" t="n">
        <x:v>2</x:v>
      </x:c>
      <x:c r="U173" t="n">
        <x:v>1</x:v>
      </x:c>
      <x:c r="V173" t="n">
        <x:v>1</x:v>
      </x:c>
      <x:c r="W173" t="n">
        <x:v>1</x:v>
      </x:c>
      <x:c r="X173" t="n">
        <x:v>0</x:v>
      </x:c>
      <x:c r="Y173" t="str">
        <x:v>readable at inventory scale; tier identity clear without UI; all six rarity variants preserve family; pivot and scale correct; no fragile geometry; URP PBR maps valid</x:v>
      </x:c>
      <x:c r="Z173" t="str">
        <x:v>Assets/_Game/Art/Equipment/ClothArmor/cloth_boots/T9/Models</x:v>
      </x:c>
      <x:c r="AA173" t="str">
        <x:v>Not Started</x:v>
      </x:c>
      <x:c r="AB173" t="str">
        <x:v>Pending</x:v>
      </x:c>
      <x:c r="AC173" s="18" t="n">
        <x:f>T173*'Settings &amp; Rates'!$B$5+U173*'Settings &amp; Rates'!$B$6+V173*'Settings &amp; Rates'!$B$7+W173*'Settings &amp; Rates'!$B$8+X173*'Settings &amp; Rates'!$B$9</x:f>
        <x:v>35</x:v>
      </x:c>
      <x:c r="AD173" s="18" t="n">
        <x:f>SUMIF('Attempt Log'!$B$2:$B$101,A173,'Attempt Log'!$K$2:$K$101)</x:f>
        <x:v>0</x:v>
      </x:c>
      <x:c r="AE173" s="18" t="n">
        <x:f>AD173-AC173</x:f>
        <x:v>-35</x:v>
      </x:c>
      <x:c r="AF173" t="n">
        <x:f>COUNTIF('Attempt Log'!$B$2:$B$101,A173)</x:f>
        <x:v>0</x:v>
      </x:c>
      <x:c r="AG173" t="n">
        <x:f>IFERROR(SUMIFS('Attempt Log'!$U$2:$U$101,'Attempt Log'!$B$2:$B$101,A173,'Attempt Log'!$N$2:$N$101,"Yes")/COUNTIFS('Attempt Log'!$B$2:$B$101,A173,'Attempt Log'!$N$2:$N$101,"Yes"),0)</x:f>
        <x:v>0</x:v>
      </x:c>
    </x:row>
    <x:row r="174">
      <x:c r="A174" t="str">
        <x:v>equipment_cloth_gloves_t09_base</x:v>
      </x:c>
      <x:c r="B174" t="str">
        <x:v>Luvas Arcanas T9</x:v>
      </x:c>
      <x:c r="C174" t="str">
        <x:v>Arcane Gloves T9</x:v>
      </x:c>
      <x:c r="D174" t="str">
        <x:v>Task017</x:v>
      </x:c>
      <x:c r="E174" t="str">
        <x:v>Equipment</x:v>
      </x:c>
      <x:c r="F174" t="str">
        <x:v>Cloth Armor</x:v>
      </x:c>
      <x:c r="G174" t="str">
        <x:v>cloth_gloves</x:v>
      </x:c>
      <x:c r="H174" t="str">
        <x:v>Post-MVP</x:v>
      </x:c>
      <x:c r="I174" t="str">
        <x:v>P3</x:v>
      </x:c>
      <x:c r="J174" t="str">
        <x:v>B15_EQUIPMENT_T9</x:v>
      </x:c>
      <x:c r="K174" t="str">
        <x:v>Image to 3D</x:v>
      </x:c>
      <x:c r="L174" t="str">
        <x:v>Yes</x:v>
      </x:c>
      <x:c r="M174" t="n">
        <x:v>1200</x:v>
      </x:c>
      <x:c r="N174" t="str">
        <x:v>1024</x:v>
      </x:c>
      <x:c r="O174" t="str">
        <x:v>No</x:v>
      </x:c>
      <x:c r="P174" t="str">
        <x:v>None</x:v>
      </x:c>
      <x:c r="Q174" t="str">
        <x:v>Prompts/ConceptArt/equipment_cloth_gloves_t09_base_concept_sheet.txt</x:v>
      </x:c>
      <x:c r="R174" t="str">
        <x:v>Prompts/Meshy/BaseGeometry/equipment_cloth_gloves_t09_base_geometry.txt</x:v>
      </x:c>
      <x:c r="S174" t="str">
        <x:v>Prompts/TextureVariants/equipment_cloth_gloves_t09_base_rarity_variants.txt</x:v>
      </x:c>
      <x:c r="T174" t="n">
        <x:v>2</x:v>
      </x:c>
      <x:c r="U174" t="n">
        <x:v>1</x:v>
      </x:c>
      <x:c r="V174" t="n">
        <x:v>1</x:v>
      </x:c>
      <x:c r="W174" t="n">
        <x:v>1</x:v>
      </x:c>
      <x:c r="X174" t="n">
        <x:v>0</x:v>
      </x:c>
      <x:c r="Y174" t="str">
        <x:v>readable at inventory scale; tier identity clear without UI; all six rarity variants preserve family; pivot and scale correct; no fragile geometry; URP PBR maps valid</x:v>
      </x:c>
      <x:c r="Z174" t="str">
        <x:v>Assets/_Game/Art/Equipment/ClothArmor/cloth_gloves/T9/Models</x:v>
      </x:c>
      <x:c r="AA174" t="str">
        <x:v>Not Started</x:v>
      </x:c>
      <x:c r="AB174" t="str">
        <x:v>Pending</x:v>
      </x:c>
      <x:c r="AC174" s="18" t="n">
        <x:f>T174*'Settings &amp; Rates'!$B$5+U174*'Settings &amp; Rates'!$B$6+V174*'Settings &amp; Rates'!$B$7+W174*'Settings &amp; Rates'!$B$8+X174*'Settings &amp; Rates'!$B$9</x:f>
        <x:v>35</x:v>
      </x:c>
      <x:c r="AD174" s="18" t="n">
        <x:f>SUMIF('Attempt Log'!$B$2:$B$101,A174,'Attempt Log'!$K$2:$K$101)</x:f>
        <x:v>0</x:v>
      </x:c>
      <x:c r="AE174" s="18" t="n">
        <x:f>AD174-AC174</x:f>
        <x:v>-35</x:v>
      </x:c>
      <x:c r="AF174" t="n">
        <x:f>COUNTIF('Attempt Log'!$B$2:$B$101,A174)</x:f>
        <x:v>0</x:v>
      </x:c>
      <x:c r="AG174" t="n">
        <x:f>IFERROR(SUMIFS('Attempt Log'!$U$2:$U$101,'Attempt Log'!$B$2:$B$101,A174,'Attempt Log'!$N$2:$N$101,"Yes")/COUNTIFS('Attempt Log'!$B$2:$B$101,A174,'Attempt Log'!$N$2:$N$101,"Yes"),0)</x:f>
        <x:v>0</x:v>
      </x:c>
    </x:row>
    <x:row r="175">
      <x:c r="A175" t="str">
        <x:v>equipment_cloth_hood_t09_base</x:v>
      </x:c>
      <x:c r="B175" t="str">
        <x:v>Capuz Arcano T9</x:v>
      </x:c>
      <x:c r="C175" t="str">
        <x:v>Arcane Hood T9</x:v>
      </x:c>
      <x:c r="D175" t="str">
        <x:v>Task017</x:v>
      </x:c>
      <x:c r="E175" t="str">
        <x:v>Equipment</x:v>
      </x:c>
      <x:c r="F175" t="str">
        <x:v>Cloth Armor</x:v>
      </x:c>
      <x:c r="G175" t="str">
        <x:v>cloth_hood</x:v>
      </x:c>
      <x:c r="H175" t="str">
        <x:v>Post-MVP</x:v>
      </x:c>
      <x:c r="I175" t="str">
        <x:v>P3</x:v>
      </x:c>
      <x:c r="J175" t="str">
        <x:v>B15_EQUIPMENT_T9</x:v>
      </x:c>
      <x:c r="K175" t="str">
        <x:v>Image to 3D</x:v>
      </x:c>
      <x:c r="L175" t="str">
        <x:v>Yes</x:v>
      </x:c>
      <x:c r="M175" t="n">
        <x:v>1500</x:v>
      </x:c>
      <x:c r="N175" t="str">
        <x:v>1024</x:v>
      </x:c>
      <x:c r="O175" t="str">
        <x:v>No</x:v>
      </x:c>
      <x:c r="P175" t="str">
        <x:v>None</x:v>
      </x:c>
      <x:c r="Q175" t="str">
        <x:v>Prompts/ConceptArt/equipment_cloth_hood_t09_base_concept_sheet.txt</x:v>
      </x:c>
      <x:c r="R175" t="str">
        <x:v>Prompts/Meshy/BaseGeometry/equipment_cloth_hood_t09_base_geometry.txt</x:v>
      </x:c>
      <x:c r="S175" t="str">
        <x:v>Prompts/TextureVariants/equipment_cloth_hood_t09_base_rarity_variants.txt</x:v>
      </x:c>
      <x:c r="T175" t="n">
        <x:v>2</x:v>
      </x:c>
      <x:c r="U175" t="n">
        <x:v>1</x:v>
      </x:c>
      <x:c r="V175" t="n">
        <x:v>1</x:v>
      </x:c>
      <x:c r="W175" t="n">
        <x:v>1</x:v>
      </x:c>
      <x:c r="X175" t="n">
        <x:v>0</x:v>
      </x:c>
      <x:c r="Y175" t="str">
        <x:v>readable at inventory scale; tier identity clear without UI; all six rarity variants preserve family; pivot and scale correct; no fragile geometry; URP PBR maps valid</x:v>
      </x:c>
      <x:c r="Z175" t="str">
        <x:v>Assets/_Game/Art/Equipment/ClothArmor/cloth_hood/T9/Models</x:v>
      </x:c>
      <x:c r="AA175" t="str">
        <x:v>Not Started</x:v>
      </x:c>
      <x:c r="AB175" t="str">
        <x:v>Pending</x:v>
      </x:c>
      <x:c r="AC175" s="18" t="n">
        <x:f>T175*'Settings &amp; Rates'!$B$5+U175*'Settings &amp; Rates'!$B$6+V175*'Settings &amp; Rates'!$B$7+W175*'Settings &amp; Rates'!$B$8+X175*'Settings &amp; Rates'!$B$9</x:f>
        <x:v>35</x:v>
      </x:c>
      <x:c r="AD175" s="18" t="n">
        <x:f>SUMIF('Attempt Log'!$B$2:$B$101,A175,'Attempt Log'!$K$2:$K$101)</x:f>
        <x:v>0</x:v>
      </x:c>
      <x:c r="AE175" s="18" t="n">
        <x:f>AD175-AC175</x:f>
        <x:v>-35</x:v>
      </x:c>
      <x:c r="AF175" t="n">
        <x:f>COUNTIF('Attempt Log'!$B$2:$B$101,A175)</x:f>
        <x:v>0</x:v>
      </x:c>
      <x:c r="AG175" t="n">
        <x:f>IFERROR(SUMIFS('Attempt Log'!$U$2:$U$101,'Attempt Log'!$B$2:$B$101,A175,'Attempt Log'!$N$2:$N$101,"Yes")/COUNTIFS('Attempt Log'!$B$2:$B$101,A175,'Attempt Log'!$N$2:$N$101,"Yes"),0)</x:f>
        <x:v>0</x:v>
      </x:c>
    </x:row>
    <x:row r="176">
      <x:c r="A176" t="str">
        <x:v>equipment_cloth_robe_t09_base</x:v>
      </x:c>
      <x:c r="B176" t="str">
        <x:v>Manto Arcano T9</x:v>
      </x:c>
      <x:c r="C176" t="str">
        <x:v>Arcane Robe T9</x:v>
      </x:c>
      <x:c r="D176" t="str">
        <x:v>Task017</x:v>
      </x:c>
      <x:c r="E176" t="str">
        <x:v>Equipment</x:v>
      </x:c>
      <x:c r="F176" t="str">
        <x:v>Cloth Armor</x:v>
      </x:c>
      <x:c r="G176" t="str">
        <x:v>cloth_robe</x:v>
      </x:c>
      <x:c r="H176" t="str">
        <x:v>Post-MVP</x:v>
      </x:c>
      <x:c r="I176" t="str">
        <x:v>P3</x:v>
      </x:c>
      <x:c r="J176" t="str">
        <x:v>B15_EQUIPMENT_T9</x:v>
      </x:c>
      <x:c r="K176" t="str">
        <x:v>Image to 3D</x:v>
      </x:c>
      <x:c r="L176" t="str">
        <x:v>Yes</x:v>
      </x:c>
      <x:c r="M176" t="n">
        <x:v>3350</x:v>
      </x:c>
      <x:c r="N176" t="str">
        <x:v>1024</x:v>
      </x:c>
      <x:c r="O176" t="str">
        <x:v>No</x:v>
      </x:c>
      <x:c r="P176" t="str">
        <x:v>None</x:v>
      </x:c>
      <x:c r="Q176" t="str">
        <x:v>Prompts/ConceptArt/equipment_cloth_robe_t09_base_concept_sheet.txt</x:v>
      </x:c>
      <x:c r="R176" t="str">
        <x:v>Prompts/Meshy/BaseGeometry/equipment_cloth_robe_t09_base_geometry.txt</x:v>
      </x:c>
      <x:c r="S176" t="str">
        <x:v>Prompts/TextureVariants/equipment_cloth_robe_t09_base_rarity_variants.txt</x:v>
      </x:c>
      <x:c r="T176" t="n">
        <x:v>2</x:v>
      </x:c>
      <x:c r="U176" t="n">
        <x:v>1</x:v>
      </x:c>
      <x:c r="V176" t="n">
        <x:v>1</x:v>
      </x:c>
      <x:c r="W176" t="n">
        <x:v>1</x:v>
      </x:c>
      <x:c r="X176" t="n">
        <x:v>0</x:v>
      </x:c>
      <x:c r="Y176" t="str">
        <x:v>readable at inventory scale; tier identity clear without UI; all six rarity variants preserve family; pivot and scale correct; no fragile geometry; URP PBR maps valid</x:v>
      </x:c>
      <x:c r="Z176" t="str">
        <x:v>Assets/_Game/Art/Equipment/ClothArmor/cloth_robe/T9/Models</x:v>
      </x:c>
      <x:c r="AA176" t="str">
        <x:v>Not Started</x:v>
      </x:c>
      <x:c r="AB176" t="str">
        <x:v>Pending</x:v>
      </x:c>
      <x:c r="AC176" s="18" t="n">
        <x:f>T176*'Settings &amp; Rates'!$B$5+U176*'Settings &amp; Rates'!$B$6+V176*'Settings &amp; Rates'!$B$7+W176*'Settings &amp; Rates'!$B$8+X176*'Settings &amp; Rates'!$B$9</x:f>
        <x:v>35</x:v>
      </x:c>
      <x:c r="AD176" s="18" t="n">
        <x:f>SUMIF('Attempt Log'!$B$2:$B$101,A176,'Attempt Log'!$K$2:$K$101)</x:f>
        <x:v>0</x:v>
      </x:c>
      <x:c r="AE176" s="18" t="n">
        <x:f>AD176-AC176</x:f>
        <x:v>-35</x:v>
      </x:c>
      <x:c r="AF176" t="n">
        <x:f>COUNTIF('Attempt Log'!$B$2:$B$101,A176)</x:f>
        <x:v>0</x:v>
      </x:c>
      <x:c r="AG176" t="n">
        <x:f>IFERROR(SUMIFS('Attempt Log'!$U$2:$U$101,'Attempt Log'!$B$2:$B$101,A176,'Attempt Log'!$N$2:$N$101,"Yes")/COUNTIFS('Attempt Log'!$B$2:$B$101,A176,'Attempt Log'!$N$2:$N$101,"Yes"),0)</x:f>
        <x:v>0</x:v>
      </x:c>
    </x:row>
    <x:row r="177">
      <x:c r="A177" t="str">
        <x:v>equipment_heavy_boots_t09_base</x:v>
      </x:c>
      <x:c r="B177" t="str">
        <x:v>Botas Pesadas T9</x:v>
      </x:c>
      <x:c r="C177" t="str">
        <x:v>Heavy Boots T9</x:v>
      </x:c>
      <x:c r="D177" t="str">
        <x:v>Task017</x:v>
      </x:c>
      <x:c r="E177" t="str">
        <x:v>Equipment</x:v>
      </x:c>
      <x:c r="F177" t="str">
        <x:v>Heavy Armor</x:v>
      </x:c>
      <x:c r="G177" t="str">
        <x:v>heavy_boots</x:v>
      </x:c>
      <x:c r="H177" t="str">
        <x:v>Post-MVP</x:v>
      </x:c>
      <x:c r="I177" t="str">
        <x:v>P3</x:v>
      </x:c>
      <x:c r="J177" t="str">
        <x:v>B15_EQUIPMENT_T9</x:v>
      </x:c>
      <x:c r="K177" t="str">
        <x:v>Image to 3D</x:v>
      </x:c>
      <x:c r="L177" t="str">
        <x:v>Yes</x:v>
      </x:c>
      <x:c r="M177" t="n">
        <x:v>1750</x:v>
      </x:c>
      <x:c r="N177" t="str">
        <x:v>1024</x:v>
      </x:c>
      <x:c r="O177" t="str">
        <x:v>No</x:v>
      </x:c>
      <x:c r="P177" t="str">
        <x:v>None</x:v>
      </x:c>
      <x:c r="Q177" t="str">
        <x:v>Prompts/ConceptArt/equipment_heavy_boots_t09_base_concept_sheet.txt</x:v>
      </x:c>
      <x:c r="R177" t="str">
        <x:v>Prompts/Meshy/BaseGeometry/equipment_heavy_boots_t09_base_geometry.txt</x:v>
      </x:c>
      <x:c r="S177" t="str">
        <x:v>Prompts/TextureVariants/equipment_heavy_boots_t09_base_rarity_variants.txt</x:v>
      </x:c>
      <x:c r="T177" t="n">
        <x:v>2</x:v>
      </x:c>
      <x:c r="U177" t="n">
        <x:v>1</x:v>
      </x:c>
      <x:c r="V177" t="n">
        <x:v>1</x:v>
      </x:c>
      <x:c r="W177" t="n">
        <x:v>1</x:v>
      </x:c>
      <x:c r="X177" t="n">
        <x:v>0</x:v>
      </x:c>
      <x:c r="Y177" t="str">
        <x:v>readable at inventory scale; tier identity clear without UI; all six rarity variants preserve family; pivot and scale correct; no fragile geometry; URP PBR maps valid</x:v>
      </x:c>
      <x:c r="Z177" t="str">
        <x:v>Assets/_Game/Art/Equipment/HeavyArmor/heavy_boots/T9/Models</x:v>
      </x:c>
      <x:c r="AA177" t="str">
        <x:v>Not Started</x:v>
      </x:c>
      <x:c r="AB177" t="str">
        <x:v>Pending</x:v>
      </x:c>
      <x:c r="AC177" s="18" t="n">
        <x:f>T177*'Settings &amp; Rates'!$B$5+U177*'Settings &amp; Rates'!$B$6+V177*'Settings &amp; Rates'!$B$7+W177*'Settings &amp; Rates'!$B$8+X177*'Settings &amp; Rates'!$B$9</x:f>
        <x:v>35</x:v>
      </x:c>
      <x:c r="AD177" s="18" t="n">
        <x:f>SUMIF('Attempt Log'!$B$2:$B$101,A177,'Attempt Log'!$K$2:$K$101)</x:f>
        <x:v>0</x:v>
      </x:c>
      <x:c r="AE177" s="18" t="n">
        <x:f>AD177-AC177</x:f>
        <x:v>-35</x:v>
      </x:c>
      <x:c r="AF177" t="n">
        <x:f>COUNTIF('Attempt Log'!$B$2:$B$101,A177)</x:f>
        <x:v>0</x:v>
      </x:c>
      <x:c r="AG177" t="n">
        <x:f>IFERROR(SUMIFS('Attempt Log'!$U$2:$U$101,'Attempt Log'!$B$2:$B$101,A177,'Attempt Log'!$N$2:$N$101,"Yes")/COUNTIFS('Attempt Log'!$B$2:$B$101,A177,'Attempt Log'!$N$2:$N$101,"Yes"),0)</x:f>
        <x:v>0</x:v>
      </x:c>
    </x:row>
    <x:row r="178">
      <x:c r="A178" t="str">
        <x:v>equipment_heavy_chest_t09_base</x:v>
      </x:c>
      <x:c r="B178" t="str">
        <x:v>Peitoral Pesado T9</x:v>
      </x:c>
      <x:c r="C178" t="str">
        <x:v>Heavy Chest Armor T9</x:v>
      </x:c>
      <x:c r="D178" t="str">
        <x:v>Task017</x:v>
      </x:c>
      <x:c r="E178" t="str">
        <x:v>Equipment</x:v>
      </x:c>
      <x:c r="F178" t="str">
        <x:v>Heavy Armor</x:v>
      </x:c>
      <x:c r="G178" t="str">
        <x:v>heavy_chest</x:v>
      </x:c>
      <x:c r="H178" t="str">
        <x:v>Post-MVP</x:v>
      </x:c>
      <x:c r="I178" t="str">
        <x:v>P3</x:v>
      </x:c>
      <x:c r="J178" t="str">
        <x:v>B15_EQUIPMENT_T9</x:v>
      </x:c>
      <x:c r="K178" t="str">
        <x:v>Image to 3D</x:v>
      </x:c>
      <x:c r="L178" t="str">
        <x:v>Yes</x:v>
      </x:c>
      <x:c r="M178" t="n">
        <x:v>3750</x:v>
      </x:c>
      <x:c r="N178" t="str">
        <x:v>1024</x:v>
      </x:c>
      <x:c r="O178" t="str">
        <x:v>No</x:v>
      </x:c>
      <x:c r="P178" t="str">
        <x:v>None</x:v>
      </x:c>
      <x:c r="Q178" t="str">
        <x:v>Prompts/ConceptArt/equipment_heavy_chest_t09_base_concept_sheet.txt</x:v>
      </x:c>
      <x:c r="R178" t="str">
        <x:v>Prompts/Meshy/BaseGeometry/equipment_heavy_chest_t09_base_geometry.txt</x:v>
      </x:c>
      <x:c r="S178" t="str">
        <x:v>Prompts/TextureVariants/equipment_heavy_chest_t09_base_rarity_variants.txt</x:v>
      </x:c>
      <x:c r="T178" t="n">
        <x:v>2</x:v>
      </x:c>
      <x:c r="U178" t="n">
        <x:v>1</x:v>
      </x:c>
      <x:c r="V178" t="n">
        <x:v>1</x:v>
      </x:c>
      <x:c r="W178" t="n">
        <x:v>1</x:v>
      </x:c>
      <x:c r="X178" t="n">
        <x:v>0</x:v>
      </x:c>
      <x:c r="Y178" t="str">
        <x:v>readable at inventory scale; tier identity clear without UI; all six rarity variants preserve family; pivot and scale correct; no fragile geometry; URP PBR maps valid</x:v>
      </x:c>
      <x:c r="Z178" t="str">
        <x:v>Assets/_Game/Art/Equipment/HeavyArmor/heavy_chest/T9/Models</x:v>
      </x:c>
      <x:c r="AA178" t="str">
        <x:v>Not Started</x:v>
      </x:c>
      <x:c r="AB178" t="str">
        <x:v>Pending</x:v>
      </x:c>
      <x:c r="AC178" s="18" t="n">
        <x:f>T178*'Settings &amp; Rates'!$B$5+U178*'Settings &amp; Rates'!$B$6+V178*'Settings &amp; Rates'!$B$7+W178*'Settings &amp; Rates'!$B$8+X178*'Settings &amp; Rates'!$B$9</x:f>
        <x:v>35</x:v>
      </x:c>
      <x:c r="AD178" s="18" t="n">
        <x:f>SUMIF('Attempt Log'!$B$2:$B$101,A178,'Attempt Log'!$K$2:$K$101)</x:f>
        <x:v>0</x:v>
      </x:c>
      <x:c r="AE178" s="18" t="n">
        <x:f>AD178-AC178</x:f>
        <x:v>-35</x:v>
      </x:c>
      <x:c r="AF178" t="n">
        <x:f>COUNTIF('Attempt Log'!$B$2:$B$101,A178)</x:f>
        <x:v>0</x:v>
      </x:c>
      <x:c r="AG178" t="n">
        <x:f>IFERROR(SUMIFS('Attempt Log'!$U$2:$U$101,'Attempt Log'!$B$2:$B$101,A178,'Attempt Log'!$N$2:$N$101,"Yes")/COUNTIFS('Attempt Log'!$B$2:$B$101,A178,'Attempt Log'!$N$2:$N$101,"Yes"),0)</x:f>
        <x:v>0</x:v>
      </x:c>
    </x:row>
    <x:row r="179">
      <x:c r="A179" t="str">
        <x:v>equipment_heavy_gloves_t09_base</x:v>
      </x:c>
      <x:c r="B179" t="str">
        <x:v>Manoplas Pesadas T9</x:v>
      </x:c>
      <x:c r="C179" t="str">
        <x:v>Heavy Gauntlets T9</x:v>
      </x:c>
      <x:c r="D179" t="str">
        <x:v>Task017</x:v>
      </x:c>
      <x:c r="E179" t="str">
        <x:v>Equipment</x:v>
      </x:c>
      <x:c r="F179" t="str">
        <x:v>Heavy Armor</x:v>
      </x:c>
      <x:c r="G179" t="str">
        <x:v>heavy_gloves</x:v>
      </x:c>
      <x:c r="H179" t="str">
        <x:v>Post-MVP</x:v>
      </x:c>
      <x:c r="I179" t="str">
        <x:v>P3</x:v>
      </x:c>
      <x:c r="J179" t="str">
        <x:v>B15_EQUIPMENT_T9</x:v>
      </x:c>
      <x:c r="K179" t="str">
        <x:v>Image to 3D</x:v>
      </x:c>
      <x:c r="L179" t="str">
        <x:v>Yes</x:v>
      </x:c>
      <x:c r="M179" t="n">
        <x:v>1550</x:v>
      </x:c>
      <x:c r="N179" t="str">
        <x:v>1024</x:v>
      </x:c>
      <x:c r="O179" t="str">
        <x:v>No</x:v>
      </x:c>
      <x:c r="P179" t="str">
        <x:v>None</x:v>
      </x:c>
      <x:c r="Q179" t="str">
        <x:v>Prompts/ConceptArt/equipment_heavy_gloves_t09_base_concept_sheet.txt</x:v>
      </x:c>
      <x:c r="R179" t="str">
        <x:v>Prompts/Meshy/BaseGeometry/equipment_heavy_gloves_t09_base_geometry.txt</x:v>
      </x:c>
      <x:c r="S179" t="str">
        <x:v>Prompts/TextureVariants/equipment_heavy_gloves_t09_base_rarity_variants.txt</x:v>
      </x:c>
      <x:c r="T179" t="n">
        <x:v>2</x:v>
      </x:c>
      <x:c r="U179" t="n">
        <x:v>1</x:v>
      </x:c>
      <x:c r="V179" t="n">
        <x:v>1</x:v>
      </x:c>
      <x:c r="W179" t="n">
        <x:v>1</x:v>
      </x:c>
      <x:c r="X179" t="n">
        <x:v>0</x:v>
      </x:c>
      <x:c r="Y179" t="str">
        <x:v>readable at inventory scale; tier identity clear without UI; all six rarity variants preserve family; pivot and scale correct; no fragile geometry; URP PBR maps valid</x:v>
      </x:c>
      <x:c r="Z179" t="str">
        <x:v>Assets/_Game/Art/Equipment/HeavyArmor/heavy_gloves/T9/Models</x:v>
      </x:c>
      <x:c r="AA179" t="str">
        <x:v>Not Started</x:v>
      </x:c>
      <x:c r="AB179" t="str">
        <x:v>Pending</x:v>
      </x:c>
      <x:c r="AC179" s="18" t="n">
        <x:f>T179*'Settings &amp; Rates'!$B$5+U179*'Settings &amp; Rates'!$B$6+V179*'Settings &amp; Rates'!$B$7+W179*'Settings &amp; Rates'!$B$8+X179*'Settings &amp; Rates'!$B$9</x:f>
        <x:v>35</x:v>
      </x:c>
      <x:c r="AD179" s="18" t="n">
        <x:f>SUMIF('Attempt Log'!$B$2:$B$101,A179,'Attempt Log'!$K$2:$K$101)</x:f>
        <x:v>0</x:v>
      </x:c>
      <x:c r="AE179" s="18" t="n">
        <x:f>AD179-AC179</x:f>
        <x:v>-35</x:v>
      </x:c>
      <x:c r="AF179" t="n">
        <x:f>COUNTIF('Attempt Log'!$B$2:$B$101,A179)</x:f>
        <x:v>0</x:v>
      </x:c>
      <x:c r="AG179" t="n">
        <x:f>IFERROR(SUMIFS('Attempt Log'!$U$2:$U$101,'Attempt Log'!$B$2:$B$101,A179,'Attempt Log'!$N$2:$N$101,"Yes")/COUNTIFS('Attempt Log'!$B$2:$B$101,A179,'Attempt Log'!$N$2:$N$101,"Yes"),0)</x:f>
        <x:v>0</x:v>
      </x:c>
    </x:row>
    <x:row r="180">
      <x:c r="A180" t="str">
        <x:v>equipment_heavy_helmet_t09_base</x:v>
      </x:c>
      <x:c r="B180" t="str">
        <x:v>Elmo Pesado T9</x:v>
      </x:c>
      <x:c r="C180" t="str">
        <x:v>Heavy Helmet T9</x:v>
      </x:c>
      <x:c r="D180" t="str">
        <x:v>Task017</x:v>
      </x:c>
      <x:c r="E180" t="str">
        <x:v>Equipment</x:v>
      </x:c>
      <x:c r="F180" t="str">
        <x:v>Heavy Armor</x:v>
      </x:c>
      <x:c r="G180" t="str">
        <x:v>heavy_helmet</x:v>
      </x:c>
      <x:c r="H180" t="str">
        <x:v>Post-MVP</x:v>
      </x:c>
      <x:c r="I180" t="str">
        <x:v>P3</x:v>
      </x:c>
      <x:c r="J180" t="str">
        <x:v>B15_EQUIPMENT_T9</x:v>
      </x:c>
      <x:c r="K180" t="str">
        <x:v>Image to 3D</x:v>
      </x:c>
      <x:c r="L180" t="str">
        <x:v>Yes</x:v>
      </x:c>
      <x:c r="M180" t="n">
        <x:v>2200</x:v>
      </x:c>
      <x:c r="N180" t="str">
        <x:v>1024</x:v>
      </x:c>
      <x:c r="O180" t="str">
        <x:v>No</x:v>
      </x:c>
      <x:c r="P180" t="str">
        <x:v>None</x:v>
      </x:c>
      <x:c r="Q180" t="str">
        <x:v>Prompts/ConceptArt/equipment_heavy_helmet_t09_base_concept_sheet.txt</x:v>
      </x:c>
      <x:c r="R180" t="str">
        <x:v>Prompts/Meshy/BaseGeometry/equipment_heavy_helmet_t09_base_geometry.txt</x:v>
      </x:c>
      <x:c r="S180" t="str">
        <x:v>Prompts/TextureVariants/equipment_heavy_helmet_t09_base_rarity_variants.txt</x:v>
      </x:c>
      <x:c r="T180" t="n">
        <x:v>2</x:v>
      </x:c>
      <x:c r="U180" t="n">
        <x:v>1</x:v>
      </x:c>
      <x:c r="V180" t="n">
        <x:v>1</x:v>
      </x:c>
      <x:c r="W180" t="n">
        <x:v>1</x:v>
      </x:c>
      <x:c r="X180" t="n">
        <x:v>0</x:v>
      </x:c>
      <x:c r="Y180" t="str">
        <x:v>readable at inventory scale; tier identity clear without UI; all six rarity variants preserve family; pivot and scale correct; no fragile geometry; URP PBR maps valid</x:v>
      </x:c>
      <x:c r="Z180" t="str">
        <x:v>Assets/_Game/Art/Equipment/HeavyArmor/heavy_helmet/T9/Models</x:v>
      </x:c>
      <x:c r="AA180" t="str">
        <x:v>Not Started</x:v>
      </x:c>
      <x:c r="AB180" t="str">
        <x:v>Pending</x:v>
      </x:c>
      <x:c r="AC180" s="18" t="n">
        <x:f>T180*'Settings &amp; Rates'!$B$5+U180*'Settings &amp; Rates'!$B$6+V180*'Settings &amp; Rates'!$B$7+W180*'Settings &amp; Rates'!$B$8+X180*'Settings &amp; Rates'!$B$9</x:f>
        <x:v>35</x:v>
      </x:c>
      <x:c r="AD180" s="18" t="n">
        <x:f>SUMIF('Attempt Log'!$B$2:$B$101,A180,'Attempt Log'!$K$2:$K$101)</x:f>
        <x:v>0</x:v>
      </x:c>
      <x:c r="AE180" s="18" t="n">
        <x:f>AD180-AC180</x:f>
        <x:v>-35</x:v>
      </x:c>
      <x:c r="AF180" t="n">
        <x:f>COUNTIF('Attempt Log'!$B$2:$B$101,A180)</x:f>
        <x:v>0</x:v>
      </x:c>
      <x:c r="AG180" t="n">
        <x:f>IFERROR(SUMIFS('Attempt Log'!$U$2:$U$101,'Attempt Log'!$B$2:$B$101,A180,'Attempt Log'!$N$2:$N$101,"Yes")/COUNTIFS('Attempt Log'!$B$2:$B$101,A180,'Attempt Log'!$N$2:$N$101,"Yes"),0)</x:f>
        <x:v>0</x:v>
      </x:c>
    </x:row>
    <x:row r="181">
      <x:c r="A181" t="str">
        <x:v>equipment_light_boots_t09_base</x:v>
      </x:c>
      <x:c r="B181" t="str">
        <x:v>Botas Leves T9</x:v>
      </x:c>
      <x:c r="C181" t="str">
        <x:v>Light Boots T9</x:v>
      </x:c>
      <x:c r="D181" t="str">
        <x:v>Task017</x:v>
      </x:c>
      <x:c r="E181" t="str">
        <x:v>Equipment</x:v>
      </x:c>
      <x:c r="F181" t="str">
        <x:v>Light Armor</x:v>
      </x:c>
      <x:c r="G181" t="str">
        <x:v>light_boots</x:v>
      </x:c>
      <x:c r="H181" t="str">
        <x:v>Post-MVP</x:v>
      </x:c>
      <x:c r="I181" t="str">
        <x:v>P3</x:v>
      </x:c>
      <x:c r="J181" t="str">
        <x:v>B15_EQUIPMENT_T9</x:v>
      </x:c>
      <x:c r="K181" t="str">
        <x:v>Image to 3D</x:v>
      </x:c>
      <x:c r="L181" t="str">
        <x:v>Yes</x:v>
      </x:c>
      <x:c r="M181" t="n">
        <x:v>1450</x:v>
      </x:c>
      <x:c r="N181" t="str">
        <x:v>1024</x:v>
      </x:c>
      <x:c r="O181" t="str">
        <x:v>No</x:v>
      </x:c>
      <x:c r="P181" t="str">
        <x:v>None</x:v>
      </x:c>
      <x:c r="Q181" t="str">
        <x:v>Prompts/ConceptArt/equipment_light_boots_t09_base_concept_sheet.txt</x:v>
      </x:c>
      <x:c r="R181" t="str">
        <x:v>Prompts/Meshy/BaseGeometry/equipment_light_boots_t09_base_geometry.txt</x:v>
      </x:c>
      <x:c r="S181" t="str">
        <x:v>Prompts/TextureVariants/equipment_light_boots_t09_base_rarity_variants.txt</x:v>
      </x:c>
      <x:c r="T181" t="n">
        <x:v>2</x:v>
      </x:c>
      <x:c r="U181" t="n">
        <x:v>1</x:v>
      </x:c>
      <x:c r="V181" t="n">
        <x:v>1</x:v>
      </x:c>
      <x:c r="W181" t="n">
        <x:v>1</x:v>
      </x:c>
      <x:c r="X181" t="n">
        <x:v>0</x:v>
      </x:c>
      <x:c r="Y181" t="str">
        <x:v>readable at inventory scale; tier identity clear without UI; all six rarity variants preserve family; pivot and scale correct; no fragile geometry; URP PBR maps valid</x:v>
      </x:c>
      <x:c r="Z181" t="str">
        <x:v>Assets/_Game/Art/Equipment/LightArmor/light_boots/T9/Models</x:v>
      </x:c>
      <x:c r="AA181" t="str">
        <x:v>Not Started</x:v>
      </x:c>
      <x:c r="AB181" t="str">
        <x:v>Pending</x:v>
      </x:c>
      <x:c r="AC181" s="18" t="n">
        <x:f>T181*'Settings &amp; Rates'!$B$5+U181*'Settings &amp; Rates'!$B$6+V181*'Settings &amp; Rates'!$B$7+W181*'Settings &amp; Rates'!$B$8+X181*'Settings &amp; Rates'!$B$9</x:f>
        <x:v>35</x:v>
      </x:c>
      <x:c r="AD181" s="18" t="n">
        <x:f>SUMIF('Attempt Log'!$B$2:$B$101,A181,'Attempt Log'!$K$2:$K$101)</x:f>
        <x:v>0</x:v>
      </x:c>
      <x:c r="AE181" s="18" t="n">
        <x:f>AD181-AC181</x:f>
        <x:v>-35</x:v>
      </x:c>
      <x:c r="AF181" t="n">
        <x:f>COUNTIF('Attempt Log'!$B$2:$B$101,A181)</x:f>
        <x:v>0</x:v>
      </x:c>
      <x:c r="AG181" t="n">
        <x:f>IFERROR(SUMIFS('Attempt Log'!$U$2:$U$101,'Attempt Log'!$B$2:$B$101,A181,'Attempt Log'!$N$2:$N$101,"Yes")/COUNTIFS('Attempt Log'!$B$2:$B$101,A181,'Attempt Log'!$N$2:$N$101,"Yes"),0)</x:f>
        <x:v>0</x:v>
      </x:c>
    </x:row>
    <x:row r="182">
      <x:c r="A182" t="str">
        <x:v>equipment_light_chest_t09_base</x:v>
      </x:c>
      <x:c r="B182" t="str">
        <x:v>Armadura Leve T9</x:v>
      </x:c>
      <x:c r="C182" t="str">
        <x:v>Light Chest Armor T9</x:v>
      </x:c>
      <x:c r="D182" t="str">
        <x:v>Task017</x:v>
      </x:c>
      <x:c r="E182" t="str">
        <x:v>Equipment</x:v>
      </x:c>
      <x:c r="F182" t="str">
        <x:v>Light Armor</x:v>
      </x:c>
      <x:c r="G182" t="str">
        <x:v>light_chest</x:v>
      </x:c>
      <x:c r="H182" t="str">
        <x:v>Post-MVP</x:v>
      </x:c>
      <x:c r="I182" t="str">
        <x:v>P3</x:v>
      </x:c>
      <x:c r="J182" t="str">
        <x:v>B15_EQUIPMENT_T9</x:v>
      </x:c>
      <x:c r="K182" t="str">
        <x:v>Image to 3D</x:v>
      </x:c>
      <x:c r="L182" t="str">
        <x:v>Yes</x:v>
      </x:c>
      <x:c r="M182" t="n">
        <x:v>2800</x:v>
      </x:c>
      <x:c r="N182" t="str">
        <x:v>1024</x:v>
      </x:c>
      <x:c r="O182" t="str">
        <x:v>No</x:v>
      </x:c>
      <x:c r="P182" t="str">
        <x:v>None</x:v>
      </x:c>
      <x:c r="Q182" t="str">
        <x:v>Prompts/ConceptArt/equipment_light_chest_t09_base_concept_sheet.txt</x:v>
      </x:c>
      <x:c r="R182" t="str">
        <x:v>Prompts/Meshy/BaseGeometry/equipment_light_chest_t09_base_geometry.txt</x:v>
      </x:c>
      <x:c r="S182" t="str">
        <x:v>Prompts/TextureVariants/equipment_light_chest_t09_base_rarity_variants.txt</x:v>
      </x:c>
      <x:c r="T182" t="n">
        <x:v>2</x:v>
      </x:c>
      <x:c r="U182" t="n">
        <x:v>1</x:v>
      </x:c>
      <x:c r="V182" t="n">
        <x:v>1</x:v>
      </x:c>
      <x:c r="W182" t="n">
        <x:v>1</x:v>
      </x:c>
      <x:c r="X182" t="n">
        <x:v>0</x:v>
      </x:c>
      <x:c r="Y182" t="str">
        <x:v>readable at inventory scale; tier identity clear without UI; all six rarity variants preserve family; pivot and scale correct; no fragile geometry; URP PBR maps valid</x:v>
      </x:c>
      <x:c r="Z182" t="str">
        <x:v>Assets/_Game/Art/Equipment/LightArmor/light_chest/T9/Models</x:v>
      </x:c>
      <x:c r="AA182" t="str">
        <x:v>Not Started</x:v>
      </x:c>
      <x:c r="AB182" t="str">
        <x:v>Pending</x:v>
      </x:c>
      <x:c r="AC182" s="18" t="n">
        <x:f>T182*'Settings &amp; Rates'!$B$5+U182*'Settings &amp; Rates'!$B$6+V182*'Settings &amp; Rates'!$B$7+W182*'Settings &amp; Rates'!$B$8+X182*'Settings &amp; Rates'!$B$9</x:f>
        <x:v>35</x:v>
      </x:c>
      <x:c r="AD182" s="18" t="n">
        <x:f>SUMIF('Attempt Log'!$B$2:$B$101,A182,'Attempt Log'!$K$2:$K$101)</x:f>
        <x:v>0</x:v>
      </x:c>
      <x:c r="AE182" s="18" t="n">
        <x:f>AD182-AC182</x:f>
        <x:v>-35</x:v>
      </x:c>
      <x:c r="AF182" t="n">
        <x:f>COUNTIF('Attempt Log'!$B$2:$B$101,A182)</x:f>
        <x:v>0</x:v>
      </x:c>
      <x:c r="AG182" t="n">
        <x:f>IFERROR(SUMIFS('Attempt Log'!$U$2:$U$101,'Attempt Log'!$B$2:$B$101,A182,'Attempt Log'!$N$2:$N$101,"Yes")/COUNTIFS('Attempt Log'!$B$2:$B$101,A182,'Attempt Log'!$N$2:$N$101,"Yes"),0)</x:f>
        <x:v>0</x:v>
      </x:c>
    </x:row>
    <x:row r="183">
      <x:c r="A183" t="str">
        <x:v>equipment_light_gloves_t09_base</x:v>
      </x:c>
      <x:c r="B183" t="str">
        <x:v>Luvas Leves T9</x:v>
      </x:c>
      <x:c r="C183" t="str">
        <x:v>Light Gloves T9</x:v>
      </x:c>
      <x:c r="D183" t="str">
        <x:v>Task017</x:v>
      </x:c>
      <x:c r="E183" t="str">
        <x:v>Equipment</x:v>
      </x:c>
      <x:c r="F183" t="str">
        <x:v>Light Armor</x:v>
      </x:c>
      <x:c r="G183" t="str">
        <x:v>light_gloves</x:v>
      </x:c>
      <x:c r="H183" t="str">
        <x:v>Post-MVP</x:v>
      </x:c>
      <x:c r="I183" t="str">
        <x:v>P3</x:v>
      </x:c>
      <x:c r="J183" t="str">
        <x:v>B15_EQUIPMENT_T9</x:v>
      </x:c>
      <x:c r="K183" t="str">
        <x:v>Image to 3D</x:v>
      </x:c>
      <x:c r="L183" t="str">
        <x:v>Yes</x:v>
      </x:c>
      <x:c r="M183" t="n">
        <x:v>1200</x:v>
      </x:c>
      <x:c r="N183" t="str">
        <x:v>1024</x:v>
      </x:c>
      <x:c r="O183" t="str">
        <x:v>No</x:v>
      </x:c>
      <x:c r="P183" t="str">
        <x:v>None</x:v>
      </x:c>
      <x:c r="Q183" t="str">
        <x:v>Prompts/ConceptArt/equipment_light_gloves_t09_base_concept_sheet.txt</x:v>
      </x:c>
      <x:c r="R183" t="str">
        <x:v>Prompts/Meshy/BaseGeometry/equipment_light_gloves_t09_base_geometry.txt</x:v>
      </x:c>
      <x:c r="S183" t="str">
        <x:v>Prompts/TextureVariants/equipment_light_gloves_t09_base_rarity_variants.txt</x:v>
      </x:c>
      <x:c r="T183" t="n">
        <x:v>2</x:v>
      </x:c>
      <x:c r="U183" t="n">
        <x:v>1</x:v>
      </x:c>
      <x:c r="V183" t="n">
        <x:v>1</x:v>
      </x:c>
      <x:c r="W183" t="n">
        <x:v>1</x:v>
      </x:c>
      <x:c r="X183" t="n">
        <x:v>0</x:v>
      </x:c>
      <x:c r="Y183" t="str">
        <x:v>readable at inventory scale; tier identity clear without UI; all six rarity variants preserve family; pivot and scale correct; no fragile geometry; URP PBR maps valid</x:v>
      </x:c>
      <x:c r="Z183" t="str">
        <x:v>Assets/_Game/Art/Equipment/LightArmor/light_gloves/T9/Models</x:v>
      </x:c>
      <x:c r="AA183" t="str">
        <x:v>Not Started</x:v>
      </x:c>
      <x:c r="AB183" t="str">
        <x:v>Pending</x:v>
      </x:c>
      <x:c r="AC183" s="18" t="n">
        <x:f>T183*'Settings &amp; Rates'!$B$5+U183*'Settings &amp; Rates'!$B$6+V183*'Settings &amp; Rates'!$B$7+W183*'Settings &amp; Rates'!$B$8+X183*'Settings &amp; Rates'!$B$9</x:f>
        <x:v>35</x:v>
      </x:c>
      <x:c r="AD183" s="18" t="n">
        <x:f>SUMIF('Attempt Log'!$B$2:$B$101,A183,'Attempt Log'!$K$2:$K$101)</x:f>
        <x:v>0</x:v>
      </x:c>
      <x:c r="AE183" s="18" t="n">
        <x:f>AD183-AC183</x:f>
        <x:v>-35</x:v>
      </x:c>
      <x:c r="AF183" t="n">
        <x:f>COUNTIF('Attempt Log'!$B$2:$B$101,A183)</x:f>
        <x:v>0</x:v>
      </x:c>
      <x:c r="AG183" t="n">
        <x:f>IFERROR(SUMIFS('Attempt Log'!$U$2:$U$101,'Attempt Log'!$B$2:$B$101,A183,'Attempt Log'!$N$2:$N$101,"Yes")/COUNTIFS('Attempt Log'!$B$2:$B$101,A183,'Attempt Log'!$N$2:$N$101,"Yes"),0)</x:f>
        <x:v>0</x:v>
      </x:c>
    </x:row>
    <x:row r="184">
      <x:c r="A184" t="str">
        <x:v>equipment_light_hood_t09_base</x:v>
      </x:c>
      <x:c r="B184" t="str">
        <x:v>Capuz Leve T9</x:v>
      </x:c>
      <x:c r="C184" t="str">
        <x:v>Light Hood T9</x:v>
      </x:c>
      <x:c r="D184" t="str">
        <x:v>Task017</x:v>
      </x:c>
      <x:c r="E184" t="str">
        <x:v>Equipment</x:v>
      </x:c>
      <x:c r="F184" t="str">
        <x:v>Light Armor</x:v>
      </x:c>
      <x:c r="G184" t="str">
        <x:v>light_hood</x:v>
      </x:c>
      <x:c r="H184" t="str">
        <x:v>Post-MVP</x:v>
      </x:c>
      <x:c r="I184" t="str">
        <x:v>P3</x:v>
      </x:c>
      <x:c r="J184" t="str">
        <x:v>B15_EQUIPMENT_T9</x:v>
      </x:c>
      <x:c r="K184" t="str">
        <x:v>Image to 3D</x:v>
      </x:c>
      <x:c r="L184" t="str">
        <x:v>Yes</x:v>
      </x:c>
      <x:c r="M184" t="n">
        <x:v>1450</x:v>
      </x:c>
      <x:c r="N184" t="str">
        <x:v>1024</x:v>
      </x:c>
      <x:c r="O184" t="str">
        <x:v>No</x:v>
      </x:c>
      <x:c r="P184" t="str">
        <x:v>None</x:v>
      </x:c>
      <x:c r="Q184" t="str">
        <x:v>Prompts/ConceptArt/equipment_light_hood_t09_base_concept_sheet.txt</x:v>
      </x:c>
      <x:c r="R184" t="str">
        <x:v>Prompts/Meshy/BaseGeometry/equipment_light_hood_t09_base_geometry.txt</x:v>
      </x:c>
      <x:c r="S184" t="str">
        <x:v>Prompts/TextureVariants/equipment_light_hood_t09_base_rarity_variants.txt</x:v>
      </x:c>
      <x:c r="T184" t="n">
        <x:v>2</x:v>
      </x:c>
      <x:c r="U184" t="n">
        <x:v>1</x:v>
      </x:c>
      <x:c r="V184" t="n">
        <x:v>1</x:v>
      </x:c>
      <x:c r="W184" t="n">
        <x:v>1</x:v>
      </x:c>
      <x:c r="X184" t="n">
        <x:v>0</x:v>
      </x:c>
      <x:c r="Y184" t="str">
        <x:v>readable at inventory scale; tier identity clear without UI; all six rarity variants preserve family; pivot and scale correct; no fragile geometry; URP PBR maps valid</x:v>
      </x:c>
      <x:c r="Z184" t="str">
        <x:v>Assets/_Game/Art/Equipment/LightArmor/light_hood/T9/Models</x:v>
      </x:c>
      <x:c r="AA184" t="str">
        <x:v>Not Started</x:v>
      </x:c>
      <x:c r="AB184" t="str">
        <x:v>Pending</x:v>
      </x:c>
      <x:c r="AC184" s="18" t="n">
        <x:f>T184*'Settings &amp; Rates'!$B$5+U184*'Settings &amp; Rates'!$B$6+V184*'Settings &amp; Rates'!$B$7+W184*'Settings &amp; Rates'!$B$8+X184*'Settings &amp; Rates'!$B$9</x:f>
        <x:v>35</x:v>
      </x:c>
      <x:c r="AD184" s="18" t="n">
        <x:f>SUMIF('Attempt Log'!$B$2:$B$101,A184,'Attempt Log'!$K$2:$K$101)</x:f>
        <x:v>0</x:v>
      </x:c>
      <x:c r="AE184" s="18" t="n">
        <x:f>AD184-AC184</x:f>
        <x:v>-35</x:v>
      </x:c>
      <x:c r="AF184" t="n">
        <x:f>COUNTIF('Attempt Log'!$B$2:$B$101,A184)</x:f>
        <x:v>0</x:v>
      </x:c>
      <x:c r="AG184" t="n">
        <x:f>IFERROR(SUMIFS('Attempt Log'!$U$2:$U$101,'Attempt Log'!$B$2:$B$101,A184,'Attempt Log'!$N$2:$N$101,"Yes")/COUNTIFS('Attempt Log'!$B$2:$B$101,A184,'Attempt Log'!$N$2:$N$101,"Yes"),0)</x:f>
        <x:v>0</x:v>
      </x:c>
    </x:row>
    <x:row r="185">
      <x:c r="A185" t="str">
        <x:v>equipment_longbow_t09_base</x:v>
      </x:c>
      <x:c r="B185" t="str">
        <x:v>Arco Longo T9</x:v>
      </x:c>
      <x:c r="C185" t="str">
        <x:v>Longbow T9</x:v>
      </x:c>
      <x:c r="D185" t="str">
        <x:v>Task017</x:v>
      </x:c>
      <x:c r="E185" t="str">
        <x:v>Equipment</x:v>
      </x:c>
      <x:c r="F185" t="str">
        <x:v>Weapon</x:v>
      </x:c>
      <x:c r="G185" t="str">
        <x:v>longbow</x:v>
      </x:c>
      <x:c r="H185" t="str">
        <x:v>Post-MVP</x:v>
      </x:c>
      <x:c r="I185" t="str">
        <x:v>P3</x:v>
      </x:c>
      <x:c r="J185" t="str">
        <x:v>B15_EQUIPMENT_T9</x:v>
      </x:c>
      <x:c r="K185" t="str">
        <x:v>Text to 3D</x:v>
      </x:c>
      <x:c r="L185" t="str">
        <x:v>Optional</x:v>
      </x:c>
      <x:c r="M185" t="n">
        <x:v>1700</x:v>
      </x:c>
      <x:c r="N185" t="str">
        <x:v>1024</x:v>
      </x:c>
      <x:c r="O185" t="str">
        <x:v>No</x:v>
      </x:c>
      <x:c r="P185" t="str">
        <x:v>None</x:v>
      </x:c>
      <x:c r="Q185" t="str">
        <x:v>Prompts/ConceptArt/equipment_longbow_t09_base_concept_sheet.txt</x:v>
      </x:c>
      <x:c r="R185" t="str">
        <x:v>Prompts/Meshy/BaseGeometry/equipment_longbow_t09_base_geometry.txt</x:v>
      </x:c>
      <x:c r="S185" t="str">
        <x:v>Prompts/TextureVariants/equipment_longbow_t09_base_rarity_variants.txt</x:v>
      </x:c>
      <x:c r="T185" t="n">
        <x:v>1</x:v>
      </x:c>
      <x:c r="U185" t="n">
        <x:v>1</x:v>
      </x:c>
      <x:c r="V185" t="n">
        <x:v>1</x:v>
      </x:c>
      <x:c r="W185" t="n">
        <x:v>1</x:v>
      </x:c>
      <x:c r="X185" t="n">
        <x:v>0</x:v>
      </x:c>
      <x:c r="Y185" t="str">
        <x:v>readable at inventory scale; tier identity clear without UI; all six rarity variants preserve family; pivot and scale correct; no fragile geometry; URP PBR maps valid</x:v>
      </x:c>
      <x:c r="Z185" t="str">
        <x:v>Assets/_Game/Art/Equipment/Weapon/longbow/T9/Models</x:v>
      </x:c>
      <x:c r="AA185" t="str">
        <x:v>Not Started</x:v>
      </x:c>
      <x:c r="AB185" t="str">
        <x:v>Pending</x:v>
      </x:c>
      <x:c r="AC185" s="18" t="n">
        <x:f>T185*'Settings &amp; Rates'!$B$5+U185*'Settings &amp; Rates'!$B$6+V185*'Settings &amp; Rates'!$B$7+W185*'Settings &amp; Rates'!$B$8+X185*'Settings &amp; Rates'!$B$9</x:f>
        <x:v>35</x:v>
      </x:c>
      <x:c r="AD185" s="18" t="n">
        <x:f>SUMIF('Attempt Log'!$B$2:$B$101,A185,'Attempt Log'!$K$2:$K$101)</x:f>
        <x:v>0</x:v>
      </x:c>
      <x:c r="AE185" s="18" t="n">
        <x:f>AD185-AC185</x:f>
        <x:v>-35</x:v>
      </x:c>
      <x:c r="AF185" t="n">
        <x:f>COUNTIF('Attempt Log'!$B$2:$B$101,A185)</x:f>
        <x:v>0</x:v>
      </x:c>
      <x:c r="AG185" t="n">
        <x:f>IFERROR(SUMIFS('Attempt Log'!$U$2:$U$101,'Attempt Log'!$B$2:$B$101,A185,'Attempt Log'!$N$2:$N$101,"Yes")/COUNTIFS('Attempt Log'!$B$2:$B$101,A185,'Attempt Log'!$N$2:$N$101,"Yes"),0)</x:f>
        <x:v>0</x:v>
      </x:c>
    </x:row>
    <x:row r="186">
      <x:c r="A186" t="str">
        <x:v>equipment_ring_t09_base</x:v>
      </x:c>
      <x:c r="B186" t="str">
        <x:v>Anel T9</x:v>
      </x:c>
      <x:c r="C186" t="str">
        <x:v>Ring T9</x:v>
      </x:c>
      <x:c r="D186" t="str">
        <x:v>Task017</x:v>
      </x:c>
      <x:c r="E186" t="str">
        <x:v>Equipment</x:v>
      </x:c>
      <x:c r="F186" t="str">
        <x:v>Accessory</x:v>
      </x:c>
      <x:c r="G186" t="str">
        <x:v>ring</x:v>
      </x:c>
      <x:c r="H186" t="str">
        <x:v>Post-MVP</x:v>
      </x:c>
      <x:c r="I186" t="str">
        <x:v>P3</x:v>
      </x:c>
      <x:c r="J186" t="str">
        <x:v>B15_EQUIPMENT_T9</x:v>
      </x:c>
      <x:c r="K186" t="str">
        <x:v>Text to 3D</x:v>
      </x:c>
      <x:c r="L186" t="str">
        <x:v>Optional</x:v>
      </x:c>
      <x:c r="M186" t="n">
        <x:v>550</x:v>
      </x:c>
      <x:c r="N186" t="str">
        <x:v>512</x:v>
      </x:c>
      <x:c r="O186" t="str">
        <x:v>No</x:v>
      </x:c>
      <x:c r="P186" t="str">
        <x:v>None</x:v>
      </x:c>
      <x:c r="Q186" t="str">
        <x:v>Prompts/ConceptArt/equipment_ring_t09_base_concept_sheet.txt</x:v>
      </x:c>
      <x:c r="R186" t="str">
        <x:v>Prompts/Meshy/BaseGeometry/equipment_ring_t09_base_geometry.txt</x:v>
      </x:c>
      <x:c r="S186" t="str">
        <x:v>Prompts/TextureVariants/equipment_ring_t09_base_rarity_variants.txt</x:v>
      </x:c>
      <x:c r="T186" t="n">
        <x:v>1</x:v>
      </x:c>
      <x:c r="U186" t="n">
        <x:v>1</x:v>
      </x:c>
      <x:c r="V186" t="n">
        <x:v>1</x:v>
      </x:c>
      <x:c r="W186" t="n">
        <x:v>1</x:v>
      </x:c>
      <x:c r="X186" t="n">
        <x:v>0</x:v>
      </x:c>
      <x:c r="Y186" t="str">
        <x:v>readable at inventory scale; tier identity clear without UI; all six rarity variants preserve family; pivot and scale correct; no fragile geometry; URP PBR maps valid</x:v>
      </x:c>
      <x:c r="Z186" t="str">
        <x:v>Assets/_Game/Art/Equipment/Accessory/ring/T9/Models</x:v>
      </x:c>
      <x:c r="AA186" t="str">
        <x:v>Not Started</x:v>
      </x:c>
      <x:c r="AB186" t="str">
        <x:v>Pending</x:v>
      </x:c>
      <x:c r="AC186" s="18" t="n">
        <x:f>T186*'Settings &amp; Rates'!$B$5+U186*'Settings &amp; Rates'!$B$6+V186*'Settings &amp; Rates'!$B$7+W186*'Settings &amp; Rates'!$B$8+X186*'Settings &amp; Rates'!$B$9</x:f>
        <x:v>35</x:v>
      </x:c>
      <x:c r="AD186" s="18" t="n">
        <x:f>SUMIF('Attempt Log'!$B$2:$B$101,A186,'Attempt Log'!$K$2:$K$101)</x:f>
        <x:v>0</x:v>
      </x:c>
      <x:c r="AE186" s="18" t="n">
        <x:f>AD186-AC186</x:f>
        <x:v>-35</x:v>
      </x:c>
      <x:c r="AF186" t="n">
        <x:f>COUNTIF('Attempt Log'!$B$2:$B$101,A186)</x:f>
        <x:v>0</x:v>
      </x:c>
      <x:c r="AG186" t="n">
        <x:f>IFERROR(SUMIFS('Attempt Log'!$U$2:$U$101,'Attempt Log'!$B$2:$B$101,A186,'Attempt Log'!$N$2:$N$101,"Yes")/COUNTIFS('Attempt Log'!$B$2:$B$101,A186,'Attempt Log'!$N$2:$N$101,"Yes"),0)</x:f>
        <x:v>0</x:v>
      </x:c>
    </x:row>
    <x:row r="187">
      <x:c r="A187" t="str">
        <x:v>equipment_shield_t09_base</x:v>
      </x:c>
      <x:c r="B187" t="str">
        <x:v>Escudo T9</x:v>
      </x:c>
      <x:c r="C187" t="str">
        <x:v>Shield T9</x:v>
      </x:c>
      <x:c r="D187" t="str">
        <x:v>Task017</x:v>
      </x:c>
      <x:c r="E187" t="str">
        <x:v>Equipment</x:v>
      </x:c>
      <x:c r="F187" t="str">
        <x:v>Weapon</x:v>
      </x:c>
      <x:c r="G187" t="str">
        <x:v>shield</x:v>
      </x:c>
      <x:c r="H187" t="str">
        <x:v>Post-MVP</x:v>
      </x:c>
      <x:c r="I187" t="str">
        <x:v>P3</x:v>
      </x:c>
      <x:c r="J187" t="str">
        <x:v>B15_EQUIPMENT_T9</x:v>
      </x:c>
      <x:c r="K187" t="str">
        <x:v>Text to 3D</x:v>
      </x:c>
      <x:c r="L187" t="str">
        <x:v>Optional</x:v>
      </x:c>
      <x:c r="M187" t="n">
        <x:v>2500</x:v>
      </x:c>
      <x:c r="N187" t="str">
        <x:v>1024</x:v>
      </x:c>
      <x:c r="O187" t="str">
        <x:v>No</x:v>
      </x:c>
      <x:c r="P187" t="str">
        <x:v>None</x:v>
      </x:c>
      <x:c r="Q187" t="str">
        <x:v>Prompts/ConceptArt/equipment_shield_t09_base_concept_sheet.txt</x:v>
      </x:c>
      <x:c r="R187" t="str">
        <x:v>Prompts/Meshy/BaseGeometry/equipment_shield_t09_base_geometry.txt</x:v>
      </x:c>
      <x:c r="S187" t="str">
        <x:v>Prompts/TextureVariants/equipment_shield_t09_base_rarity_variants.txt</x:v>
      </x:c>
      <x:c r="T187" t="n">
        <x:v>1</x:v>
      </x:c>
      <x:c r="U187" t="n">
        <x:v>1</x:v>
      </x:c>
      <x:c r="V187" t="n">
        <x:v>1</x:v>
      </x:c>
      <x:c r="W187" t="n">
        <x:v>1</x:v>
      </x:c>
      <x:c r="X187" t="n">
        <x:v>0</x:v>
      </x:c>
      <x:c r="Y187" t="str">
        <x:v>readable at inventory scale; tier identity clear without UI; all six rarity variants preserve family; pivot and scale correct; no fragile geometry; URP PBR maps valid</x:v>
      </x:c>
      <x:c r="Z187" t="str">
        <x:v>Assets/_Game/Art/Equipment/Weapon/shield/T9/Models</x:v>
      </x:c>
      <x:c r="AA187" t="str">
        <x:v>Not Started</x:v>
      </x:c>
      <x:c r="AB187" t="str">
        <x:v>Pending</x:v>
      </x:c>
      <x:c r="AC187" s="18" t="n">
        <x:f>T187*'Settings &amp; Rates'!$B$5+U187*'Settings &amp; Rates'!$B$6+V187*'Settings &amp; Rates'!$B$7+W187*'Settings &amp; Rates'!$B$8+X187*'Settings &amp; Rates'!$B$9</x:f>
        <x:v>35</x:v>
      </x:c>
      <x:c r="AD187" s="18" t="n">
        <x:f>SUMIF('Attempt Log'!$B$2:$B$101,A187,'Attempt Log'!$K$2:$K$101)</x:f>
        <x:v>0</x:v>
      </x:c>
      <x:c r="AE187" s="18" t="n">
        <x:f>AD187-AC187</x:f>
        <x:v>-35</x:v>
      </x:c>
      <x:c r="AF187" t="n">
        <x:f>COUNTIF('Attempt Log'!$B$2:$B$101,A187)</x:f>
        <x:v>0</x:v>
      </x:c>
      <x:c r="AG187" t="n">
        <x:f>IFERROR(SUMIFS('Attempt Log'!$U$2:$U$101,'Attempt Log'!$B$2:$B$101,A187,'Attempt Log'!$N$2:$N$101,"Yes")/COUNTIFS('Attempt Log'!$B$2:$B$101,A187,'Attempt Log'!$N$2:$N$101,"Yes"),0)</x:f>
        <x:v>0</x:v>
      </x:c>
    </x:row>
    <x:row r="188">
      <x:c r="A188" t="str">
        <x:v>equipment_staff_t09_base</x:v>
      </x:c>
      <x:c r="B188" t="str">
        <x:v>Cajado T9</x:v>
      </x:c>
      <x:c r="C188" t="str">
        <x:v>Staff T9</x:v>
      </x:c>
      <x:c r="D188" t="str">
        <x:v>Task017</x:v>
      </x:c>
      <x:c r="E188" t="str">
        <x:v>Equipment</x:v>
      </x:c>
      <x:c r="F188" t="str">
        <x:v>Weapon</x:v>
      </x:c>
      <x:c r="G188" t="str">
        <x:v>staff</x:v>
      </x:c>
      <x:c r="H188" t="str">
        <x:v>Post-MVP</x:v>
      </x:c>
      <x:c r="I188" t="str">
        <x:v>P3</x:v>
      </x:c>
      <x:c r="J188" t="str">
        <x:v>B15_EQUIPMENT_T9</x:v>
      </x:c>
      <x:c r="K188" t="str">
        <x:v>Text to 3D</x:v>
      </x:c>
      <x:c r="L188" t="str">
        <x:v>Optional</x:v>
      </x:c>
      <x:c r="M188" t="n">
        <x:v>2400</x:v>
      </x:c>
      <x:c r="N188" t="str">
        <x:v>1024</x:v>
      </x:c>
      <x:c r="O188" t="str">
        <x:v>No</x:v>
      </x:c>
      <x:c r="P188" t="str">
        <x:v>None</x:v>
      </x:c>
      <x:c r="Q188" t="str">
        <x:v>Prompts/ConceptArt/equipment_staff_t09_base_concept_sheet.txt</x:v>
      </x:c>
      <x:c r="R188" t="str">
        <x:v>Prompts/Meshy/BaseGeometry/equipment_staff_t09_base_geometry.txt</x:v>
      </x:c>
      <x:c r="S188" t="str">
        <x:v>Prompts/TextureVariants/equipment_staff_t09_base_rarity_variants.txt</x:v>
      </x:c>
      <x:c r="T188" t="n">
        <x:v>1</x:v>
      </x:c>
      <x:c r="U188" t="n">
        <x:v>1</x:v>
      </x:c>
      <x:c r="V188" t="n">
        <x:v>1</x:v>
      </x:c>
      <x:c r="W188" t="n">
        <x:v>1</x:v>
      </x:c>
      <x:c r="X188" t="n">
        <x:v>0</x:v>
      </x:c>
      <x:c r="Y188" t="str">
        <x:v>readable at inventory scale; tier identity clear without UI; all six rarity variants preserve family; pivot and scale correct; no fragile geometry; URP PBR maps valid</x:v>
      </x:c>
      <x:c r="Z188" t="str">
        <x:v>Assets/_Game/Art/Equipment/Weapon/staff/T9/Models</x:v>
      </x:c>
      <x:c r="AA188" t="str">
        <x:v>Not Started</x:v>
      </x:c>
      <x:c r="AB188" t="str">
        <x:v>Pending</x:v>
      </x:c>
      <x:c r="AC188" s="18" t="n">
        <x:f>T188*'Settings &amp; Rates'!$B$5+U188*'Settings &amp; Rates'!$B$6+V188*'Settings &amp; Rates'!$B$7+W188*'Settings &amp; Rates'!$B$8+X188*'Settings &amp; Rates'!$B$9</x:f>
        <x:v>35</x:v>
      </x:c>
      <x:c r="AD188" s="18" t="n">
        <x:f>SUMIF('Attempt Log'!$B$2:$B$101,A188,'Attempt Log'!$K$2:$K$101)</x:f>
        <x:v>0</x:v>
      </x:c>
      <x:c r="AE188" s="18" t="n">
        <x:f>AD188-AC188</x:f>
        <x:v>-35</x:v>
      </x:c>
      <x:c r="AF188" t="n">
        <x:f>COUNTIF('Attempt Log'!$B$2:$B$101,A188)</x:f>
        <x:v>0</x:v>
      </x:c>
      <x:c r="AG188" t="n">
        <x:f>IFERROR(SUMIFS('Attempt Log'!$U$2:$U$101,'Attempt Log'!$B$2:$B$101,A188,'Attempt Log'!$N$2:$N$101,"Yes")/COUNTIFS('Attempt Log'!$B$2:$B$101,A188,'Attempt Log'!$N$2:$N$101,"Yes"),0)</x:f>
        <x:v>0</x:v>
      </x:c>
    </x:row>
    <x:row r="189">
      <x:c r="A189" t="str">
        <x:v>equipment_sword_1h_t09_base</x:v>
      </x:c>
      <x:c r="B189" t="str">
        <x:v>Espada de Uma Mão T9</x:v>
      </x:c>
      <x:c r="C189" t="str">
        <x:v>One-Handed Sword T9</x:v>
      </x:c>
      <x:c r="D189" t="str">
        <x:v>Task017</x:v>
      </x:c>
      <x:c r="E189" t="str">
        <x:v>Equipment</x:v>
      </x:c>
      <x:c r="F189" t="str">
        <x:v>Weapon</x:v>
      </x:c>
      <x:c r="G189" t="str">
        <x:v>sword_1h</x:v>
      </x:c>
      <x:c r="H189" t="str">
        <x:v>Post-MVP</x:v>
      </x:c>
      <x:c r="I189" t="str">
        <x:v>P3</x:v>
      </x:c>
      <x:c r="J189" t="str">
        <x:v>B15_EQUIPMENT_T9</x:v>
      </x:c>
      <x:c r="K189" t="str">
        <x:v>Text to 3D</x:v>
      </x:c>
      <x:c r="L189" t="str">
        <x:v>Optional</x:v>
      </x:c>
      <x:c r="M189" t="n">
        <x:v>2000</x:v>
      </x:c>
      <x:c r="N189" t="str">
        <x:v>1024</x:v>
      </x:c>
      <x:c r="O189" t="str">
        <x:v>No</x:v>
      </x:c>
      <x:c r="P189" t="str">
        <x:v>None</x:v>
      </x:c>
      <x:c r="Q189" t="str">
        <x:v>Prompts/ConceptArt/equipment_sword_1h_t09_base_concept_sheet.txt</x:v>
      </x:c>
      <x:c r="R189" t="str">
        <x:v>Prompts/Meshy/BaseGeometry/equipment_sword_1h_t09_base_geometry.txt</x:v>
      </x:c>
      <x:c r="S189" t="str">
        <x:v>Prompts/TextureVariants/equipment_sword_1h_t09_base_rarity_variants.txt</x:v>
      </x:c>
      <x:c r="T189" t="n">
        <x:v>1</x:v>
      </x:c>
      <x:c r="U189" t="n">
        <x:v>1</x:v>
      </x:c>
      <x:c r="V189" t="n">
        <x:v>1</x:v>
      </x:c>
      <x:c r="W189" t="n">
        <x:v>1</x:v>
      </x:c>
      <x:c r="X189" t="n">
        <x:v>0</x:v>
      </x:c>
      <x:c r="Y189" t="str">
        <x:v>readable at inventory scale; tier identity clear without UI; all six rarity variants preserve family; pivot and scale correct; no fragile geometry; URP PBR maps valid</x:v>
      </x:c>
      <x:c r="Z189" t="str">
        <x:v>Assets/_Game/Art/Equipment/Weapon/sword_1h/T9/Models</x:v>
      </x:c>
      <x:c r="AA189" t="str">
        <x:v>Not Started</x:v>
      </x:c>
      <x:c r="AB189" t="str">
        <x:v>Pending</x:v>
      </x:c>
      <x:c r="AC189" s="18" t="n">
        <x:f>T189*'Settings &amp; Rates'!$B$5+U189*'Settings &amp; Rates'!$B$6+V189*'Settings &amp; Rates'!$B$7+W189*'Settings &amp; Rates'!$B$8+X189*'Settings &amp; Rates'!$B$9</x:f>
        <x:v>35</x:v>
      </x:c>
      <x:c r="AD189" s="18" t="n">
        <x:f>SUMIF('Attempt Log'!$B$2:$B$101,A189,'Attempt Log'!$K$2:$K$101)</x:f>
        <x:v>0</x:v>
      </x:c>
      <x:c r="AE189" s="18" t="n">
        <x:f>AD189-AC189</x:f>
        <x:v>-35</x:v>
      </x:c>
      <x:c r="AF189" t="n">
        <x:f>COUNTIF('Attempt Log'!$B$2:$B$101,A189)</x:f>
        <x:v>0</x:v>
      </x:c>
      <x:c r="AG189" t="n">
        <x:f>IFERROR(SUMIFS('Attempt Log'!$U$2:$U$101,'Attempt Log'!$B$2:$B$101,A189,'Attempt Log'!$N$2:$N$101,"Yes")/COUNTIFS('Attempt Log'!$B$2:$B$101,A189,'Attempt Log'!$N$2:$N$101,"Yes"),0)</x:f>
        <x:v>0</x:v>
      </x:c>
    </x:row>
    <x:row r="190">
      <x:c r="A190" t="str">
        <x:v>station_alchemist_t03_001</x:v>
      </x:c>
      <x:c r="B190" t="str">
        <x:v>Laboratório T3</x:v>
      </x:c>
      <x:c r="C190" t="str">
        <x:v>Laboratory T3</x:v>
      </x:c>
      <x:c r="D190" t="str">
        <x:v>Task018</x:v>
      </x:c>
      <x:c r="E190" t="str">
        <x:v>Station</x:v>
      </x:c>
      <x:c r="F190" t="str">
        <x:v>Crafting Station</x:v>
      </x:c>
      <x:c r="G190" t="str">
        <x:v>Alchemist</x:v>
      </x:c>
      <x:c r="H190" t="str">
        <x:v>MVP</x:v>
      </x:c>
      <x:c r="I190" t="str">
        <x:v>P1</x:v>
      </x:c>
      <x:c r="J190" t="str">
        <x:v>B16_STATIONS_T3</x:v>
      </x:c>
      <x:c r="K190" t="str">
        <x:v>Text to 3D</x:v>
      </x:c>
      <x:c r="L190" t="str">
        <x:v>Optional</x:v>
      </x:c>
      <x:c r="M190" t="n">
        <x:v>6250</x:v>
      </x:c>
      <x:c r="N190" t="str">
        <x:v>1024x1024</x:v>
      </x:c>
      <x:c r="O190" t="str">
        <x:v>No</x:v>
      </x:c>
      <x:c r="P190" t="str">
        <x:v>anim_station_alchemist</x:v>
      </x:c>
      <x:c r="Q190" t="str">
        <x:v>Prompts/ConceptArt/station_alchemist_t03_001_concept_sheet.txt</x:v>
      </x:c>
      <x:c r="R190" t="str">
        <x:v>Prompts/Meshy/station_alchemist_t03_001_geometry.txt</x:v>
      </x:c>
      <x:c r="S190" t="str">
        <x:v>Prompts/Texture/station_alchemist_t03_001_texture.txt</x:v>
      </x:c>
      <x:c r="T190" t="n">
        <x:v>2</x:v>
      </x:c>
      <x:c r="U190" t="n">
        <x:v>2</x:v>
      </x:c>
      <x:c r="V190" t="n">
        <x:v>1</x:v>
      </x:c>
      <x:c r="W190" t="n">
        <x:v>1</x:v>
      </x:c>
      <x:c r="X190" t="n">
        <x:v>0</x:v>
      </x:c>
      <x:c r="Y190" t="str">
        <x:v>Profession readable without UI; Tier milestone visible; work zone clear; sockets valid; no baked animation/VFX; LOD budget met; 3/4 camera test passed</x:v>
      </x:c>
      <x:c r="Z190" t="str">
        <x:v>Assets/_Game/Art/Crafting/Stations/Alchemist/T3</x:v>
      </x:c>
      <x:c r="AA190" t="str">
        <x:v>Not Started</x:v>
      </x:c>
      <x:c r="AB190" t="str">
        <x:v>Pending</x:v>
      </x:c>
      <x:c r="AC190" s="18" t="n">
        <x:f>T190*'Settings &amp; Rates'!$B$5+U190*'Settings &amp; Rates'!$B$6+V190*'Settings &amp; Rates'!$B$7+W190*'Settings &amp; Rates'!$B$8+X190*'Settings &amp; Rates'!$B$9</x:f>
        <x:v>55</x:v>
      </x:c>
      <x:c r="AD190" s="18" t="n">
        <x:f>SUMIF('Attempt Log'!$B$2:$B$101,A190,'Attempt Log'!$K$2:$K$101)</x:f>
        <x:v>0</x:v>
      </x:c>
      <x:c r="AE190" s="18" t="n">
        <x:f>AD190-AC190</x:f>
        <x:v>-55</x:v>
      </x:c>
      <x:c r="AF190" t="n">
        <x:f>COUNTIF('Attempt Log'!$B$2:$B$101,A190)</x:f>
        <x:v>0</x:v>
      </x:c>
      <x:c r="AG190" t="n">
        <x:f>IFERROR(SUMIFS('Attempt Log'!$U$2:$U$101,'Attempt Log'!$B$2:$B$101,A190,'Attempt Log'!$N$2:$N$101,"Yes")/COUNTIFS('Attempt Log'!$B$2:$B$101,A190,'Attempt Log'!$N$2:$N$101,"Yes"),0)</x:f>
        <x:v>0</x:v>
      </x:c>
    </x:row>
    <x:row r="191">
      <x:c r="A191" t="str">
        <x:v>station_blacksmith_t03_001</x:v>
      </x:c>
      <x:c r="B191" t="str">
        <x:v>Forja T3</x:v>
      </x:c>
      <x:c r="C191" t="str">
        <x:v>Forge T3</x:v>
      </x:c>
      <x:c r="D191" t="str">
        <x:v>Task018</x:v>
      </x:c>
      <x:c r="E191" t="str">
        <x:v>Station</x:v>
      </x:c>
      <x:c r="F191" t="str">
        <x:v>Crafting Station</x:v>
      </x:c>
      <x:c r="G191" t="str">
        <x:v>Blacksmith</x:v>
      </x:c>
      <x:c r="H191" t="str">
        <x:v>MVP</x:v>
      </x:c>
      <x:c r="I191" t="str">
        <x:v>P1</x:v>
      </x:c>
      <x:c r="J191" t="str">
        <x:v>B16_STATIONS_T3</x:v>
      </x:c>
      <x:c r="K191" t="str">
        <x:v>Text to 3D</x:v>
      </x:c>
      <x:c r="L191" t="str">
        <x:v>Optional</x:v>
      </x:c>
      <x:c r="M191" t="n">
        <x:v>6250</x:v>
      </x:c>
      <x:c r="N191" t="str">
        <x:v>1024x1024</x:v>
      </x:c>
      <x:c r="O191" t="str">
        <x:v>No</x:v>
      </x:c>
      <x:c r="P191" t="str">
        <x:v>anim_station_blacksmith</x:v>
      </x:c>
      <x:c r="Q191" t="str">
        <x:v>Prompts/ConceptArt/station_blacksmith_t03_001_concept_sheet.txt</x:v>
      </x:c>
      <x:c r="R191" t="str">
        <x:v>Prompts/Meshy/station_blacksmith_t03_001_geometry.txt</x:v>
      </x:c>
      <x:c r="S191" t="str">
        <x:v>Prompts/Texture/station_blacksmith_t03_001_texture.txt</x:v>
      </x:c>
      <x:c r="T191" t="n">
        <x:v>2</x:v>
      </x:c>
      <x:c r="U191" t="n">
        <x:v>2</x:v>
      </x:c>
      <x:c r="V191" t="n">
        <x:v>1</x:v>
      </x:c>
      <x:c r="W191" t="n">
        <x:v>1</x:v>
      </x:c>
      <x:c r="X191" t="n">
        <x:v>0</x:v>
      </x:c>
      <x:c r="Y191" t="str">
        <x:v>Profession readable without UI; Tier milestone visible; work zone clear; sockets valid; no baked animation/VFX; LOD budget met; 3/4 camera test passed</x:v>
      </x:c>
      <x:c r="Z191" t="str">
        <x:v>Assets/_Game/Art/Crafting/Stations/Blacksmith/T3</x:v>
      </x:c>
      <x:c r="AA191" t="str">
        <x:v>Not Started</x:v>
      </x:c>
      <x:c r="AB191" t="str">
        <x:v>Pending</x:v>
      </x:c>
      <x:c r="AC191" s="18" t="n">
        <x:f>T191*'Settings &amp; Rates'!$B$5+U191*'Settings &amp; Rates'!$B$6+V191*'Settings &amp; Rates'!$B$7+W191*'Settings &amp; Rates'!$B$8+X191*'Settings &amp; Rates'!$B$9</x:f>
        <x:v>55</x:v>
      </x:c>
      <x:c r="AD191" s="18" t="n">
        <x:f>SUMIF('Attempt Log'!$B$2:$B$101,A191,'Attempt Log'!$K$2:$K$101)</x:f>
        <x:v>0</x:v>
      </x:c>
      <x:c r="AE191" s="18" t="n">
        <x:f>AD191-AC191</x:f>
        <x:v>-55</x:v>
      </x:c>
      <x:c r="AF191" t="n">
        <x:f>COUNTIF('Attempt Log'!$B$2:$B$101,A191)</x:f>
        <x:v>0</x:v>
      </x:c>
      <x:c r="AG191" t="n">
        <x:f>IFERROR(SUMIFS('Attempt Log'!$U$2:$U$101,'Attempt Log'!$B$2:$B$101,A191,'Attempt Log'!$N$2:$N$101,"Yes")/COUNTIFS('Attempt Log'!$B$2:$B$101,A191,'Attempt Log'!$N$2:$N$101,"Yes"),0)</x:f>
        <x:v>0</x:v>
      </x:c>
    </x:row>
    <x:row r="192">
      <x:c r="A192" t="str">
        <x:v>station_enchanter_t03_001</x:v>
      </x:c>
      <x:c r="B192" t="str">
        <x:v>Mesa Arcana T3</x:v>
      </x:c>
      <x:c r="C192" t="str">
        <x:v>Arcane Table T3</x:v>
      </x:c>
      <x:c r="D192" t="str">
        <x:v>Task018</x:v>
      </x:c>
      <x:c r="E192" t="str">
        <x:v>Station</x:v>
      </x:c>
      <x:c r="F192" t="str">
        <x:v>Crafting Station</x:v>
      </x:c>
      <x:c r="G192" t="str">
        <x:v>Enchanter</x:v>
      </x:c>
      <x:c r="H192" t="str">
        <x:v>MVP</x:v>
      </x:c>
      <x:c r="I192" t="str">
        <x:v>P1</x:v>
      </x:c>
      <x:c r="J192" t="str">
        <x:v>B16_STATIONS_T3</x:v>
      </x:c>
      <x:c r="K192" t="str">
        <x:v>Text to 3D</x:v>
      </x:c>
      <x:c r="L192" t="str">
        <x:v>Optional</x:v>
      </x:c>
      <x:c r="M192" t="n">
        <x:v>6250</x:v>
      </x:c>
      <x:c r="N192" t="str">
        <x:v>1024x1024</x:v>
      </x:c>
      <x:c r="O192" t="str">
        <x:v>No</x:v>
      </x:c>
      <x:c r="P192" t="str">
        <x:v>anim_station_enchanter</x:v>
      </x:c>
      <x:c r="Q192" t="str">
        <x:v>Prompts/ConceptArt/station_enchanter_t03_001_concept_sheet.txt</x:v>
      </x:c>
      <x:c r="R192" t="str">
        <x:v>Prompts/Meshy/station_enchanter_t03_001_geometry.txt</x:v>
      </x:c>
      <x:c r="S192" t="str">
        <x:v>Prompts/Texture/station_enchanter_t03_001_texture.txt</x:v>
      </x:c>
      <x:c r="T192" t="n">
        <x:v>2</x:v>
      </x:c>
      <x:c r="U192" t="n">
        <x:v>2</x:v>
      </x:c>
      <x:c r="V192" t="n">
        <x:v>1</x:v>
      </x:c>
      <x:c r="W192" t="n">
        <x:v>1</x:v>
      </x:c>
      <x:c r="X192" t="n">
        <x:v>0</x:v>
      </x:c>
      <x:c r="Y192" t="str">
        <x:v>Profession readable without UI; Tier milestone visible; work zone clear; sockets valid; no baked animation/VFX; LOD budget met; 3/4 camera test passed</x:v>
      </x:c>
      <x:c r="Z192" t="str">
        <x:v>Assets/_Game/Art/Crafting/Stations/Enchanter/T3</x:v>
      </x:c>
      <x:c r="AA192" t="str">
        <x:v>Not Started</x:v>
      </x:c>
      <x:c r="AB192" t="str">
        <x:v>Pending</x:v>
      </x:c>
      <x:c r="AC192" s="18" t="n">
        <x:f>T192*'Settings &amp; Rates'!$B$5+U192*'Settings &amp; Rates'!$B$6+V192*'Settings &amp; Rates'!$B$7+W192*'Settings &amp; Rates'!$B$8+X192*'Settings &amp; Rates'!$B$9</x:f>
        <x:v>55</x:v>
      </x:c>
      <x:c r="AD192" s="18" t="n">
        <x:f>SUMIF('Attempt Log'!$B$2:$B$101,A192,'Attempt Log'!$K$2:$K$101)</x:f>
        <x:v>0</x:v>
      </x:c>
      <x:c r="AE192" s="18" t="n">
        <x:f>AD192-AC192</x:f>
        <x:v>-55</x:v>
      </x:c>
      <x:c r="AF192" t="n">
        <x:f>COUNTIF('Attempt Log'!$B$2:$B$101,A192)</x:f>
        <x:v>0</x:v>
      </x:c>
      <x:c r="AG192" t="n">
        <x:f>IFERROR(SUMIFS('Attempt Log'!$U$2:$U$101,'Attempt Log'!$B$2:$B$101,A192,'Attempt Log'!$N$2:$N$101,"Yes")/COUNTIFS('Attempt Log'!$B$2:$B$101,A192,'Attempt Log'!$N$2:$N$101,"Yes"),0)</x:f>
        <x:v>0</x:v>
      </x:c>
    </x:row>
    <x:row r="193">
      <x:c r="A193" t="str">
        <x:v>station_gatherer_t03_001</x:v>
      </x:c>
      <x:c r="B193" t="str">
        <x:v>Acampamento de Expedição T3</x:v>
      </x:c>
      <x:c r="C193" t="str">
        <x:v>Expedition Camp T3</x:v>
      </x:c>
      <x:c r="D193" t="str">
        <x:v>Task018</x:v>
      </x:c>
      <x:c r="E193" t="str">
        <x:v>Station</x:v>
      </x:c>
      <x:c r="F193" t="str">
        <x:v>Crafting Station</x:v>
      </x:c>
      <x:c r="G193" t="str">
        <x:v>Gatherer</x:v>
      </x:c>
      <x:c r="H193" t="str">
        <x:v>MVP</x:v>
      </x:c>
      <x:c r="I193" t="str">
        <x:v>P1</x:v>
      </x:c>
      <x:c r="J193" t="str">
        <x:v>B16_STATIONS_T3</x:v>
      </x:c>
      <x:c r="K193" t="str">
        <x:v>Text to 3D</x:v>
      </x:c>
      <x:c r="L193" t="str">
        <x:v>Optional</x:v>
      </x:c>
      <x:c r="M193" t="n">
        <x:v>6250</x:v>
      </x:c>
      <x:c r="N193" t="str">
        <x:v>1024x1024</x:v>
      </x:c>
      <x:c r="O193" t="str">
        <x:v>No</x:v>
      </x:c>
      <x:c r="P193" t="str">
        <x:v>anim_station_gatherer</x:v>
      </x:c>
      <x:c r="Q193" t="str">
        <x:v>Prompts/ConceptArt/station_gatherer_t03_001_concept_sheet.txt</x:v>
      </x:c>
      <x:c r="R193" t="str">
        <x:v>Prompts/Meshy/station_gatherer_t03_001_geometry.txt</x:v>
      </x:c>
      <x:c r="S193" t="str">
        <x:v>Prompts/Texture/station_gatherer_t03_001_texture.txt</x:v>
      </x:c>
      <x:c r="T193" t="n">
        <x:v>2</x:v>
      </x:c>
      <x:c r="U193" t="n">
        <x:v>2</x:v>
      </x:c>
      <x:c r="V193" t="n">
        <x:v>1</x:v>
      </x:c>
      <x:c r="W193" t="n">
        <x:v>1</x:v>
      </x:c>
      <x:c r="X193" t="n">
        <x:v>0</x:v>
      </x:c>
      <x:c r="Y193" t="str">
        <x:v>Profession readable without UI; Tier milestone visible; work zone clear; sockets valid; no baked animation/VFX; LOD budget met; 3/4 camera test passed</x:v>
      </x:c>
      <x:c r="Z193" t="str">
        <x:v>Assets/_Game/Art/Crafting/Stations/Gatherer/T3</x:v>
      </x:c>
      <x:c r="AA193" t="str">
        <x:v>Not Started</x:v>
      </x:c>
      <x:c r="AB193" t="str">
        <x:v>Pending</x:v>
      </x:c>
      <x:c r="AC193" s="18" t="n">
        <x:f>T193*'Settings &amp; Rates'!$B$5+U193*'Settings &amp; Rates'!$B$6+V193*'Settings &amp; Rates'!$B$7+W193*'Settings &amp; Rates'!$B$8+X193*'Settings &amp; Rates'!$B$9</x:f>
        <x:v>55</x:v>
      </x:c>
      <x:c r="AD193" s="18" t="n">
        <x:f>SUMIF('Attempt Log'!$B$2:$B$101,A193,'Attempt Log'!$K$2:$K$101)</x:f>
        <x:v>0</x:v>
      </x:c>
      <x:c r="AE193" s="18" t="n">
        <x:f>AD193-AC193</x:f>
        <x:v>-55</x:v>
      </x:c>
      <x:c r="AF193" t="n">
        <x:f>COUNTIF('Attempt Log'!$B$2:$B$101,A193)</x:f>
        <x:v>0</x:v>
      </x:c>
      <x:c r="AG193" t="n">
        <x:f>IFERROR(SUMIFS('Attempt Log'!$U$2:$U$101,'Attempt Log'!$B$2:$B$101,A193,'Attempt Log'!$N$2:$N$101,"Yes")/COUNTIFS('Attempt Log'!$B$2:$B$101,A193,'Attempt Log'!$N$2:$N$101,"Yes"),0)</x:f>
        <x:v>0</x:v>
      </x:c>
    </x:row>
    <x:row r="194">
      <x:c r="A194" t="str">
        <x:v>station_tailor_t03_001</x:v>
      </x:c>
      <x:c r="B194" t="str">
        <x:v>Ateliê T3</x:v>
      </x:c>
      <x:c r="C194" t="str">
        <x:v>Atelier T3</x:v>
      </x:c>
      <x:c r="D194" t="str">
        <x:v>Task018</x:v>
      </x:c>
      <x:c r="E194" t="str">
        <x:v>Station</x:v>
      </x:c>
      <x:c r="F194" t="str">
        <x:v>Crafting Station</x:v>
      </x:c>
      <x:c r="G194" t="str">
        <x:v>Tailor</x:v>
      </x:c>
      <x:c r="H194" t="str">
        <x:v>MVP</x:v>
      </x:c>
      <x:c r="I194" t="str">
        <x:v>P1</x:v>
      </x:c>
      <x:c r="J194" t="str">
        <x:v>B16_STATIONS_T3</x:v>
      </x:c>
      <x:c r="K194" t="str">
        <x:v>Text to 3D</x:v>
      </x:c>
      <x:c r="L194" t="str">
        <x:v>Optional</x:v>
      </x:c>
      <x:c r="M194" t="n">
        <x:v>6250</x:v>
      </x:c>
      <x:c r="N194" t="str">
        <x:v>1024x1024</x:v>
      </x:c>
      <x:c r="O194" t="str">
        <x:v>No</x:v>
      </x:c>
      <x:c r="P194" t="str">
        <x:v>anim_station_tailor</x:v>
      </x:c>
      <x:c r="Q194" t="str">
        <x:v>Prompts/ConceptArt/station_tailor_t03_001_concept_sheet.txt</x:v>
      </x:c>
      <x:c r="R194" t="str">
        <x:v>Prompts/Meshy/station_tailor_t03_001_geometry.txt</x:v>
      </x:c>
      <x:c r="S194" t="str">
        <x:v>Prompts/Texture/station_tailor_t03_001_texture.txt</x:v>
      </x:c>
      <x:c r="T194" t="n">
        <x:v>2</x:v>
      </x:c>
      <x:c r="U194" t="n">
        <x:v>2</x:v>
      </x:c>
      <x:c r="V194" t="n">
        <x:v>1</x:v>
      </x:c>
      <x:c r="W194" t="n">
        <x:v>1</x:v>
      </x:c>
      <x:c r="X194" t="n">
        <x:v>0</x:v>
      </x:c>
      <x:c r="Y194" t="str">
        <x:v>Profession readable without UI; Tier milestone visible; work zone clear; sockets valid; no baked animation/VFX; LOD budget met; 3/4 camera test passed</x:v>
      </x:c>
      <x:c r="Z194" t="str">
        <x:v>Assets/_Game/Art/Crafting/Stations/Tailor/T3</x:v>
      </x:c>
      <x:c r="AA194" t="str">
        <x:v>Not Started</x:v>
      </x:c>
      <x:c r="AB194" t="str">
        <x:v>Pending</x:v>
      </x:c>
      <x:c r="AC194" s="18" t="n">
        <x:f>T194*'Settings &amp; Rates'!$B$5+U194*'Settings &amp; Rates'!$B$6+V194*'Settings &amp; Rates'!$B$7+W194*'Settings &amp; Rates'!$B$8+X194*'Settings &amp; Rates'!$B$9</x:f>
        <x:v>55</x:v>
      </x:c>
      <x:c r="AD194" s="18" t="n">
        <x:f>SUMIF('Attempt Log'!$B$2:$B$101,A194,'Attempt Log'!$K$2:$K$101)</x:f>
        <x:v>0</x:v>
      </x:c>
      <x:c r="AE194" s="18" t="n">
        <x:f>AD194-AC194</x:f>
        <x:v>-55</x:v>
      </x:c>
      <x:c r="AF194" t="n">
        <x:f>COUNTIF('Attempt Log'!$B$2:$B$101,A194)</x:f>
        <x:v>0</x:v>
      </x:c>
      <x:c r="AG194" t="n">
        <x:f>IFERROR(SUMIFS('Attempt Log'!$U$2:$U$101,'Attempt Log'!$B$2:$B$101,A194,'Attempt Log'!$N$2:$N$101,"Yes")/COUNTIFS('Attempt Log'!$B$2:$B$101,A194,'Attempt Log'!$N$2:$N$101,"Yes"),0)</x:f>
        <x:v>0</x:v>
      </x:c>
    </x:row>
    <x:row r="195">
      <x:c r="A195" t="str">
        <x:v>station_alchemist_t05_001</x:v>
      </x:c>
      <x:c r="B195" t="str">
        <x:v>Laboratório T5</x:v>
      </x:c>
      <x:c r="C195" t="str">
        <x:v>Laboratory T5</x:v>
      </x:c>
      <x:c r="D195" t="str">
        <x:v>Task018</x:v>
      </x:c>
      <x:c r="E195" t="str">
        <x:v>Station</x:v>
      </x:c>
      <x:c r="F195" t="str">
        <x:v>Crafting Station</x:v>
      </x:c>
      <x:c r="G195" t="str">
        <x:v>Alchemist</x:v>
      </x:c>
      <x:c r="H195" t="str">
        <x:v>Season 1</x:v>
      </x:c>
      <x:c r="I195" t="str">
        <x:v>P2</x:v>
      </x:c>
      <x:c r="J195" t="str">
        <x:v>B17_STATIONS_T5</x:v>
      </x:c>
      <x:c r="K195" t="str">
        <x:v>Image to 3D</x:v>
      </x:c>
      <x:c r="L195" t="str">
        <x:v>Yes</x:v>
      </x:c>
      <x:c r="M195" t="n">
        <x:v>7250</x:v>
      </x:c>
      <x:c r="N195" t="str">
        <x:v>1024x1024</x:v>
      </x:c>
      <x:c r="O195" t="str">
        <x:v>No</x:v>
      </x:c>
      <x:c r="P195" t="str">
        <x:v>anim_station_alchemist</x:v>
      </x:c>
      <x:c r="Q195" t="str">
        <x:v>Prompts/ConceptArt/station_alchemist_t05_001_concept_sheet.txt</x:v>
      </x:c>
      <x:c r="R195" t="str">
        <x:v>Prompts/Meshy/station_alchemist_t05_001_geometry.txt</x:v>
      </x:c>
      <x:c r="S195" t="str">
        <x:v>Prompts/Texture/station_alchemist_t05_001_texture.txt</x:v>
      </x:c>
      <x:c r="T195" t="n">
        <x:v>2</x:v>
      </x:c>
      <x:c r="U195" t="n">
        <x:v>2</x:v>
      </x:c>
      <x:c r="V195" t="n">
        <x:v>1</x:v>
      </x:c>
      <x:c r="W195" t="n">
        <x:v>1</x:v>
      </x:c>
      <x:c r="X195" t="n">
        <x:v>0</x:v>
      </x:c>
      <x:c r="Y195" t="str">
        <x:v>Profession readable without UI; Tier milestone visible; work zone clear; sockets valid; no baked animation/VFX; LOD budget met; 3/4 camera test passed</x:v>
      </x:c>
      <x:c r="Z195" t="str">
        <x:v>Assets/_Game/Art/Crafting/Stations/Alchemist/T5</x:v>
      </x:c>
      <x:c r="AA195" t="str">
        <x:v>Not Started</x:v>
      </x:c>
      <x:c r="AB195" t="str">
        <x:v>Pending</x:v>
      </x:c>
      <x:c r="AC195" s="18" t="n">
        <x:f>T195*'Settings &amp; Rates'!$B$5+U195*'Settings &amp; Rates'!$B$6+V195*'Settings &amp; Rates'!$B$7+W195*'Settings &amp; Rates'!$B$8+X195*'Settings &amp; Rates'!$B$9</x:f>
        <x:v>55</x:v>
      </x:c>
      <x:c r="AD195" s="18" t="n">
        <x:f>SUMIF('Attempt Log'!$B$2:$B$101,A195,'Attempt Log'!$K$2:$K$101)</x:f>
        <x:v>0</x:v>
      </x:c>
      <x:c r="AE195" s="18" t="n">
        <x:f>AD195-AC195</x:f>
        <x:v>-55</x:v>
      </x:c>
      <x:c r="AF195" t="n">
        <x:f>COUNTIF('Attempt Log'!$B$2:$B$101,A195)</x:f>
        <x:v>0</x:v>
      </x:c>
      <x:c r="AG195" t="n">
        <x:f>IFERROR(SUMIFS('Attempt Log'!$U$2:$U$101,'Attempt Log'!$B$2:$B$101,A195,'Attempt Log'!$N$2:$N$101,"Yes")/COUNTIFS('Attempt Log'!$B$2:$B$101,A195,'Attempt Log'!$N$2:$N$101,"Yes"),0)</x:f>
        <x:v>0</x:v>
      </x:c>
    </x:row>
    <x:row r="196">
      <x:c r="A196" t="str">
        <x:v>station_blacksmith_t05_001</x:v>
      </x:c>
      <x:c r="B196" t="str">
        <x:v>Forja T5</x:v>
      </x:c>
      <x:c r="C196" t="str">
        <x:v>Forge T5</x:v>
      </x:c>
      <x:c r="D196" t="str">
        <x:v>Task018</x:v>
      </x:c>
      <x:c r="E196" t="str">
        <x:v>Station</x:v>
      </x:c>
      <x:c r="F196" t="str">
        <x:v>Crafting Station</x:v>
      </x:c>
      <x:c r="G196" t="str">
        <x:v>Blacksmith</x:v>
      </x:c>
      <x:c r="H196" t="str">
        <x:v>Season 1</x:v>
      </x:c>
      <x:c r="I196" t="str">
        <x:v>P2</x:v>
      </x:c>
      <x:c r="J196" t="str">
        <x:v>B17_STATIONS_T5</x:v>
      </x:c>
      <x:c r="K196" t="str">
        <x:v>Image to 3D</x:v>
      </x:c>
      <x:c r="L196" t="str">
        <x:v>Yes</x:v>
      </x:c>
      <x:c r="M196" t="n">
        <x:v>7250</x:v>
      </x:c>
      <x:c r="N196" t="str">
        <x:v>1024x1024</x:v>
      </x:c>
      <x:c r="O196" t="str">
        <x:v>No</x:v>
      </x:c>
      <x:c r="P196" t="str">
        <x:v>anim_station_blacksmith</x:v>
      </x:c>
      <x:c r="Q196" t="str">
        <x:v>Prompts/ConceptArt/station_blacksmith_t05_001_concept_sheet.txt</x:v>
      </x:c>
      <x:c r="R196" t="str">
        <x:v>Prompts/Meshy/station_blacksmith_t05_001_geometry.txt</x:v>
      </x:c>
      <x:c r="S196" t="str">
        <x:v>Prompts/Texture/station_blacksmith_t05_001_texture.txt</x:v>
      </x:c>
      <x:c r="T196" t="n">
        <x:v>2</x:v>
      </x:c>
      <x:c r="U196" t="n">
        <x:v>2</x:v>
      </x:c>
      <x:c r="V196" t="n">
        <x:v>1</x:v>
      </x:c>
      <x:c r="W196" t="n">
        <x:v>1</x:v>
      </x:c>
      <x:c r="X196" t="n">
        <x:v>0</x:v>
      </x:c>
      <x:c r="Y196" t="str">
        <x:v>Profession readable without UI; Tier milestone visible; work zone clear; sockets valid; no baked animation/VFX; LOD budget met; 3/4 camera test passed</x:v>
      </x:c>
      <x:c r="Z196" t="str">
        <x:v>Assets/_Game/Art/Crafting/Stations/Blacksmith/T5</x:v>
      </x:c>
      <x:c r="AA196" t="str">
        <x:v>Not Started</x:v>
      </x:c>
      <x:c r="AB196" t="str">
        <x:v>Pending</x:v>
      </x:c>
      <x:c r="AC196" s="18" t="n">
        <x:f>T196*'Settings &amp; Rates'!$B$5+U196*'Settings &amp; Rates'!$B$6+V196*'Settings &amp; Rates'!$B$7+W196*'Settings &amp; Rates'!$B$8+X196*'Settings &amp; Rates'!$B$9</x:f>
        <x:v>55</x:v>
      </x:c>
      <x:c r="AD196" s="18" t="n">
        <x:f>SUMIF('Attempt Log'!$B$2:$B$101,A196,'Attempt Log'!$K$2:$K$101)</x:f>
        <x:v>0</x:v>
      </x:c>
      <x:c r="AE196" s="18" t="n">
        <x:f>AD196-AC196</x:f>
        <x:v>-55</x:v>
      </x:c>
      <x:c r="AF196" t="n">
        <x:f>COUNTIF('Attempt Log'!$B$2:$B$101,A196)</x:f>
        <x:v>0</x:v>
      </x:c>
      <x:c r="AG196" t="n">
        <x:f>IFERROR(SUMIFS('Attempt Log'!$U$2:$U$101,'Attempt Log'!$B$2:$B$101,A196,'Attempt Log'!$N$2:$N$101,"Yes")/COUNTIFS('Attempt Log'!$B$2:$B$101,A196,'Attempt Log'!$N$2:$N$101,"Yes"),0)</x:f>
        <x:v>0</x:v>
      </x:c>
    </x:row>
    <x:row r="197">
      <x:c r="A197" t="str">
        <x:v>station_enchanter_t05_001</x:v>
      </x:c>
      <x:c r="B197" t="str">
        <x:v>Mesa Arcana T5</x:v>
      </x:c>
      <x:c r="C197" t="str">
        <x:v>Arcane Table T5</x:v>
      </x:c>
      <x:c r="D197" t="str">
        <x:v>Task018</x:v>
      </x:c>
      <x:c r="E197" t="str">
        <x:v>Station</x:v>
      </x:c>
      <x:c r="F197" t="str">
        <x:v>Crafting Station</x:v>
      </x:c>
      <x:c r="G197" t="str">
        <x:v>Enchanter</x:v>
      </x:c>
      <x:c r="H197" t="str">
        <x:v>Season 1</x:v>
      </x:c>
      <x:c r="I197" t="str">
        <x:v>P2</x:v>
      </x:c>
      <x:c r="J197" t="str">
        <x:v>B17_STATIONS_T5</x:v>
      </x:c>
      <x:c r="K197" t="str">
        <x:v>Image to 3D</x:v>
      </x:c>
      <x:c r="L197" t="str">
        <x:v>Yes</x:v>
      </x:c>
      <x:c r="M197" t="n">
        <x:v>7250</x:v>
      </x:c>
      <x:c r="N197" t="str">
        <x:v>1024x1024</x:v>
      </x:c>
      <x:c r="O197" t="str">
        <x:v>No</x:v>
      </x:c>
      <x:c r="P197" t="str">
        <x:v>anim_station_enchanter</x:v>
      </x:c>
      <x:c r="Q197" t="str">
        <x:v>Prompts/ConceptArt/station_enchanter_t05_001_concept_sheet.txt</x:v>
      </x:c>
      <x:c r="R197" t="str">
        <x:v>Prompts/Meshy/station_enchanter_t05_001_geometry.txt</x:v>
      </x:c>
      <x:c r="S197" t="str">
        <x:v>Prompts/Texture/station_enchanter_t05_001_texture.txt</x:v>
      </x:c>
      <x:c r="T197" t="n">
        <x:v>2</x:v>
      </x:c>
      <x:c r="U197" t="n">
        <x:v>2</x:v>
      </x:c>
      <x:c r="V197" t="n">
        <x:v>1</x:v>
      </x:c>
      <x:c r="W197" t="n">
        <x:v>1</x:v>
      </x:c>
      <x:c r="X197" t="n">
        <x:v>0</x:v>
      </x:c>
      <x:c r="Y197" t="str">
        <x:v>Profession readable without UI; Tier milestone visible; work zone clear; sockets valid; no baked animation/VFX; LOD budget met; 3/4 camera test passed</x:v>
      </x:c>
      <x:c r="Z197" t="str">
        <x:v>Assets/_Game/Art/Crafting/Stations/Enchanter/T5</x:v>
      </x:c>
      <x:c r="AA197" t="str">
        <x:v>Not Started</x:v>
      </x:c>
      <x:c r="AB197" t="str">
        <x:v>Pending</x:v>
      </x:c>
      <x:c r="AC197" s="18" t="n">
        <x:f>T197*'Settings &amp; Rates'!$B$5+U197*'Settings &amp; Rates'!$B$6+V197*'Settings &amp; Rates'!$B$7+W197*'Settings &amp; Rates'!$B$8+X197*'Settings &amp; Rates'!$B$9</x:f>
        <x:v>55</x:v>
      </x:c>
      <x:c r="AD197" s="18" t="n">
        <x:f>SUMIF('Attempt Log'!$B$2:$B$101,A197,'Attempt Log'!$K$2:$K$101)</x:f>
        <x:v>0</x:v>
      </x:c>
      <x:c r="AE197" s="18" t="n">
        <x:f>AD197-AC197</x:f>
        <x:v>-55</x:v>
      </x:c>
      <x:c r="AF197" t="n">
        <x:f>COUNTIF('Attempt Log'!$B$2:$B$101,A197)</x:f>
        <x:v>0</x:v>
      </x:c>
      <x:c r="AG197" t="n">
        <x:f>IFERROR(SUMIFS('Attempt Log'!$U$2:$U$101,'Attempt Log'!$B$2:$B$101,A197,'Attempt Log'!$N$2:$N$101,"Yes")/COUNTIFS('Attempt Log'!$B$2:$B$101,A197,'Attempt Log'!$N$2:$N$101,"Yes"),0)</x:f>
        <x:v>0</x:v>
      </x:c>
    </x:row>
    <x:row r="198">
      <x:c r="A198" t="str">
        <x:v>station_gatherer_t05_001</x:v>
      </x:c>
      <x:c r="B198" t="str">
        <x:v>Acampamento de Expedição T5</x:v>
      </x:c>
      <x:c r="C198" t="str">
        <x:v>Expedition Camp T5</x:v>
      </x:c>
      <x:c r="D198" t="str">
        <x:v>Task018</x:v>
      </x:c>
      <x:c r="E198" t="str">
        <x:v>Station</x:v>
      </x:c>
      <x:c r="F198" t="str">
        <x:v>Crafting Station</x:v>
      </x:c>
      <x:c r="G198" t="str">
        <x:v>Gatherer</x:v>
      </x:c>
      <x:c r="H198" t="str">
        <x:v>Season 1</x:v>
      </x:c>
      <x:c r="I198" t="str">
        <x:v>P2</x:v>
      </x:c>
      <x:c r="J198" t="str">
        <x:v>B17_STATIONS_T5</x:v>
      </x:c>
      <x:c r="K198" t="str">
        <x:v>Image to 3D</x:v>
      </x:c>
      <x:c r="L198" t="str">
        <x:v>Yes</x:v>
      </x:c>
      <x:c r="M198" t="n">
        <x:v>7250</x:v>
      </x:c>
      <x:c r="N198" t="str">
        <x:v>1024x1024</x:v>
      </x:c>
      <x:c r="O198" t="str">
        <x:v>No</x:v>
      </x:c>
      <x:c r="P198" t="str">
        <x:v>anim_station_gatherer</x:v>
      </x:c>
      <x:c r="Q198" t="str">
        <x:v>Prompts/ConceptArt/station_gatherer_t05_001_concept_sheet.txt</x:v>
      </x:c>
      <x:c r="R198" t="str">
        <x:v>Prompts/Meshy/station_gatherer_t05_001_geometry.txt</x:v>
      </x:c>
      <x:c r="S198" t="str">
        <x:v>Prompts/Texture/station_gatherer_t05_001_texture.txt</x:v>
      </x:c>
      <x:c r="T198" t="n">
        <x:v>2</x:v>
      </x:c>
      <x:c r="U198" t="n">
        <x:v>2</x:v>
      </x:c>
      <x:c r="V198" t="n">
        <x:v>1</x:v>
      </x:c>
      <x:c r="W198" t="n">
        <x:v>1</x:v>
      </x:c>
      <x:c r="X198" t="n">
        <x:v>0</x:v>
      </x:c>
      <x:c r="Y198" t="str">
        <x:v>Profession readable without UI; Tier milestone visible; work zone clear; sockets valid; no baked animation/VFX; LOD budget met; 3/4 camera test passed</x:v>
      </x:c>
      <x:c r="Z198" t="str">
        <x:v>Assets/_Game/Art/Crafting/Stations/Gatherer/T5</x:v>
      </x:c>
      <x:c r="AA198" t="str">
        <x:v>Not Started</x:v>
      </x:c>
      <x:c r="AB198" t="str">
        <x:v>Pending</x:v>
      </x:c>
      <x:c r="AC198" s="18" t="n">
        <x:f>T198*'Settings &amp; Rates'!$B$5+U198*'Settings &amp; Rates'!$B$6+V198*'Settings &amp; Rates'!$B$7+W198*'Settings &amp; Rates'!$B$8+X198*'Settings &amp; Rates'!$B$9</x:f>
        <x:v>55</x:v>
      </x:c>
      <x:c r="AD198" s="18" t="n">
        <x:f>SUMIF('Attempt Log'!$B$2:$B$101,A198,'Attempt Log'!$K$2:$K$101)</x:f>
        <x:v>0</x:v>
      </x:c>
      <x:c r="AE198" s="18" t="n">
        <x:f>AD198-AC198</x:f>
        <x:v>-55</x:v>
      </x:c>
      <x:c r="AF198" t="n">
        <x:f>COUNTIF('Attempt Log'!$B$2:$B$101,A198)</x:f>
        <x:v>0</x:v>
      </x:c>
      <x:c r="AG198" t="n">
        <x:f>IFERROR(SUMIFS('Attempt Log'!$U$2:$U$101,'Attempt Log'!$B$2:$B$101,A198,'Attempt Log'!$N$2:$N$101,"Yes")/COUNTIFS('Attempt Log'!$B$2:$B$101,A198,'Attempt Log'!$N$2:$N$101,"Yes"),0)</x:f>
        <x:v>0</x:v>
      </x:c>
    </x:row>
    <x:row r="199">
      <x:c r="A199" t="str">
        <x:v>station_tailor_t05_001</x:v>
      </x:c>
      <x:c r="B199" t="str">
        <x:v>Ateliê T5</x:v>
      </x:c>
      <x:c r="C199" t="str">
        <x:v>Atelier T5</x:v>
      </x:c>
      <x:c r="D199" t="str">
        <x:v>Task018</x:v>
      </x:c>
      <x:c r="E199" t="str">
        <x:v>Station</x:v>
      </x:c>
      <x:c r="F199" t="str">
        <x:v>Crafting Station</x:v>
      </x:c>
      <x:c r="G199" t="str">
        <x:v>Tailor</x:v>
      </x:c>
      <x:c r="H199" t="str">
        <x:v>Season 1</x:v>
      </x:c>
      <x:c r="I199" t="str">
        <x:v>P2</x:v>
      </x:c>
      <x:c r="J199" t="str">
        <x:v>B17_STATIONS_T5</x:v>
      </x:c>
      <x:c r="K199" t="str">
        <x:v>Image to 3D</x:v>
      </x:c>
      <x:c r="L199" t="str">
        <x:v>Yes</x:v>
      </x:c>
      <x:c r="M199" t="n">
        <x:v>7250</x:v>
      </x:c>
      <x:c r="N199" t="str">
        <x:v>1024x1024</x:v>
      </x:c>
      <x:c r="O199" t="str">
        <x:v>No</x:v>
      </x:c>
      <x:c r="P199" t="str">
        <x:v>anim_station_tailor</x:v>
      </x:c>
      <x:c r="Q199" t="str">
        <x:v>Prompts/ConceptArt/station_tailor_t05_001_concept_sheet.txt</x:v>
      </x:c>
      <x:c r="R199" t="str">
        <x:v>Prompts/Meshy/station_tailor_t05_001_geometry.txt</x:v>
      </x:c>
      <x:c r="S199" t="str">
        <x:v>Prompts/Texture/station_tailor_t05_001_texture.txt</x:v>
      </x:c>
      <x:c r="T199" t="n">
        <x:v>2</x:v>
      </x:c>
      <x:c r="U199" t="n">
        <x:v>2</x:v>
      </x:c>
      <x:c r="V199" t="n">
        <x:v>1</x:v>
      </x:c>
      <x:c r="W199" t="n">
        <x:v>1</x:v>
      </x:c>
      <x:c r="X199" t="n">
        <x:v>0</x:v>
      </x:c>
      <x:c r="Y199" t="str">
        <x:v>Profession readable without UI; Tier milestone visible; work zone clear; sockets valid; no baked animation/VFX; LOD budget met; 3/4 camera test passed</x:v>
      </x:c>
      <x:c r="Z199" t="str">
        <x:v>Assets/_Game/Art/Crafting/Stations/Tailor/T5</x:v>
      </x:c>
      <x:c r="AA199" t="str">
        <x:v>Not Started</x:v>
      </x:c>
      <x:c r="AB199" t="str">
        <x:v>Pending</x:v>
      </x:c>
      <x:c r="AC199" s="18" t="n">
        <x:f>T199*'Settings &amp; Rates'!$B$5+U199*'Settings &amp; Rates'!$B$6+V199*'Settings &amp; Rates'!$B$7+W199*'Settings &amp; Rates'!$B$8+X199*'Settings &amp; Rates'!$B$9</x:f>
        <x:v>55</x:v>
      </x:c>
      <x:c r="AD199" s="18" t="n">
        <x:f>SUMIF('Attempt Log'!$B$2:$B$101,A199,'Attempt Log'!$K$2:$K$101)</x:f>
        <x:v>0</x:v>
      </x:c>
      <x:c r="AE199" s="18" t="n">
        <x:f>AD199-AC199</x:f>
        <x:v>-55</x:v>
      </x:c>
      <x:c r="AF199" t="n">
        <x:f>COUNTIF('Attempt Log'!$B$2:$B$101,A199)</x:f>
        <x:v>0</x:v>
      </x:c>
      <x:c r="AG199" t="n">
        <x:f>IFERROR(SUMIFS('Attempt Log'!$U$2:$U$101,'Attempt Log'!$B$2:$B$101,A199,'Attempt Log'!$N$2:$N$101,"Yes")/COUNTIFS('Attempt Log'!$B$2:$B$101,A199,'Attempt Log'!$N$2:$N$101,"Yes"),0)</x:f>
        <x:v>0</x:v>
      </x:c>
    </x:row>
    <x:row r="200">
      <x:c r="A200" t="str">
        <x:v>station_alchemist_t07_001</x:v>
      </x:c>
      <x:c r="B200" t="str">
        <x:v>Laboratório T7</x:v>
      </x:c>
      <x:c r="C200" t="str">
        <x:v>Laboratory T7</x:v>
      </x:c>
      <x:c r="D200" t="str">
        <x:v>Task018</x:v>
      </x:c>
      <x:c r="E200" t="str">
        <x:v>Station</x:v>
      </x:c>
      <x:c r="F200" t="str">
        <x:v>Crafting Station</x:v>
      </x:c>
      <x:c r="G200" t="str">
        <x:v>Alchemist</x:v>
      </x:c>
      <x:c r="H200" t="str">
        <x:v>Season 1</x:v>
      </x:c>
      <x:c r="I200" t="str">
        <x:v>P2</x:v>
      </x:c>
      <x:c r="J200" t="str">
        <x:v>B18_STATIONS_T7</x:v>
      </x:c>
      <x:c r="K200" t="str">
        <x:v>Image to 3D</x:v>
      </x:c>
      <x:c r="L200" t="str">
        <x:v>Yes</x:v>
      </x:c>
      <x:c r="M200" t="n">
        <x:v>8250</x:v>
      </x:c>
      <x:c r="N200" t="str">
        <x:v>2048x2048</x:v>
      </x:c>
      <x:c r="O200" t="str">
        <x:v>No</x:v>
      </x:c>
      <x:c r="P200" t="str">
        <x:v>anim_station_alchemist</x:v>
      </x:c>
      <x:c r="Q200" t="str">
        <x:v>Prompts/ConceptArt/station_alchemist_t07_001_concept_sheet.txt</x:v>
      </x:c>
      <x:c r="R200" t="str">
        <x:v>Prompts/Meshy/station_alchemist_t07_001_geometry.txt</x:v>
      </x:c>
      <x:c r="S200" t="str">
        <x:v>Prompts/Texture/station_alchemist_t07_001_texture.txt</x:v>
      </x:c>
      <x:c r="T200" t="n">
        <x:v>2</x:v>
      </x:c>
      <x:c r="U200" t="n">
        <x:v>2</x:v>
      </x:c>
      <x:c r="V200" t="n">
        <x:v>1</x:v>
      </x:c>
      <x:c r="W200" t="n">
        <x:v>1</x:v>
      </x:c>
      <x:c r="X200" t="n">
        <x:v>0</x:v>
      </x:c>
      <x:c r="Y200" t="str">
        <x:v>Profession readable without UI; Tier milestone visible; work zone clear; sockets valid; no baked animation/VFX; LOD budget met; 3/4 camera test passed</x:v>
      </x:c>
      <x:c r="Z200" t="str">
        <x:v>Assets/_Game/Art/Crafting/Stations/Alchemist/T7</x:v>
      </x:c>
      <x:c r="AA200" t="str">
        <x:v>Not Started</x:v>
      </x:c>
      <x:c r="AB200" t="str">
        <x:v>Pending</x:v>
      </x:c>
      <x:c r="AC200" s="18" t="n">
        <x:f>T200*'Settings &amp; Rates'!$B$5+U200*'Settings &amp; Rates'!$B$6+V200*'Settings &amp; Rates'!$B$7+W200*'Settings &amp; Rates'!$B$8+X200*'Settings &amp; Rates'!$B$9</x:f>
        <x:v>55</x:v>
      </x:c>
      <x:c r="AD200" s="18" t="n">
        <x:f>SUMIF('Attempt Log'!$B$2:$B$101,A200,'Attempt Log'!$K$2:$K$101)</x:f>
        <x:v>0</x:v>
      </x:c>
      <x:c r="AE200" s="18" t="n">
        <x:f>AD200-AC200</x:f>
        <x:v>-55</x:v>
      </x:c>
      <x:c r="AF200" t="n">
        <x:f>COUNTIF('Attempt Log'!$B$2:$B$101,A200)</x:f>
        <x:v>0</x:v>
      </x:c>
      <x:c r="AG200" t="n">
        <x:f>IFERROR(SUMIFS('Attempt Log'!$U$2:$U$101,'Attempt Log'!$B$2:$B$101,A200,'Attempt Log'!$N$2:$N$101,"Yes")/COUNTIFS('Attempt Log'!$B$2:$B$101,A200,'Attempt Log'!$N$2:$N$101,"Yes"),0)</x:f>
        <x:v>0</x:v>
      </x:c>
    </x:row>
    <x:row r="201">
      <x:c r="A201" t="str">
        <x:v>station_blacksmith_t07_001</x:v>
      </x:c>
      <x:c r="B201" t="str">
        <x:v>Forja T7</x:v>
      </x:c>
      <x:c r="C201" t="str">
        <x:v>Forge T7</x:v>
      </x:c>
      <x:c r="D201" t="str">
        <x:v>Task018</x:v>
      </x:c>
      <x:c r="E201" t="str">
        <x:v>Station</x:v>
      </x:c>
      <x:c r="F201" t="str">
        <x:v>Crafting Station</x:v>
      </x:c>
      <x:c r="G201" t="str">
        <x:v>Blacksmith</x:v>
      </x:c>
      <x:c r="H201" t="str">
        <x:v>Season 1</x:v>
      </x:c>
      <x:c r="I201" t="str">
        <x:v>P2</x:v>
      </x:c>
      <x:c r="J201" t="str">
        <x:v>B18_STATIONS_T7</x:v>
      </x:c>
      <x:c r="K201" t="str">
        <x:v>Image to 3D</x:v>
      </x:c>
      <x:c r="L201" t="str">
        <x:v>Yes</x:v>
      </x:c>
      <x:c r="M201" t="n">
        <x:v>8250</x:v>
      </x:c>
      <x:c r="N201" t="str">
        <x:v>2048x2048</x:v>
      </x:c>
      <x:c r="O201" t="str">
        <x:v>No</x:v>
      </x:c>
      <x:c r="P201" t="str">
        <x:v>anim_station_blacksmith</x:v>
      </x:c>
      <x:c r="Q201" t="str">
        <x:v>Prompts/ConceptArt/station_blacksmith_t07_001_concept_sheet.txt</x:v>
      </x:c>
      <x:c r="R201" t="str">
        <x:v>Prompts/Meshy/station_blacksmith_t07_001_geometry.txt</x:v>
      </x:c>
      <x:c r="S201" t="str">
        <x:v>Prompts/Texture/station_blacksmith_t07_001_texture.txt</x:v>
      </x:c>
      <x:c r="T201" t="n">
        <x:v>2</x:v>
      </x:c>
      <x:c r="U201" t="n">
        <x:v>2</x:v>
      </x:c>
      <x:c r="V201" t="n">
        <x:v>1</x:v>
      </x:c>
      <x:c r="W201" t="n">
        <x:v>1</x:v>
      </x:c>
      <x:c r="X201" t="n">
        <x:v>0</x:v>
      </x:c>
      <x:c r="Y201" t="str">
        <x:v>Profession readable without UI; Tier milestone visible; work zone clear; sockets valid; no baked animation/VFX; LOD budget met; 3/4 camera test passed</x:v>
      </x:c>
      <x:c r="Z201" t="str">
        <x:v>Assets/_Game/Art/Crafting/Stations/Blacksmith/T7</x:v>
      </x:c>
      <x:c r="AA201" t="str">
        <x:v>Not Started</x:v>
      </x:c>
      <x:c r="AB201" t="str">
        <x:v>Pending</x:v>
      </x:c>
      <x:c r="AC201" s="18" t="n">
        <x:f>T201*'Settings &amp; Rates'!$B$5+U201*'Settings &amp; Rates'!$B$6+V201*'Settings &amp; Rates'!$B$7+W201*'Settings &amp; Rates'!$B$8+X201*'Settings &amp; Rates'!$B$9</x:f>
        <x:v>55</x:v>
      </x:c>
      <x:c r="AD201" s="18" t="n">
        <x:f>SUMIF('Attempt Log'!$B$2:$B$101,A201,'Attempt Log'!$K$2:$K$101)</x:f>
        <x:v>0</x:v>
      </x:c>
      <x:c r="AE201" s="18" t="n">
        <x:f>AD201-AC201</x:f>
        <x:v>-55</x:v>
      </x:c>
      <x:c r="AF201" t="n">
        <x:f>COUNTIF('Attempt Log'!$B$2:$B$101,A201)</x:f>
        <x:v>0</x:v>
      </x:c>
      <x:c r="AG201" t="n">
        <x:f>IFERROR(SUMIFS('Attempt Log'!$U$2:$U$101,'Attempt Log'!$B$2:$B$101,A201,'Attempt Log'!$N$2:$N$101,"Yes")/COUNTIFS('Attempt Log'!$B$2:$B$101,A201,'Attempt Log'!$N$2:$N$101,"Yes"),0)</x:f>
        <x:v>0</x:v>
      </x:c>
    </x:row>
    <x:row r="202">
      <x:c r="A202" t="str">
        <x:v>station_enchanter_t07_001</x:v>
      </x:c>
      <x:c r="B202" t="str">
        <x:v>Mesa Arcana T7</x:v>
      </x:c>
      <x:c r="C202" t="str">
        <x:v>Arcane Table T7</x:v>
      </x:c>
      <x:c r="D202" t="str">
        <x:v>Task018</x:v>
      </x:c>
      <x:c r="E202" t="str">
        <x:v>Station</x:v>
      </x:c>
      <x:c r="F202" t="str">
        <x:v>Crafting Station</x:v>
      </x:c>
      <x:c r="G202" t="str">
        <x:v>Enchanter</x:v>
      </x:c>
      <x:c r="H202" t="str">
        <x:v>Season 1</x:v>
      </x:c>
      <x:c r="I202" t="str">
        <x:v>P2</x:v>
      </x:c>
      <x:c r="J202" t="str">
        <x:v>B18_STATIONS_T7</x:v>
      </x:c>
      <x:c r="K202" t="str">
        <x:v>Image to 3D</x:v>
      </x:c>
      <x:c r="L202" t="str">
        <x:v>Yes</x:v>
      </x:c>
      <x:c r="M202" t="n">
        <x:v>8250</x:v>
      </x:c>
      <x:c r="N202" t="str">
        <x:v>2048x2048</x:v>
      </x:c>
      <x:c r="O202" t="str">
        <x:v>No</x:v>
      </x:c>
      <x:c r="P202" t="str">
        <x:v>anim_station_enchanter</x:v>
      </x:c>
      <x:c r="Q202" t="str">
        <x:v>Prompts/ConceptArt/station_enchanter_t07_001_concept_sheet.txt</x:v>
      </x:c>
      <x:c r="R202" t="str">
        <x:v>Prompts/Meshy/station_enchanter_t07_001_geometry.txt</x:v>
      </x:c>
      <x:c r="S202" t="str">
        <x:v>Prompts/Texture/station_enchanter_t07_001_texture.txt</x:v>
      </x:c>
      <x:c r="T202" t="n">
        <x:v>2</x:v>
      </x:c>
      <x:c r="U202" t="n">
        <x:v>2</x:v>
      </x:c>
      <x:c r="V202" t="n">
        <x:v>1</x:v>
      </x:c>
      <x:c r="W202" t="n">
        <x:v>1</x:v>
      </x:c>
      <x:c r="X202" t="n">
        <x:v>0</x:v>
      </x:c>
      <x:c r="Y202" t="str">
        <x:v>Profession readable without UI; Tier milestone visible; work zone clear; sockets valid; no baked animation/VFX; LOD budget met; 3/4 camera test passed</x:v>
      </x:c>
      <x:c r="Z202" t="str">
        <x:v>Assets/_Game/Art/Crafting/Stations/Enchanter/T7</x:v>
      </x:c>
      <x:c r="AA202" t="str">
        <x:v>Not Started</x:v>
      </x:c>
      <x:c r="AB202" t="str">
        <x:v>Pending</x:v>
      </x:c>
      <x:c r="AC202" s="18" t="n">
        <x:f>T202*'Settings &amp; Rates'!$B$5+U202*'Settings &amp; Rates'!$B$6+V202*'Settings &amp; Rates'!$B$7+W202*'Settings &amp; Rates'!$B$8+X202*'Settings &amp; Rates'!$B$9</x:f>
        <x:v>55</x:v>
      </x:c>
      <x:c r="AD202" s="18" t="n">
        <x:f>SUMIF('Attempt Log'!$B$2:$B$101,A202,'Attempt Log'!$K$2:$K$101)</x:f>
        <x:v>0</x:v>
      </x:c>
      <x:c r="AE202" s="18" t="n">
        <x:f>AD202-AC202</x:f>
        <x:v>-55</x:v>
      </x:c>
      <x:c r="AF202" t="n">
        <x:f>COUNTIF('Attempt Log'!$B$2:$B$101,A202)</x:f>
        <x:v>0</x:v>
      </x:c>
      <x:c r="AG202" t="n">
        <x:f>IFERROR(SUMIFS('Attempt Log'!$U$2:$U$101,'Attempt Log'!$B$2:$B$101,A202,'Attempt Log'!$N$2:$N$101,"Yes")/COUNTIFS('Attempt Log'!$B$2:$B$101,A202,'Attempt Log'!$N$2:$N$101,"Yes"),0)</x:f>
        <x:v>0</x:v>
      </x:c>
    </x:row>
    <x:row r="203">
      <x:c r="A203" t="str">
        <x:v>station_gatherer_t07_001</x:v>
      </x:c>
      <x:c r="B203" t="str">
        <x:v>Acampamento de Expedição T7</x:v>
      </x:c>
      <x:c r="C203" t="str">
        <x:v>Expedition Camp T7</x:v>
      </x:c>
      <x:c r="D203" t="str">
        <x:v>Task018</x:v>
      </x:c>
      <x:c r="E203" t="str">
        <x:v>Station</x:v>
      </x:c>
      <x:c r="F203" t="str">
        <x:v>Crafting Station</x:v>
      </x:c>
      <x:c r="G203" t="str">
        <x:v>Gatherer</x:v>
      </x:c>
      <x:c r="H203" t="str">
        <x:v>Season 1</x:v>
      </x:c>
      <x:c r="I203" t="str">
        <x:v>P2</x:v>
      </x:c>
      <x:c r="J203" t="str">
        <x:v>B18_STATIONS_T7</x:v>
      </x:c>
      <x:c r="K203" t="str">
        <x:v>Image to 3D</x:v>
      </x:c>
      <x:c r="L203" t="str">
        <x:v>Yes</x:v>
      </x:c>
      <x:c r="M203" t="n">
        <x:v>8250</x:v>
      </x:c>
      <x:c r="N203" t="str">
        <x:v>2048x2048</x:v>
      </x:c>
      <x:c r="O203" t="str">
        <x:v>No</x:v>
      </x:c>
      <x:c r="P203" t="str">
        <x:v>anim_station_gatherer</x:v>
      </x:c>
      <x:c r="Q203" t="str">
        <x:v>Prompts/ConceptArt/station_gatherer_t07_001_concept_sheet.txt</x:v>
      </x:c>
      <x:c r="R203" t="str">
        <x:v>Prompts/Meshy/station_gatherer_t07_001_geometry.txt</x:v>
      </x:c>
      <x:c r="S203" t="str">
        <x:v>Prompts/Texture/station_gatherer_t07_001_texture.txt</x:v>
      </x:c>
      <x:c r="T203" t="n">
        <x:v>2</x:v>
      </x:c>
      <x:c r="U203" t="n">
        <x:v>2</x:v>
      </x:c>
      <x:c r="V203" t="n">
        <x:v>1</x:v>
      </x:c>
      <x:c r="W203" t="n">
        <x:v>1</x:v>
      </x:c>
      <x:c r="X203" t="n">
        <x:v>0</x:v>
      </x:c>
      <x:c r="Y203" t="str">
        <x:v>Profession readable without UI; Tier milestone visible; work zone clear; sockets valid; no baked animation/VFX; LOD budget met; 3/4 camera test passed</x:v>
      </x:c>
      <x:c r="Z203" t="str">
        <x:v>Assets/_Game/Art/Crafting/Stations/Gatherer/T7</x:v>
      </x:c>
      <x:c r="AA203" t="str">
        <x:v>Not Started</x:v>
      </x:c>
      <x:c r="AB203" t="str">
        <x:v>Pending</x:v>
      </x:c>
      <x:c r="AC203" s="18" t="n">
        <x:f>T203*'Settings &amp; Rates'!$B$5+U203*'Settings &amp; Rates'!$B$6+V203*'Settings &amp; Rates'!$B$7+W203*'Settings &amp; Rates'!$B$8+X203*'Settings &amp; Rates'!$B$9</x:f>
        <x:v>55</x:v>
      </x:c>
      <x:c r="AD203" s="18" t="n">
        <x:f>SUMIF('Attempt Log'!$B$2:$B$101,A203,'Attempt Log'!$K$2:$K$101)</x:f>
        <x:v>0</x:v>
      </x:c>
      <x:c r="AE203" s="18" t="n">
        <x:f>AD203-AC203</x:f>
        <x:v>-55</x:v>
      </x:c>
      <x:c r="AF203" t="n">
        <x:f>COUNTIF('Attempt Log'!$B$2:$B$101,A203)</x:f>
        <x:v>0</x:v>
      </x:c>
      <x:c r="AG203" t="n">
        <x:f>IFERROR(SUMIFS('Attempt Log'!$U$2:$U$101,'Attempt Log'!$B$2:$B$101,A203,'Attempt Log'!$N$2:$N$101,"Yes")/COUNTIFS('Attempt Log'!$B$2:$B$101,A203,'Attempt Log'!$N$2:$N$101,"Yes"),0)</x:f>
        <x:v>0</x:v>
      </x:c>
    </x:row>
    <x:row r="204">
      <x:c r="A204" t="str">
        <x:v>station_tailor_t07_001</x:v>
      </x:c>
      <x:c r="B204" t="str">
        <x:v>Ateliê T7</x:v>
      </x:c>
      <x:c r="C204" t="str">
        <x:v>Atelier T7</x:v>
      </x:c>
      <x:c r="D204" t="str">
        <x:v>Task018</x:v>
      </x:c>
      <x:c r="E204" t="str">
        <x:v>Station</x:v>
      </x:c>
      <x:c r="F204" t="str">
        <x:v>Crafting Station</x:v>
      </x:c>
      <x:c r="G204" t="str">
        <x:v>Tailor</x:v>
      </x:c>
      <x:c r="H204" t="str">
        <x:v>Season 1</x:v>
      </x:c>
      <x:c r="I204" t="str">
        <x:v>P2</x:v>
      </x:c>
      <x:c r="J204" t="str">
        <x:v>B18_STATIONS_T7</x:v>
      </x:c>
      <x:c r="K204" t="str">
        <x:v>Image to 3D</x:v>
      </x:c>
      <x:c r="L204" t="str">
        <x:v>Yes</x:v>
      </x:c>
      <x:c r="M204" t="n">
        <x:v>8250</x:v>
      </x:c>
      <x:c r="N204" t="str">
        <x:v>2048x2048</x:v>
      </x:c>
      <x:c r="O204" t="str">
        <x:v>No</x:v>
      </x:c>
      <x:c r="P204" t="str">
        <x:v>anim_station_tailor</x:v>
      </x:c>
      <x:c r="Q204" t="str">
        <x:v>Prompts/ConceptArt/station_tailor_t07_001_concept_sheet.txt</x:v>
      </x:c>
      <x:c r="R204" t="str">
        <x:v>Prompts/Meshy/station_tailor_t07_001_geometry.txt</x:v>
      </x:c>
      <x:c r="S204" t="str">
        <x:v>Prompts/Texture/station_tailor_t07_001_texture.txt</x:v>
      </x:c>
      <x:c r="T204" t="n">
        <x:v>2</x:v>
      </x:c>
      <x:c r="U204" t="n">
        <x:v>2</x:v>
      </x:c>
      <x:c r="V204" t="n">
        <x:v>1</x:v>
      </x:c>
      <x:c r="W204" t="n">
        <x:v>1</x:v>
      </x:c>
      <x:c r="X204" t="n">
        <x:v>0</x:v>
      </x:c>
      <x:c r="Y204" t="str">
        <x:v>Profession readable without UI; Tier milestone visible; work zone clear; sockets valid; no baked animation/VFX; LOD budget met; 3/4 camera test passed</x:v>
      </x:c>
      <x:c r="Z204" t="str">
        <x:v>Assets/_Game/Art/Crafting/Stations/Tailor/T7</x:v>
      </x:c>
      <x:c r="AA204" t="str">
        <x:v>Not Started</x:v>
      </x:c>
      <x:c r="AB204" t="str">
        <x:v>Pending</x:v>
      </x:c>
      <x:c r="AC204" s="18" t="n">
        <x:f>T204*'Settings &amp; Rates'!$B$5+U204*'Settings &amp; Rates'!$B$6+V204*'Settings &amp; Rates'!$B$7+W204*'Settings &amp; Rates'!$B$8+X204*'Settings &amp; Rates'!$B$9</x:f>
        <x:v>55</x:v>
      </x:c>
      <x:c r="AD204" s="18" t="n">
        <x:f>SUMIF('Attempt Log'!$B$2:$B$101,A204,'Attempt Log'!$K$2:$K$101)</x:f>
        <x:v>0</x:v>
      </x:c>
      <x:c r="AE204" s="18" t="n">
        <x:f>AD204-AC204</x:f>
        <x:v>-55</x:v>
      </x:c>
      <x:c r="AF204" t="n">
        <x:f>COUNTIF('Attempt Log'!$B$2:$B$101,A204)</x:f>
        <x:v>0</x:v>
      </x:c>
      <x:c r="AG204" t="n">
        <x:f>IFERROR(SUMIFS('Attempt Log'!$U$2:$U$101,'Attempt Log'!$B$2:$B$101,A204,'Attempt Log'!$N$2:$N$101,"Yes")/COUNTIFS('Attempt Log'!$B$2:$B$101,A204,'Attempt Log'!$N$2:$N$101,"Yes"),0)</x:f>
        <x:v>0</x:v>
      </x:c>
    </x:row>
    <x:row r="205">
      <x:c r="A205" t="str">
        <x:v>station_alchemist_t09_001</x:v>
      </x:c>
      <x:c r="B205" t="str">
        <x:v>Laboratório T9</x:v>
      </x:c>
      <x:c r="C205" t="str">
        <x:v>Laboratory T9</x:v>
      </x:c>
      <x:c r="D205" t="str">
        <x:v>Task018</x:v>
      </x:c>
      <x:c r="E205" t="str">
        <x:v>Station</x:v>
      </x:c>
      <x:c r="F205" t="str">
        <x:v>Crafting Station</x:v>
      </x:c>
      <x:c r="G205" t="str">
        <x:v>Alchemist</x:v>
      </x:c>
      <x:c r="H205" t="str">
        <x:v>Post-MVP</x:v>
      </x:c>
      <x:c r="I205" t="str">
        <x:v>P3</x:v>
      </x:c>
      <x:c r="J205" t="str">
        <x:v>B19_STATIONS_T9</x:v>
      </x:c>
      <x:c r="K205" t="str">
        <x:v>Image to 3D</x:v>
      </x:c>
      <x:c r="L205" t="str">
        <x:v>Yes</x:v>
      </x:c>
      <x:c r="M205" t="n">
        <x:v>9250</x:v>
      </x:c>
      <x:c r="N205" t="str">
        <x:v>2048x2048</x:v>
      </x:c>
      <x:c r="O205" t="str">
        <x:v>No</x:v>
      </x:c>
      <x:c r="P205" t="str">
        <x:v>anim_station_alchemist</x:v>
      </x:c>
      <x:c r="Q205" t="str">
        <x:v>Prompts/ConceptArt/station_alchemist_t09_001_concept_sheet.txt</x:v>
      </x:c>
      <x:c r="R205" t="str">
        <x:v>Prompts/Meshy/station_alchemist_t09_001_geometry.txt</x:v>
      </x:c>
      <x:c r="S205" t="str">
        <x:v>Prompts/Texture/station_alchemist_t09_001_texture.txt</x:v>
      </x:c>
      <x:c r="T205" t="n">
        <x:v>2</x:v>
      </x:c>
      <x:c r="U205" t="n">
        <x:v>3</x:v>
      </x:c>
      <x:c r="V205" t="n">
        <x:v>1</x:v>
      </x:c>
      <x:c r="W205" t="n">
        <x:v>1</x:v>
      </x:c>
      <x:c r="X205" t="n">
        <x:v>0</x:v>
      </x:c>
      <x:c r="Y205" t="str">
        <x:v>Profession readable without UI; Tier milestone visible; work zone clear; sockets valid; no baked animation/VFX; LOD budget met; 3/4 camera test passed</x:v>
      </x:c>
      <x:c r="Z205" t="str">
        <x:v>Assets/_Game/Art/Crafting/Stations/Alchemist/T9</x:v>
      </x:c>
      <x:c r="AA205" t="str">
        <x:v>Not Started</x:v>
      </x:c>
      <x:c r="AB205" t="str">
        <x:v>Pending</x:v>
      </x:c>
      <x:c r="AC205" s="18" t="n">
        <x:f>T205*'Settings &amp; Rates'!$B$5+U205*'Settings &amp; Rates'!$B$6+V205*'Settings &amp; Rates'!$B$7+W205*'Settings &amp; Rates'!$B$8+X205*'Settings &amp; Rates'!$B$9</x:f>
        <x:v>75</x:v>
      </x:c>
      <x:c r="AD205" s="18" t="n">
        <x:f>SUMIF('Attempt Log'!$B$2:$B$101,A205,'Attempt Log'!$K$2:$K$101)</x:f>
        <x:v>0</x:v>
      </x:c>
      <x:c r="AE205" s="18" t="n">
        <x:f>AD205-AC205</x:f>
        <x:v>-75</x:v>
      </x:c>
      <x:c r="AF205" t="n">
        <x:f>COUNTIF('Attempt Log'!$B$2:$B$101,A205)</x:f>
        <x:v>0</x:v>
      </x:c>
      <x:c r="AG205" t="n">
        <x:f>IFERROR(SUMIFS('Attempt Log'!$U$2:$U$101,'Attempt Log'!$B$2:$B$101,A205,'Attempt Log'!$N$2:$N$101,"Yes")/COUNTIFS('Attempt Log'!$B$2:$B$101,A205,'Attempt Log'!$N$2:$N$101,"Yes"),0)</x:f>
        <x:v>0</x:v>
      </x:c>
    </x:row>
    <x:row r="206">
      <x:c r="A206" t="str">
        <x:v>station_blacksmith_t09_001</x:v>
      </x:c>
      <x:c r="B206" t="str">
        <x:v>Forja T9</x:v>
      </x:c>
      <x:c r="C206" t="str">
        <x:v>Forge T9</x:v>
      </x:c>
      <x:c r="D206" t="str">
        <x:v>Task018</x:v>
      </x:c>
      <x:c r="E206" t="str">
        <x:v>Station</x:v>
      </x:c>
      <x:c r="F206" t="str">
        <x:v>Crafting Station</x:v>
      </x:c>
      <x:c r="G206" t="str">
        <x:v>Blacksmith</x:v>
      </x:c>
      <x:c r="H206" t="str">
        <x:v>Post-MVP</x:v>
      </x:c>
      <x:c r="I206" t="str">
        <x:v>P3</x:v>
      </x:c>
      <x:c r="J206" t="str">
        <x:v>B19_STATIONS_T9</x:v>
      </x:c>
      <x:c r="K206" t="str">
        <x:v>Image to 3D</x:v>
      </x:c>
      <x:c r="L206" t="str">
        <x:v>Yes</x:v>
      </x:c>
      <x:c r="M206" t="n">
        <x:v>9250</x:v>
      </x:c>
      <x:c r="N206" t="str">
        <x:v>2048x2048</x:v>
      </x:c>
      <x:c r="O206" t="str">
        <x:v>No</x:v>
      </x:c>
      <x:c r="P206" t="str">
        <x:v>anim_station_blacksmith</x:v>
      </x:c>
      <x:c r="Q206" t="str">
        <x:v>Prompts/ConceptArt/station_blacksmith_t09_001_concept_sheet.txt</x:v>
      </x:c>
      <x:c r="R206" t="str">
        <x:v>Prompts/Meshy/station_blacksmith_t09_001_geometry.txt</x:v>
      </x:c>
      <x:c r="S206" t="str">
        <x:v>Prompts/Texture/station_blacksmith_t09_001_texture.txt</x:v>
      </x:c>
      <x:c r="T206" t="n">
        <x:v>2</x:v>
      </x:c>
      <x:c r="U206" t="n">
        <x:v>3</x:v>
      </x:c>
      <x:c r="V206" t="n">
        <x:v>1</x:v>
      </x:c>
      <x:c r="W206" t="n">
        <x:v>1</x:v>
      </x:c>
      <x:c r="X206" t="n">
        <x:v>0</x:v>
      </x:c>
      <x:c r="Y206" t="str">
        <x:v>Profession readable without UI; Tier milestone visible; work zone clear; sockets valid; no baked animation/VFX; LOD budget met; 3/4 camera test passed</x:v>
      </x:c>
      <x:c r="Z206" t="str">
        <x:v>Assets/_Game/Art/Crafting/Stations/Blacksmith/T9</x:v>
      </x:c>
      <x:c r="AA206" t="str">
        <x:v>Not Started</x:v>
      </x:c>
      <x:c r="AB206" t="str">
        <x:v>Pending</x:v>
      </x:c>
      <x:c r="AC206" s="18" t="n">
        <x:f>T206*'Settings &amp; Rates'!$B$5+U206*'Settings &amp; Rates'!$B$6+V206*'Settings &amp; Rates'!$B$7+W206*'Settings &amp; Rates'!$B$8+X206*'Settings &amp; Rates'!$B$9</x:f>
        <x:v>75</x:v>
      </x:c>
      <x:c r="AD206" s="18" t="n">
        <x:f>SUMIF('Attempt Log'!$B$2:$B$101,A206,'Attempt Log'!$K$2:$K$101)</x:f>
        <x:v>0</x:v>
      </x:c>
      <x:c r="AE206" s="18" t="n">
        <x:f>AD206-AC206</x:f>
        <x:v>-75</x:v>
      </x:c>
      <x:c r="AF206" t="n">
        <x:f>COUNTIF('Attempt Log'!$B$2:$B$101,A206)</x:f>
        <x:v>0</x:v>
      </x:c>
      <x:c r="AG206" t="n">
        <x:f>IFERROR(SUMIFS('Attempt Log'!$U$2:$U$101,'Attempt Log'!$B$2:$B$101,A206,'Attempt Log'!$N$2:$N$101,"Yes")/COUNTIFS('Attempt Log'!$B$2:$B$101,A206,'Attempt Log'!$N$2:$N$101,"Yes"),0)</x:f>
        <x:v>0</x:v>
      </x:c>
    </x:row>
    <x:row r="207">
      <x:c r="A207" t="str">
        <x:v>station_enchanter_t09_001</x:v>
      </x:c>
      <x:c r="B207" t="str">
        <x:v>Mesa Arcana T9</x:v>
      </x:c>
      <x:c r="C207" t="str">
        <x:v>Arcane Table T9</x:v>
      </x:c>
      <x:c r="D207" t="str">
        <x:v>Task018</x:v>
      </x:c>
      <x:c r="E207" t="str">
        <x:v>Station</x:v>
      </x:c>
      <x:c r="F207" t="str">
        <x:v>Crafting Station</x:v>
      </x:c>
      <x:c r="G207" t="str">
        <x:v>Enchanter</x:v>
      </x:c>
      <x:c r="H207" t="str">
        <x:v>Post-MVP</x:v>
      </x:c>
      <x:c r="I207" t="str">
        <x:v>P3</x:v>
      </x:c>
      <x:c r="J207" t="str">
        <x:v>B19_STATIONS_T9</x:v>
      </x:c>
      <x:c r="K207" t="str">
        <x:v>Image to 3D</x:v>
      </x:c>
      <x:c r="L207" t="str">
        <x:v>Yes</x:v>
      </x:c>
      <x:c r="M207" t="n">
        <x:v>9250</x:v>
      </x:c>
      <x:c r="N207" t="str">
        <x:v>2048x2048</x:v>
      </x:c>
      <x:c r="O207" t="str">
        <x:v>No</x:v>
      </x:c>
      <x:c r="P207" t="str">
        <x:v>anim_station_enchanter</x:v>
      </x:c>
      <x:c r="Q207" t="str">
        <x:v>Prompts/ConceptArt/station_enchanter_t09_001_concept_sheet.txt</x:v>
      </x:c>
      <x:c r="R207" t="str">
        <x:v>Prompts/Meshy/station_enchanter_t09_001_geometry.txt</x:v>
      </x:c>
      <x:c r="S207" t="str">
        <x:v>Prompts/Texture/station_enchanter_t09_001_texture.txt</x:v>
      </x:c>
      <x:c r="T207" t="n">
        <x:v>2</x:v>
      </x:c>
      <x:c r="U207" t="n">
        <x:v>3</x:v>
      </x:c>
      <x:c r="V207" t="n">
        <x:v>1</x:v>
      </x:c>
      <x:c r="W207" t="n">
        <x:v>1</x:v>
      </x:c>
      <x:c r="X207" t="n">
        <x:v>0</x:v>
      </x:c>
      <x:c r="Y207" t="str">
        <x:v>Profession readable without UI; Tier milestone visible; work zone clear; sockets valid; no baked animation/VFX; LOD budget met; 3/4 camera test passed</x:v>
      </x:c>
      <x:c r="Z207" t="str">
        <x:v>Assets/_Game/Art/Crafting/Stations/Enchanter/T9</x:v>
      </x:c>
      <x:c r="AA207" t="str">
        <x:v>Not Started</x:v>
      </x:c>
      <x:c r="AB207" t="str">
        <x:v>Pending</x:v>
      </x:c>
      <x:c r="AC207" s="18" t="n">
        <x:f>T207*'Settings &amp; Rates'!$B$5+U207*'Settings &amp; Rates'!$B$6+V207*'Settings &amp; Rates'!$B$7+W207*'Settings &amp; Rates'!$B$8+X207*'Settings &amp; Rates'!$B$9</x:f>
        <x:v>75</x:v>
      </x:c>
      <x:c r="AD207" s="18" t="n">
        <x:f>SUMIF('Attempt Log'!$B$2:$B$101,A207,'Attempt Log'!$K$2:$K$101)</x:f>
        <x:v>0</x:v>
      </x:c>
      <x:c r="AE207" s="18" t="n">
        <x:f>AD207-AC207</x:f>
        <x:v>-75</x:v>
      </x:c>
      <x:c r="AF207" t="n">
        <x:f>COUNTIF('Attempt Log'!$B$2:$B$101,A207)</x:f>
        <x:v>0</x:v>
      </x:c>
      <x:c r="AG207" t="n">
        <x:f>IFERROR(SUMIFS('Attempt Log'!$U$2:$U$101,'Attempt Log'!$B$2:$B$101,A207,'Attempt Log'!$N$2:$N$101,"Yes")/COUNTIFS('Attempt Log'!$B$2:$B$101,A207,'Attempt Log'!$N$2:$N$101,"Yes"),0)</x:f>
        <x:v>0</x:v>
      </x:c>
    </x:row>
    <x:row r="208">
      <x:c r="A208" t="str">
        <x:v>station_gatherer_t09_001</x:v>
      </x:c>
      <x:c r="B208" t="str">
        <x:v>Acampamento de Expedição T9</x:v>
      </x:c>
      <x:c r="C208" t="str">
        <x:v>Expedition Camp T9</x:v>
      </x:c>
      <x:c r="D208" t="str">
        <x:v>Task018</x:v>
      </x:c>
      <x:c r="E208" t="str">
        <x:v>Station</x:v>
      </x:c>
      <x:c r="F208" t="str">
        <x:v>Crafting Station</x:v>
      </x:c>
      <x:c r="G208" t="str">
        <x:v>Gatherer</x:v>
      </x:c>
      <x:c r="H208" t="str">
        <x:v>Post-MVP</x:v>
      </x:c>
      <x:c r="I208" t="str">
        <x:v>P3</x:v>
      </x:c>
      <x:c r="J208" t="str">
        <x:v>B19_STATIONS_T9</x:v>
      </x:c>
      <x:c r="K208" t="str">
        <x:v>Image to 3D</x:v>
      </x:c>
      <x:c r="L208" t="str">
        <x:v>Yes</x:v>
      </x:c>
      <x:c r="M208" t="n">
        <x:v>9250</x:v>
      </x:c>
      <x:c r="N208" t="str">
        <x:v>2048x2048</x:v>
      </x:c>
      <x:c r="O208" t="str">
        <x:v>No</x:v>
      </x:c>
      <x:c r="P208" t="str">
        <x:v>anim_station_gatherer</x:v>
      </x:c>
      <x:c r="Q208" t="str">
        <x:v>Prompts/ConceptArt/station_gatherer_t09_001_concept_sheet.txt</x:v>
      </x:c>
      <x:c r="R208" t="str">
        <x:v>Prompts/Meshy/station_gatherer_t09_001_geometry.txt</x:v>
      </x:c>
      <x:c r="S208" t="str">
        <x:v>Prompts/Texture/station_gatherer_t09_001_texture.txt</x:v>
      </x:c>
      <x:c r="T208" t="n">
        <x:v>2</x:v>
      </x:c>
      <x:c r="U208" t="n">
        <x:v>3</x:v>
      </x:c>
      <x:c r="V208" t="n">
        <x:v>1</x:v>
      </x:c>
      <x:c r="W208" t="n">
        <x:v>1</x:v>
      </x:c>
      <x:c r="X208" t="n">
        <x:v>0</x:v>
      </x:c>
      <x:c r="Y208" t="str">
        <x:v>Profession readable without UI; Tier milestone visible; work zone clear; sockets valid; no baked animation/VFX; LOD budget met; 3/4 camera test passed</x:v>
      </x:c>
      <x:c r="Z208" t="str">
        <x:v>Assets/_Game/Art/Crafting/Stations/Gatherer/T9</x:v>
      </x:c>
      <x:c r="AA208" t="str">
        <x:v>Not Started</x:v>
      </x:c>
      <x:c r="AB208" t="str">
        <x:v>Pending</x:v>
      </x:c>
      <x:c r="AC208" s="18" t="n">
        <x:f>T208*'Settings &amp; Rates'!$B$5+U208*'Settings &amp; Rates'!$B$6+V208*'Settings &amp; Rates'!$B$7+W208*'Settings &amp; Rates'!$B$8+X208*'Settings &amp; Rates'!$B$9</x:f>
        <x:v>75</x:v>
      </x:c>
      <x:c r="AD208" s="18" t="n">
        <x:f>SUMIF('Attempt Log'!$B$2:$B$101,A208,'Attempt Log'!$K$2:$K$101)</x:f>
        <x:v>0</x:v>
      </x:c>
      <x:c r="AE208" s="18" t="n">
        <x:f>AD208-AC208</x:f>
        <x:v>-75</x:v>
      </x:c>
      <x:c r="AF208" t="n">
        <x:f>COUNTIF('Attempt Log'!$B$2:$B$101,A208)</x:f>
        <x:v>0</x:v>
      </x:c>
      <x:c r="AG208" t="n">
        <x:f>IFERROR(SUMIFS('Attempt Log'!$U$2:$U$101,'Attempt Log'!$B$2:$B$101,A208,'Attempt Log'!$N$2:$N$101,"Yes")/COUNTIFS('Attempt Log'!$B$2:$B$101,A208,'Attempt Log'!$N$2:$N$101,"Yes"),0)</x:f>
        <x:v>0</x:v>
      </x:c>
    </x:row>
    <x:row r="209">
      <x:c r="A209" t="str">
        <x:v>station_tailor_t09_001</x:v>
      </x:c>
      <x:c r="B209" t="str">
        <x:v>Ateliê T9</x:v>
      </x:c>
      <x:c r="C209" t="str">
        <x:v>Atelier T9</x:v>
      </x:c>
      <x:c r="D209" t="str">
        <x:v>Task018</x:v>
      </x:c>
      <x:c r="E209" t="str">
        <x:v>Station</x:v>
      </x:c>
      <x:c r="F209" t="str">
        <x:v>Crafting Station</x:v>
      </x:c>
      <x:c r="G209" t="str">
        <x:v>Tailor</x:v>
      </x:c>
      <x:c r="H209" t="str">
        <x:v>Post-MVP</x:v>
      </x:c>
      <x:c r="I209" t="str">
        <x:v>P3</x:v>
      </x:c>
      <x:c r="J209" t="str">
        <x:v>B19_STATIONS_T9</x:v>
      </x:c>
      <x:c r="K209" t="str">
        <x:v>Image to 3D</x:v>
      </x:c>
      <x:c r="L209" t="str">
        <x:v>Yes</x:v>
      </x:c>
      <x:c r="M209" t="n">
        <x:v>9250</x:v>
      </x:c>
      <x:c r="N209" t="str">
        <x:v>2048x2048</x:v>
      </x:c>
      <x:c r="O209" t="str">
        <x:v>No</x:v>
      </x:c>
      <x:c r="P209" t="str">
        <x:v>anim_station_tailor</x:v>
      </x:c>
      <x:c r="Q209" t="str">
        <x:v>Prompts/ConceptArt/station_tailor_t09_001_concept_sheet.txt</x:v>
      </x:c>
      <x:c r="R209" t="str">
        <x:v>Prompts/Meshy/station_tailor_t09_001_geometry.txt</x:v>
      </x:c>
      <x:c r="S209" t="str">
        <x:v>Prompts/Texture/station_tailor_t09_001_texture.txt</x:v>
      </x:c>
      <x:c r="T209" t="n">
        <x:v>2</x:v>
      </x:c>
      <x:c r="U209" t="n">
        <x:v>3</x:v>
      </x:c>
      <x:c r="V209" t="n">
        <x:v>1</x:v>
      </x:c>
      <x:c r="W209" t="n">
        <x:v>1</x:v>
      </x:c>
      <x:c r="X209" t="n">
        <x:v>0</x:v>
      </x:c>
      <x:c r="Y209" t="str">
        <x:v>Profession readable without UI; Tier milestone visible; work zone clear; sockets valid; no baked animation/VFX; LOD budget met; 3/4 camera test passed</x:v>
      </x:c>
      <x:c r="Z209" t="str">
        <x:v>Assets/_Game/Art/Crafting/Stations/Tailor/T9</x:v>
      </x:c>
      <x:c r="AA209" t="str">
        <x:v>Not Started</x:v>
      </x:c>
      <x:c r="AB209" t="str">
        <x:v>Pending</x:v>
      </x:c>
      <x:c r="AC209" s="18" t="n">
        <x:f>T209*'Settings &amp; Rates'!$B$5+U209*'Settings &amp; Rates'!$B$6+V209*'Settings &amp; Rates'!$B$7+W209*'Settings &amp; Rates'!$B$8+X209*'Settings &amp; Rates'!$B$9</x:f>
        <x:v>75</x:v>
      </x:c>
      <x:c r="AD209" s="18" t="n">
        <x:f>SUMIF('Attempt Log'!$B$2:$B$101,A209,'Attempt Log'!$K$2:$K$101)</x:f>
        <x:v>0</x:v>
      </x:c>
      <x:c r="AE209" s="18" t="n">
        <x:f>AD209-AC209</x:f>
        <x:v>-75</x:v>
      </x:c>
      <x:c r="AF209" t="n">
        <x:f>COUNTIF('Attempt Log'!$B$2:$B$101,A209)</x:f>
        <x:v>0</x:v>
      </x:c>
      <x:c r="AG209" t="n">
        <x:f>IFERROR(SUMIFS('Attempt Log'!$U$2:$U$101,'Attempt Log'!$B$2:$B$101,A209,'Attempt Log'!$N$2:$N$101,"Yes")/COUNTIFS('Attempt Log'!$B$2:$B$101,A209,'Attempt Log'!$N$2:$N$101,"Yes"),0)</x:f>
        <x:v>0</x:v>
      </x:c>
    </x:row>
    <x:row r="210">
      <x:c r="A210" t="str">
        <x:v>env_goblin_mine_camp_gate_001</x:v>
      </x:c>
      <x:c r="B210" t="str">
        <x:v>Portão do Acampamento</x:v>
      </x:c>
      <x:c r="C210" t="str">
        <x:v>Camp Gate</x:v>
      </x:c>
      <x:c r="D210" t="str">
        <x:v>Task018</x:v>
      </x:c>
      <x:c r="E210" t="str">
        <x:v>Environment</x:v>
      </x:c>
      <x:c r="F210" t="str">
        <x:v>Environment</x:v>
      </x:c>
      <x:c r="G210" t="str">
        <x:v>large prop</x:v>
      </x:c>
      <x:c r="H210" t="str">
        <x:v>Vertical Slice</x:v>
      </x:c>
      <x:c r="I210" t="str">
        <x:v>P0</x:v>
      </x:c>
      <x:c r="J210" t="str">
        <x:v>B20_GOBLIN_ENV_PROPS</x:v>
      </x:c>
      <x:c r="K210" t="str">
        <x:v>Image to 3D</x:v>
      </x:c>
      <x:c r="L210" t="str">
        <x:v>Yes</x:v>
      </x:c>
      <x:c r="M210" t="n">
        <x:v>4250</x:v>
      </x:c>
      <x:c r="N210" t="str">
        <x:v>1024x1024</x:v>
      </x:c>
      <x:c r="O210" t="str">
        <x:v>No</x:v>
      </x:c>
      <x:c r="P210" t="str">
        <x:v>None</x:v>
      </x:c>
      <x:c r="Q210" t="str">
        <x:v>Prompts/ConceptArt/env_goblin_mine_camp_gate_001_concept_sheet.txt</x:v>
      </x:c>
      <x:c r="R210" t="str">
        <x:v>Prompts/Meshy/env_goblin_mine_camp_gate_001_geometry.txt</x:v>
      </x:c>
      <x:c r="S210" t="str">
        <x:v>Prompts/Texture/env_goblin_mine_camp_gate_001_texture.txt</x:v>
      </x:c>
      <x:c r="T210" t="n">
        <x:v>2</x:v>
      </x:c>
      <x:c r="U210" t="n">
        <x:v>3</x:v>
      </x:c>
      <x:c r="V210" t="n">
        <x:v>1</x:v>
      </x:c>
      <x:c r="W210" t="n">
        <x:v>1</x:v>
      </x:c>
      <x:c r="X210" t="n">
        <x:v>0</x:v>
      </x:c>
      <x:c r="Y210" t="str">
        <x:v>Silhouette readable; correct scale; grid/pivot compliance; material separation; no baked VFX; LOD budget met; mobile camera test passed</x:v>
      </x:c>
      <x:c r="Z210" t="str">
        <x:v>Assets/_Game/Art/Environments/goblin_mine/Models</x:v>
      </x:c>
      <x:c r="AA210" t="str">
        <x:v>Not Started</x:v>
      </x:c>
      <x:c r="AB210" t="str">
        <x:v>Pending</x:v>
      </x:c>
      <x:c r="AC210" s="18" t="n">
        <x:f>T210*'Settings &amp; Rates'!$B$5+U210*'Settings &amp; Rates'!$B$6+V210*'Settings &amp; Rates'!$B$7+W210*'Settings &amp; Rates'!$B$8+X210*'Settings &amp; Rates'!$B$9</x:f>
        <x:v>75</x:v>
      </x:c>
      <x:c r="AD210" s="18" t="n">
        <x:f>SUMIF('Attempt Log'!$B$2:$B$101,A210,'Attempt Log'!$K$2:$K$101)</x:f>
        <x:v>0</x:v>
      </x:c>
      <x:c r="AE210" s="18" t="n">
        <x:f>AD210-AC210</x:f>
        <x:v>-75</x:v>
      </x:c>
      <x:c r="AF210" t="n">
        <x:f>COUNTIF('Attempt Log'!$B$2:$B$101,A210)</x:f>
        <x:v>0</x:v>
      </x:c>
      <x:c r="AG210" t="n">
        <x:f>IFERROR(SUMIFS('Attempt Log'!$U$2:$U$101,'Attempt Log'!$B$2:$B$101,A210,'Attempt Log'!$N$2:$N$101,"Yes")/COUNTIFS('Attempt Log'!$B$2:$B$101,A210,'Attempt Log'!$N$2:$N$101,"Yes"),0)</x:f>
        <x:v>0</x:v>
      </x:c>
    </x:row>
    <x:row r="211">
      <x:c r="A211" t="str">
        <x:v>env_goblin_mine_goblin_barrel_001</x:v>
      </x:c>
      <x:c r="B211" t="str">
        <x:v>Barril Goblin</x:v>
      </x:c>
      <x:c r="C211" t="str">
        <x:v>Goblin Barrel</x:v>
      </x:c>
      <x:c r="D211" t="str">
        <x:v>Task018</x:v>
      </x:c>
      <x:c r="E211" t="str">
        <x:v>Environment</x:v>
      </x:c>
      <x:c r="F211" t="str">
        <x:v>Environment</x:v>
      </x:c>
      <x:c r="G211" t="str">
        <x:v>prop</x:v>
      </x:c>
      <x:c r="H211" t="str">
        <x:v>Vertical Slice</x:v>
      </x:c>
      <x:c r="I211" t="str">
        <x:v>P0</x:v>
      </x:c>
      <x:c r="J211" t="str">
        <x:v>B20_GOBLIN_ENV_PROPS</x:v>
      </x:c>
      <x:c r="K211" t="str">
        <x:v>Text to 3D</x:v>
      </x:c>
      <x:c r="L211" t="str">
        <x:v>Optional</x:v>
      </x:c>
      <x:c r="M211" t="n">
        <x:v>650</x:v>
      </x:c>
      <x:c r="N211" t="str">
        <x:v>1024x1024</x:v>
      </x:c>
      <x:c r="O211" t="str">
        <x:v>No</x:v>
      </x:c>
      <x:c r="P211" t="str">
        <x:v>None</x:v>
      </x:c>
      <x:c r="Q211" t="str">
        <x:v>Prompts/ConceptArt/env_goblin_mine_goblin_barrel_001_concept_sheet.txt</x:v>
      </x:c>
      <x:c r="R211" t="str">
        <x:v>Prompts/Meshy/env_goblin_mine_goblin_barrel_001_geometry.txt</x:v>
      </x:c>
      <x:c r="S211" t="str">
        <x:v>Prompts/Texture/env_goblin_mine_goblin_barrel_001_texture.txt</x:v>
      </x:c>
      <x:c r="T211" t="n">
        <x:v>1</x:v>
      </x:c>
      <x:c r="U211" t="n">
        <x:v>3</x:v>
      </x:c>
      <x:c r="V211" t="n">
        <x:v>1</x:v>
      </x:c>
      <x:c r="W211" t="n">
        <x:v>1</x:v>
      </x:c>
      <x:c r="X211" t="n">
        <x:v>0</x:v>
      </x:c>
      <x:c r="Y211" t="str">
        <x:v>Silhouette readable; correct scale; grid/pivot compliance; material separation; no baked VFX; LOD budget met; mobile camera test passed</x:v>
      </x:c>
      <x:c r="Z211" t="str">
        <x:v>Assets/_Game/Art/Environments/goblin_mine/Models</x:v>
      </x:c>
      <x:c r="AA211" t="str">
        <x:v>Not Started</x:v>
      </x:c>
      <x:c r="AB211" t="str">
        <x:v>Pending</x:v>
      </x:c>
      <x:c r="AC211" s="18" t="n">
        <x:f>T211*'Settings &amp; Rates'!$B$5+U211*'Settings &amp; Rates'!$B$6+V211*'Settings &amp; Rates'!$B$7+W211*'Settings &amp; Rates'!$B$8+X211*'Settings &amp; Rates'!$B$9</x:f>
        <x:v>75</x:v>
      </x:c>
      <x:c r="AD211" s="18" t="n">
        <x:f>SUMIF('Attempt Log'!$B$2:$B$101,A211,'Attempt Log'!$K$2:$K$101)</x:f>
        <x:v>0</x:v>
      </x:c>
      <x:c r="AE211" s="18" t="n">
        <x:f>AD211-AC211</x:f>
        <x:v>-75</x:v>
      </x:c>
      <x:c r="AF211" t="n">
        <x:f>COUNTIF('Attempt Log'!$B$2:$B$101,A211)</x:f>
        <x:v>0</x:v>
      </x:c>
      <x:c r="AG211" t="n">
        <x:f>IFERROR(SUMIFS('Attempt Log'!$U$2:$U$101,'Attempt Log'!$B$2:$B$101,A211,'Attempt Log'!$N$2:$N$101,"Yes")/COUNTIFS('Attempt Log'!$B$2:$B$101,A211,'Attempt Log'!$N$2:$N$101,"Yes"),0)</x:f>
        <x:v>0</x:v>
      </x:c>
    </x:row>
    <x:row r="212">
      <x:c r="A212" t="str">
        <x:v>env_goblin_mine_goblin_king_throne_001</x:v>
      </x:c>
      <x:c r="B212" t="str">
        <x:v>Trono do Rei Goblin</x:v>
      </x:c>
      <x:c r="C212" t="str">
        <x:v>Goblin King Throne</x:v>
      </x:c>
      <x:c r="D212" t="str">
        <x:v>Task018</x:v>
      </x:c>
      <x:c r="E212" t="str">
        <x:v>Environment</x:v>
      </x:c>
      <x:c r="F212" t="str">
        <x:v>Environment</x:v>
      </x:c>
      <x:c r="G212" t="str">
        <x:v>hero prop</x:v>
      </x:c>
      <x:c r="H212" t="str">
        <x:v>Vertical Slice</x:v>
      </x:c>
      <x:c r="I212" t="str">
        <x:v>P0</x:v>
      </x:c>
      <x:c r="J212" t="str">
        <x:v>B20_GOBLIN_ENV_PROPS</x:v>
      </x:c>
      <x:c r="K212" t="str">
        <x:v>Image to 3D</x:v>
      </x:c>
      <x:c r="L212" t="str">
        <x:v>Yes</x:v>
      </x:c>
      <x:c r="M212" t="n">
        <x:v>4250</x:v>
      </x:c>
      <x:c r="N212" t="str">
        <x:v>1024x1024</x:v>
      </x:c>
      <x:c r="O212" t="str">
        <x:v>No</x:v>
      </x:c>
      <x:c r="P212" t="str">
        <x:v>None</x:v>
      </x:c>
      <x:c r="Q212" t="str">
        <x:v>Prompts/ConceptArt/env_goblin_mine_goblin_king_throne_001_concept_sheet.txt</x:v>
      </x:c>
      <x:c r="R212" t="str">
        <x:v>Prompts/Meshy/env_goblin_mine_goblin_king_throne_001_geometry.txt</x:v>
      </x:c>
      <x:c r="S212" t="str">
        <x:v>Prompts/Texture/env_goblin_mine_goblin_king_throne_001_texture.txt</x:v>
      </x:c>
      <x:c r="T212" t="n">
        <x:v>2</x:v>
      </x:c>
      <x:c r="U212" t="n">
        <x:v>3</x:v>
      </x:c>
      <x:c r="V212" t="n">
        <x:v>1</x:v>
      </x:c>
      <x:c r="W212" t="n">
        <x:v>1</x:v>
      </x:c>
      <x:c r="X212" t="n">
        <x:v>0</x:v>
      </x:c>
      <x:c r="Y212" t="str">
        <x:v>Silhouette readable; correct scale; grid/pivot compliance; material separation; no baked VFX; LOD budget met; mobile camera test passed</x:v>
      </x:c>
      <x:c r="Z212" t="str">
        <x:v>Assets/_Game/Art/Environments/goblin_mine/Models</x:v>
      </x:c>
      <x:c r="AA212" t="str">
        <x:v>Not Started</x:v>
      </x:c>
      <x:c r="AB212" t="str">
        <x:v>Pending</x:v>
      </x:c>
      <x:c r="AC212" s="18" t="n">
        <x:f>T212*'Settings &amp; Rates'!$B$5+U212*'Settings &amp; Rates'!$B$6+V212*'Settings &amp; Rates'!$B$7+W212*'Settings &amp; Rates'!$B$8+X212*'Settings &amp; Rates'!$B$9</x:f>
        <x:v>75</x:v>
      </x:c>
      <x:c r="AD212" s="18" t="n">
        <x:f>SUMIF('Attempt Log'!$B$2:$B$101,A212,'Attempt Log'!$K$2:$K$101)</x:f>
        <x:v>0</x:v>
      </x:c>
      <x:c r="AE212" s="18" t="n">
        <x:f>AD212-AC212</x:f>
        <x:v>-75</x:v>
      </x:c>
      <x:c r="AF212" t="n">
        <x:f>COUNTIF('Attempt Log'!$B$2:$B$101,A212)</x:f>
        <x:v>0</x:v>
      </x:c>
      <x:c r="AG212" t="n">
        <x:f>IFERROR(SUMIFS('Attempt Log'!$U$2:$U$101,'Attempt Log'!$B$2:$B$101,A212,'Attempt Log'!$N$2:$N$101,"Yes")/COUNTIFS('Attempt Log'!$B$2:$B$101,A212,'Attempt Log'!$N$2:$N$101,"Yes"),0)</x:f>
        <x:v>0</x:v>
      </x:c>
    </x:row>
    <x:row r="213">
      <x:c r="A213" t="str">
        <x:v>env_goblin_mine_goblin_tent_001</x:v>
      </x:c>
      <x:c r="B213" t="str">
        <x:v>Tenda Goblin</x:v>
      </x:c>
      <x:c r="C213" t="str">
        <x:v>Goblin Tent</x:v>
      </x:c>
      <x:c r="D213" t="str">
        <x:v>Task018</x:v>
      </x:c>
      <x:c r="E213" t="str">
        <x:v>Environment</x:v>
      </x:c>
      <x:c r="F213" t="str">
        <x:v>Environment</x:v>
      </x:c>
      <x:c r="G213" t="str">
        <x:v>large prop</x:v>
      </x:c>
      <x:c r="H213" t="str">
        <x:v>Vertical Slice</x:v>
      </x:c>
      <x:c r="I213" t="str">
        <x:v>P0</x:v>
      </x:c>
      <x:c r="J213" t="str">
        <x:v>B20_GOBLIN_ENV_PROPS</x:v>
      </x:c>
      <x:c r="K213" t="str">
        <x:v>Image to 3D</x:v>
      </x:c>
      <x:c r="L213" t="str">
        <x:v>Yes</x:v>
      </x:c>
      <x:c r="M213" t="n">
        <x:v>2750</x:v>
      </x:c>
      <x:c r="N213" t="str">
        <x:v>1024x1024</x:v>
      </x:c>
      <x:c r="O213" t="str">
        <x:v>No</x:v>
      </x:c>
      <x:c r="P213" t="str">
        <x:v>None</x:v>
      </x:c>
      <x:c r="Q213" t="str">
        <x:v>Prompts/ConceptArt/env_goblin_mine_goblin_tent_001_concept_sheet.txt</x:v>
      </x:c>
      <x:c r="R213" t="str">
        <x:v>Prompts/Meshy/env_goblin_mine_goblin_tent_001_geometry.txt</x:v>
      </x:c>
      <x:c r="S213" t="str">
        <x:v>Prompts/Texture/env_goblin_mine_goblin_tent_001_texture.txt</x:v>
      </x:c>
      <x:c r="T213" t="n">
        <x:v>2</x:v>
      </x:c>
      <x:c r="U213" t="n">
        <x:v>3</x:v>
      </x:c>
      <x:c r="V213" t="n">
        <x:v>1</x:v>
      </x:c>
      <x:c r="W213" t="n">
        <x:v>1</x:v>
      </x:c>
      <x:c r="X213" t="n">
        <x:v>0</x:v>
      </x:c>
      <x:c r="Y213" t="str">
        <x:v>Silhouette readable; correct scale; grid/pivot compliance; material separation; no baked VFX; LOD budget met; mobile camera test passed</x:v>
      </x:c>
      <x:c r="Z213" t="str">
        <x:v>Assets/_Game/Art/Environments/goblin_mine/Models</x:v>
      </x:c>
      <x:c r="AA213" t="str">
        <x:v>Not Started</x:v>
      </x:c>
      <x:c r="AB213" t="str">
        <x:v>Pending</x:v>
      </x:c>
      <x:c r="AC213" s="18" t="n">
        <x:f>T213*'Settings &amp; Rates'!$B$5+U213*'Settings &amp; Rates'!$B$6+V213*'Settings &amp; Rates'!$B$7+W213*'Settings &amp; Rates'!$B$8+X213*'Settings &amp; Rates'!$B$9</x:f>
        <x:v>75</x:v>
      </x:c>
      <x:c r="AD213" s="18" t="n">
        <x:f>SUMIF('Attempt Log'!$B$2:$B$101,A213,'Attempt Log'!$K$2:$K$101)</x:f>
        <x:v>0</x:v>
      </x:c>
      <x:c r="AE213" s="18" t="n">
        <x:f>AD213-AC213</x:f>
        <x:v>-75</x:v>
      </x:c>
      <x:c r="AF213" t="n">
        <x:f>COUNTIF('Attempt Log'!$B$2:$B$101,A213)</x:f>
        <x:v>0</x:v>
      </x:c>
      <x:c r="AG213" t="n">
        <x:f>IFERROR(SUMIFS('Attempt Log'!$U$2:$U$101,'Attempt Log'!$B$2:$B$101,A213,'Attempt Log'!$N$2:$N$101,"Yes")/COUNTIFS('Attempt Log'!$B$2:$B$101,A213,'Attempt Log'!$N$2:$N$101,"Yes"),0)</x:f>
        <x:v>0</x:v>
      </x:c>
    </x:row>
    <x:row r="214">
      <x:c r="A214" t="str">
        <x:v>env_goblin_mine_mine_cart_001</x:v>
      </x:c>
      <x:c r="B214" t="str">
        <x:v>Carrinho de Minério</x:v>
      </x:c>
      <x:c r="C214" t="str">
        <x:v>Mine Cart</x:v>
      </x:c>
      <x:c r="D214" t="str">
        <x:v>Task018</x:v>
      </x:c>
      <x:c r="E214" t="str">
        <x:v>Environment</x:v>
      </x:c>
      <x:c r="F214" t="str">
        <x:v>Environment</x:v>
      </x:c>
      <x:c r="G214" t="str">
        <x:v>prop</x:v>
      </x:c>
      <x:c r="H214" t="str">
        <x:v>Vertical Slice</x:v>
      </x:c>
      <x:c r="I214" t="str">
        <x:v>P0</x:v>
      </x:c>
      <x:c r="J214" t="str">
        <x:v>B20_GOBLIN_ENV_PROPS</x:v>
      </x:c>
      <x:c r="K214" t="str">
        <x:v>Text to 3D</x:v>
      </x:c>
      <x:c r="L214" t="str">
        <x:v>Optional</x:v>
      </x:c>
      <x:c r="M214" t="n">
        <x:v>1750</x:v>
      </x:c>
      <x:c r="N214" t="str">
        <x:v>1024x1024</x:v>
      </x:c>
      <x:c r="O214" t="str">
        <x:v>No</x:v>
      </x:c>
      <x:c r="P214" t="str">
        <x:v>None</x:v>
      </x:c>
      <x:c r="Q214" t="str">
        <x:v>Prompts/ConceptArt/env_goblin_mine_mine_cart_001_concept_sheet.txt</x:v>
      </x:c>
      <x:c r="R214" t="str">
        <x:v>Prompts/Meshy/env_goblin_mine_mine_cart_001_geometry.txt</x:v>
      </x:c>
      <x:c r="S214" t="str">
        <x:v>Prompts/Texture/env_goblin_mine_mine_cart_001_texture.txt</x:v>
      </x:c>
      <x:c r="T214" t="n">
        <x:v>1</x:v>
      </x:c>
      <x:c r="U214" t="n">
        <x:v>3</x:v>
      </x:c>
      <x:c r="V214" t="n">
        <x:v>1</x:v>
      </x:c>
      <x:c r="W214" t="n">
        <x:v>1</x:v>
      </x:c>
      <x:c r="X214" t="n">
        <x:v>0</x:v>
      </x:c>
      <x:c r="Y214" t="str">
        <x:v>Silhouette readable; correct scale; grid/pivot compliance; material separation; no baked VFX; LOD budget met; mobile camera test passed</x:v>
      </x:c>
      <x:c r="Z214" t="str">
        <x:v>Assets/_Game/Art/Environments/goblin_mine/Models</x:v>
      </x:c>
      <x:c r="AA214" t="str">
        <x:v>Not Started</x:v>
      </x:c>
      <x:c r="AB214" t="str">
        <x:v>Pending</x:v>
      </x:c>
      <x:c r="AC214" s="18" t="n">
        <x:f>T214*'Settings &amp; Rates'!$B$5+U214*'Settings &amp; Rates'!$B$6+V214*'Settings &amp; Rates'!$B$7+W214*'Settings &amp; Rates'!$B$8+X214*'Settings &amp; Rates'!$B$9</x:f>
        <x:v>75</x:v>
      </x:c>
      <x:c r="AD214" s="18" t="n">
        <x:f>SUMIF('Attempt Log'!$B$2:$B$101,A214,'Attempt Log'!$K$2:$K$101)</x:f>
        <x:v>0</x:v>
      </x:c>
      <x:c r="AE214" s="18" t="n">
        <x:f>AD214-AC214</x:f>
        <x:v>-75</x:v>
      </x:c>
      <x:c r="AF214" t="n">
        <x:f>COUNTIF('Attempt Log'!$B$2:$B$101,A214)</x:f>
        <x:v>0</x:v>
      </x:c>
      <x:c r="AG214" t="n">
        <x:f>IFERROR(SUMIFS('Attempt Log'!$U$2:$U$101,'Attempt Log'!$B$2:$B$101,A214,'Attempt Log'!$N$2:$N$101,"Yes")/COUNTIFS('Attempt Log'!$B$2:$B$101,A214,'Attempt Log'!$N$2:$N$101,"Yes"),0)</x:f>
        <x:v>0</x:v>
      </x:c>
    </x:row>
    <x:row r="215">
      <x:c r="A215" t="str">
        <x:v>env_goblin_mine_ore_pile_001</x:v>
      </x:c>
      <x:c r="B215" t="str">
        <x:v>Pilha de Minério</x:v>
      </x:c>
      <x:c r="C215" t="str">
        <x:v>Ore Pile</x:v>
      </x:c>
      <x:c r="D215" t="str">
        <x:v>Task018</x:v>
      </x:c>
      <x:c r="E215" t="str">
        <x:v>Environment</x:v>
      </x:c>
      <x:c r="F215" t="str">
        <x:v>Environment</x:v>
      </x:c>
      <x:c r="G215" t="str">
        <x:v>prop</x:v>
      </x:c>
      <x:c r="H215" t="str">
        <x:v>Vertical Slice</x:v>
      </x:c>
      <x:c r="I215" t="str">
        <x:v>P0</x:v>
      </x:c>
      <x:c r="J215" t="str">
        <x:v>B20_GOBLIN_ENV_PROPS</x:v>
      </x:c>
      <x:c r="K215" t="str">
        <x:v>Text to 3D</x:v>
      </x:c>
      <x:c r="L215" t="str">
        <x:v>Optional</x:v>
      </x:c>
      <x:c r="M215" t="n">
        <x:v>950</x:v>
      </x:c>
      <x:c r="N215" t="str">
        <x:v>1024x1024</x:v>
      </x:c>
      <x:c r="O215" t="str">
        <x:v>No</x:v>
      </x:c>
      <x:c r="P215" t="str">
        <x:v>None</x:v>
      </x:c>
      <x:c r="Q215" t="str">
        <x:v>Prompts/ConceptArt/env_goblin_mine_ore_pile_001_concept_sheet.txt</x:v>
      </x:c>
      <x:c r="R215" t="str">
        <x:v>Prompts/Meshy/env_goblin_mine_ore_pile_001_geometry.txt</x:v>
      </x:c>
      <x:c r="S215" t="str">
        <x:v>Prompts/Texture/env_goblin_mine_ore_pile_001_texture.txt</x:v>
      </x:c>
      <x:c r="T215" t="n">
        <x:v>1</x:v>
      </x:c>
      <x:c r="U215" t="n">
        <x:v>3</x:v>
      </x:c>
      <x:c r="V215" t="n">
        <x:v>1</x:v>
      </x:c>
      <x:c r="W215" t="n">
        <x:v>1</x:v>
      </x:c>
      <x:c r="X215" t="n">
        <x:v>0</x:v>
      </x:c>
      <x:c r="Y215" t="str">
        <x:v>Silhouette readable; correct scale; grid/pivot compliance; material separation; no baked VFX; LOD budget met; mobile camera test passed</x:v>
      </x:c>
      <x:c r="Z215" t="str">
        <x:v>Assets/_Game/Art/Environments/goblin_mine/Models</x:v>
      </x:c>
      <x:c r="AA215" t="str">
        <x:v>Not Started</x:v>
      </x:c>
      <x:c r="AB215" t="str">
        <x:v>Pending</x:v>
      </x:c>
      <x:c r="AC215" s="18" t="n">
        <x:f>T215*'Settings &amp; Rates'!$B$5+U215*'Settings &amp; Rates'!$B$6+V215*'Settings &amp; Rates'!$B$7+W215*'Settings &amp; Rates'!$B$8+X215*'Settings &amp; Rates'!$B$9</x:f>
        <x:v>75</x:v>
      </x:c>
      <x:c r="AD215" s="18" t="n">
        <x:f>SUMIF('Attempt Log'!$B$2:$B$101,A215,'Attempt Log'!$K$2:$K$101)</x:f>
        <x:v>0</x:v>
      </x:c>
      <x:c r="AE215" s="18" t="n">
        <x:f>AD215-AC215</x:f>
        <x:v>-75</x:v>
      </x:c>
      <x:c r="AF215" t="n">
        <x:f>COUNTIF('Attempt Log'!$B$2:$B$101,A215)</x:f>
        <x:v>0</x:v>
      </x:c>
      <x:c r="AG215" t="n">
        <x:f>IFERROR(SUMIFS('Attempt Log'!$U$2:$U$101,'Attempt Log'!$B$2:$B$101,A215,'Attempt Log'!$N$2:$N$101,"Yes")/COUNTIFS('Attempt Log'!$B$2:$B$101,A215,'Attempt Log'!$N$2:$N$101,"Yes"),0)</x:f>
        <x:v>0</x:v>
      </x:c>
    </x:row>
    <x:row r="216">
      <x:c r="A216" t="str">
        <x:v>env_goblin_mine_rope_bridge_001</x:v>
      </x:c>
      <x:c r="B216" t="str">
        <x:v>Ponte de Corda</x:v>
      </x:c>
      <x:c r="C216" t="str">
        <x:v>Rope Bridge</x:v>
      </x:c>
      <x:c r="D216" t="str">
        <x:v>Task018</x:v>
      </x:c>
      <x:c r="E216" t="str">
        <x:v>Environment</x:v>
      </x:c>
      <x:c r="F216" t="str">
        <x:v>Environment</x:v>
      </x:c>
      <x:c r="G216" t="str">
        <x:v>large prop</x:v>
      </x:c>
      <x:c r="H216" t="str">
        <x:v>Vertical Slice</x:v>
      </x:c>
      <x:c r="I216" t="str">
        <x:v>P0</x:v>
      </x:c>
      <x:c r="J216" t="str">
        <x:v>B20_GOBLIN_ENV_PROPS</x:v>
      </x:c>
      <x:c r="K216" t="str">
        <x:v>Image to 3D</x:v>
      </x:c>
      <x:c r="L216" t="str">
        <x:v>Yes</x:v>
      </x:c>
      <x:c r="M216" t="n">
        <x:v>3150</x:v>
      </x:c>
      <x:c r="N216" t="str">
        <x:v>1024x1024</x:v>
      </x:c>
      <x:c r="O216" t="str">
        <x:v>No</x:v>
      </x:c>
      <x:c r="P216" t="str">
        <x:v>None</x:v>
      </x:c>
      <x:c r="Q216" t="str">
        <x:v>Prompts/ConceptArt/env_goblin_mine_rope_bridge_001_concept_sheet.txt</x:v>
      </x:c>
      <x:c r="R216" t="str">
        <x:v>Prompts/Meshy/env_goblin_mine_rope_bridge_001_geometry.txt</x:v>
      </x:c>
      <x:c r="S216" t="str">
        <x:v>Prompts/Texture/env_goblin_mine_rope_bridge_001_texture.txt</x:v>
      </x:c>
      <x:c r="T216" t="n">
        <x:v>2</x:v>
      </x:c>
      <x:c r="U216" t="n">
        <x:v>3</x:v>
      </x:c>
      <x:c r="V216" t="n">
        <x:v>1</x:v>
      </x:c>
      <x:c r="W216" t="n">
        <x:v>1</x:v>
      </x:c>
      <x:c r="X216" t="n">
        <x:v>0</x:v>
      </x:c>
      <x:c r="Y216" t="str">
        <x:v>Silhouette readable; correct scale; grid/pivot compliance; material separation; no baked VFX; LOD budget met; mobile camera test passed</x:v>
      </x:c>
      <x:c r="Z216" t="str">
        <x:v>Assets/_Game/Art/Environments/goblin_mine/Models</x:v>
      </x:c>
      <x:c r="AA216" t="str">
        <x:v>Not Started</x:v>
      </x:c>
      <x:c r="AB216" t="str">
        <x:v>Pending</x:v>
      </x:c>
      <x:c r="AC216" s="18" t="n">
        <x:f>T216*'Settings &amp; Rates'!$B$5+U216*'Settings &amp; Rates'!$B$6+V216*'Settings &amp; Rates'!$B$7+W216*'Settings &amp; Rates'!$B$8+X216*'Settings &amp; Rates'!$B$9</x:f>
        <x:v>75</x:v>
      </x:c>
      <x:c r="AD216" s="18" t="n">
        <x:f>SUMIF('Attempt Log'!$B$2:$B$101,A216,'Attempt Log'!$K$2:$K$101)</x:f>
        <x:v>0</x:v>
      </x:c>
      <x:c r="AE216" s="18" t="n">
        <x:f>AD216-AC216</x:f>
        <x:v>-75</x:v>
      </x:c>
      <x:c r="AF216" t="n">
        <x:f>COUNTIF('Attempt Log'!$B$2:$B$101,A216)</x:f>
        <x:v>0</x:v>
      </x:c>
      <x:c r="AG216" t="n">
        <x:f>IFERROR(SUMIFS('Attempt Log'!$U$2:$U$101,'Attempt Log'!$B$2:$B$101,A216,'Attempt Log'!$N$2:$N$101,"Yes")/COUNTIFS('Attempt Log'!$B$2:$B$101,A216,'Attempt Log'!$N$2:$N$101,"Yes"),0)</x:f>
        <x:v>0</x:v>
      </x:c>
    </x:row>
    <x:row r="217">
      <x:c r="A217" t="str">
        <x:v>env_goblin_mine_scrap_barricade_001</x:v>
      </x:c>
      <x:c r="B217" t="str">
        <x:v>Barricada de Sucata</x:v>
      </x:c>
      <x:c r="C217" t="str">
        <x:v>Scrap Barricade</x:v>
      </x:c>
      <x:c r="D217" t="str">
        <x:v>Task018</x:v>
      </x:c>
      <x:c r="E217" t="str">
        <x:v>Environment</x:v>
      </x:c>
      <x:c r="F217" t="str">
        <x:v>Environment</x:v>
      </x:c>
      <x:c r="G217" t="str">
        <x:v>prop</x:v>
      </x:c>
      <x:c r="H217" t="str">
        <x:v>Vertical Slice</x:v>
      </x:c>
      <x:c r="I217" t="str">
        <x:v>P0</x:v>
      </x:c>
      <x:c r="J217" t="str">
        <x:v>B20_GOBLIN_ENV_PROPS</x:v>
      </x:c>
      <x:c r="K217" t="str">
        <x:v>Text to 3D</x:v>
      </x:c>
      <x:c r="L217" t="str">
        <x:v>Optional</x:v>
      </x:c>
      <x:c r="M217" t="n">
        <x:v>1550</x:v>
      </x:c>
      <x:c r="N217" t="str">
        <x:v>1024x1024</x:v>
      </x:c>
      <x:c r="O217" t="str">
        <x:v>No</x:v>
      </x:c>
      <x:c r="P217" t="str">
        <x:v>None</x:v>
      </x:c>
      <x:c r="Q217" t="str">
        <x:v>Prompts/ConceptArt/env_goblin_mine_scrap_barricade_001_concept_sheet.txt</x:v>
      </x:c>
      <x:c r="R217" t="str">
        <x:v>Prompts/Meshy/env_goblin_mine_scrap_barricade_001_geometry.txt</x:v>
      </x:c>
      <x:c r="S217" t="str">
        <x:v>Prompts/Texture/env_goblin_mine_scrap_barricade_001_texture.txt</x:v>
      </x:c>
      <x:c r="T217" t="n">
        <x:v>1</x:v>
      </x:c>
      <x:c r="U217" t="n">
        <x:v>3</x:v>
      </x:c>
      <x:c r="V217" t="n">
        <x:v>1</x:v>
      </x:c>
      <x:c r="W217" t="n">
        <x:v>1</x:v>
      </x:c>
      <x:c r="X217" t="n">
        <x:v>0</x:v>
      </x:c>
      <x:c r="Y217" t="str">
        <x:v>Silhouette readable; correct scale; grid/pivot compliance; material separation; no baked VFX; LOD budget met; mobile camera test passed</x:v>
      </x:c>
      <x:c r="Z217" t="str">
        <x:v>Assets/_Game/Art/Environments/goblin_mine/Models</x:v>
      </x:c>
      <x:c r="AA217" t="str">
        <x:v>Not Started</x:v>
      </x:c>
      <x:c r="AB217" t="str">
        <x:v>Pending</x:v>
      </x:c>
      <x:c r="AC217" s="18" t="n">
        <x:f>T217*'Settings &amp; Rates'!$B$5+U217*'Settings &amp; Rates'!$B$6+V217*'Settings &amp; Rates'!$B$7+W217*'Settings &amp; Rates'!$B$8+X217*'Settings &amp; Rates'!$B$9</x:f>
        <x:v>75</x:v>
      </x:c>
      <x:c r="AD217" s="18" t="n">
        <x:f>SUMIF('Attempt Log'!$B$2:$B$101,A217,'Attempt Log'!$K$2:$K$101)</x:f>
        <x:v>0</x:v>
      </x:c>
      <x:c r="AE217" s="18" t="n">
        <x:f>AD217-AC217</x:f>
        <x:v>-75</x:v>
      </x:c>
      <x:c r="AF217" t="n">
        <x:f>COUNTIF('Attempt Log'!$B$2:$B$101,A217)</x:f>
        <x:v>0</x:v>
      </x:c>
      <x:c r="AG217" t="n">
        <x:f>IFERROR(SUMIFS('Attempt Log'!$U$2:$U$101,'Attempt Log'!$B$2:$B$101,A217,'Attempt Log'!$N$2:$N$101,"Yes")/COUNTIFS('Attempt Log'!$B$2:$B$101,A217,'Attempt Log'!$N$2:$N$101,"Yes"),0)</x:f>
        <x:v>0</x:v>
      </x:c>
    </x:row>
    <x:row r="218">
      <x:c r="A218" t="str">
        <x:v>env_goblin_mine_wall_torch_001</x:v>
      </x:c>
      <x:c r="B218" t="str">
        <x:v>Tocha de Parede</x:v>
      </x:c>
      <x:c r="C218" t="str">
        <x:v>Wall Torch</x:v>
      </x:c>
      <x:c r="D218" t="str">
        <x:v>Task018</x:v>
      </x:c>
      <x:c r="E218" t="str">
        <x:v>Environment</x:v>
      </x:c>
      <x:c r="F218" t="str">
        <x:v>Environment</x:v>
      </x:c>
      <x:c r="G218" t="str">
        <x:v>prop</x:v>
      </x:c>
      <x:c r="H218" t="str">
        <x:v>Vertical Slice</x:v>
      </x:c>
      <x:c r="I218" t="str">
        <x:v>P0</x:v>
      </x:c>
      <x:c r="J218" t="str">
        <x:v>B20_GOBLIN_ENV_PROPS</x:v>
      </x:c>
      <x:c r="K218" t="str">
        <x:v>Text to 3D</x:v>
      </x:c>
      <x:c r="L218" t="str">
        <x:v>Optional</x:v>
      </x:c>
      <x:c r="M218" t="n">
        <x:v>550</x:v>
      </x:c>
      <x:c r="N218" t="str">
        <x:v>1024x1024</x:v>
      </x:c>
      <x:c r="O218" t="str">
        <x:v>No</x:v>
      </x:c>
      <x:c r="P218" t="str">
        <x:v>None</x:v>
      </x:c>
      <x:c r="Q218" t="str">
        <x:v>Prompts/ConceptArt/env_goblin_mine_wall_torch_001_concept_sheet.txt</x:v>
      </x:c>
      <x:c r="R218" t="str">
        <x:v>Prompts/Meshy/env_goblin_mine_wall_torch_001_geometry.txt</x:v>
      </x:c>
      <x:c r="S218" t="str">
        <x:v>Prompts/Texture/env_goblin_mine_wall_torch_001_texture.txt</x:v>
      </x:c>
      <x:c r="T218" t="n">
        <x:v>1</x:v>
      </x:c>
      <x:c r="U218" t="n">
        <x:v>3</x:v>
      </x:c>
      <x:c r="V218" t="n">
        <x:v>1</x:v>
      </x:c>
      <x:c r="W218" t="n">
        <x:v>1</x:v>
      </x:c>
      <x:c r="X218" t="n">
        <x:v>0</x:v>
      </x:c>
      <x:c r="Y218" t="str">
        <x:v>Silhouette readable; correct scale; grid/pivot compliance; material separation; no baked VFX; LOD budget met; mobile camera test passed</x:v>
      </x:c>
      <x:c r="Z218" t="str">
        <x:v>Assets/_Game/Art/Environments/goblin_mine/Models</x:v>
      </x:c>
      <x:c r="AA218" t="str">
        <x:v>Not Started</x:v>
      </x:c>
      <x:c r="AB218" t="str">
        <x:v>Pending</x:v>
      </x:c>
      <x:c r="AC218" s="18" t="n">
        <x:f>T218*'Settings &amp; Rates'!$B$5+U218*'Settings &amp; Rates'!$B$6+V218*'Settings &amp; Rates'!$B$7+W218*'Settings &amp; Rates'!$B$8+X218*'Settings &amp; Rates'!$B$9</x:f>
        <x:v>75</x:v>
      </x:c>
      <x:c r="AD218" s="18" t="n">
        <x:f>SUMIF('Attempt Log'!$B$2:$B$101,A218,'Attempt Log'!$K$2:$K$101)</x:f>
        <x:v>0</x:v>
      </x:c>
      <x:c r="AE218" s="18" t="n">
        <x:f>AD218-AC218</x:f>
        <x:v>-75</x:v>
      </x:c>
      <x:c r="AF218" t="n">
        <x:f>COUNTIF('Attempt Log'!$B$2:$B$101,A218)</x:f>
        <x:v>0</x:v>
      </x:c>
      <x:c r="AG218" t="n">
        <x:f>IFERROR(SUMIFS('Attempt Log'!$U$2:$U$101,'Attempt Log'!$B$2:$B$101,A218,'Attempt Log'!$N$2:$N$101,"Yes")/COUNTIFS('Attempt Log'!$B$2:$B$101,A218,'Attempt Log'!$N$2:$N$101,"Yes"),0)</x:f>
        <x:v>0</x:v>
      </x:c>
    </x:row>
    <x:row r="219">
      <x:c r="A219" t="str">
        <x:v>env_goblin_mine_watchtower_001</x:v>
      </x:c>
      <x:c r="B219" t="str">
        <x:v>Torre de Vigia Goblin</x:v>
      </x:c>
      <x:c r="C219" t="str">
        <x:v>Goblin Watchtower</x:v>
      </x:c>
      <x:c r="D219" t="str">
        <x:v>Task018</x:v>
      </x:c>
      <x:c r="E219" t="str">
        <x:v>Environment</x:v>
      </x:c>
      <x:c r="F219" t="str">
        <x:v>Environment</x:v>
      </x:c>
      <x:c r="G219" t="str">
        <x:v>large prop</x:v>
      </x:c>
      <x:c r="H219" t="str">
        <x:v>Vertical Slice</x:v>
      </x:c>
      <x:c r="I219" t="str">
        <x:v>P0</x:v>
      </x:c>
      <x:c r="J219" t="str">
        <x:v>B20_GOBLIN_ENV_PROPS</x:v>
      </x:c>
      <x:c r="K219" t="str">
        <x:v>Image to 3D</x:v>
      </x:c>
      <x:c r="L219" t="str">
        <x:v>Yes</x:v>
      </x:c>
      <x:c r="M219" t="n">
        <x:v>5000</x:v>
      </x:c>
      <x:c r="N219" t="str">
        <x:v>1024x1024</x:v>
      </x:c>
      <x:c r="O219" t="str">
        <x:v>No</x:v>
      </x:c>
      <x:c r="P219" t="str">
        <x:v>None</x:v>
      </x:c>
      <x:c r="Q219" t="str">
        <x:v>Prompts/ConceptArt/env_goblin_mine_watchtower_001_concept_sheet.txt</x:v>
      </x:c>
      <x:c r="R219" t="str">
        <x:v>Prompts/Meshy/env_goblin_mine_watchtower_001_geometry.txt</x:v>
      </x:c>
      <x:c r="S219" t="str">
        <x:v>Prompts/Texture/env_goblin_mine_watchtower_001_texture.txt</x:v>
      </x:c>
      <x:c r="T219" t="n">
        <x:v>2</x:v>
      </x:c>
      <x:c r="U219" t="n">
        <x:v>3</x:v>
      </x:c>
      <x:c r="V219" t="n">
        <x:v>1</x:v>
      </x:c>
      <x:c r="W219" t="n">
        <x:v>1</x:v>
      </x:c>
      <x:c r="X219" t="n">
        <x:v>0</x:v>
      </x:c>
      <x:c r="Y219" t="str">
        <x:v>Silhouette readable; correct scale; grid/pivot compliance; material separation; no baked VFX; LOD budget met; mobile camera test passed</x:v>
      </x:c>
      <x:c r="Z219" t="str">
        <x:v>Assets/_Game/Art/Environments/goblin_mine/Models</x:v>
      </x:c>
      <x:c r="AA219" t="str">
        <x:v>Not Started</x:v>
      </x:c>
      <x:c r="AB219" t="str">
        <x:v>Pending</x:v>
      </x:c>
      <x:c r="AC219" s="18" t="n">
        <x:f>T219*'Settings &amp; Rates'!$B$5+U219*'Settings &amp; Rates'!$B$6+V219*'Settings &amp; Rates'!$B$7+W219*'Settings &amp; Rates'!$B$8+X219*'Settings &amp; Rates'!$B$9</x:f>
        <x:v>75</x:v>
      </x:c>
      <x:c r="AD219" s="18" t="n">
        <x:f>SUMIF('Attempt Log'!$B$2:$B$101,A219,'Attempt Log'!$K$2:$K$101)</x:f>
        <x:v>0</x:v>
      </x:c>
      <x:c r="AE219" s="18" t="n">
        <x:f>AD219-AC219</x:f>
        <x:v>-75</x:v>
      </x:c>
      <x:c r="AF219" t="n">
        <x:f>COUNTIF('Attempt Log'!$B$2:$B$101,A219)</x:f>
        <x:v>0</x:v>
      </x:c>
      <x:c r="AG219" t="n">
        <x:f>IFERROR(SUMIFS('Attempt Log'!$U$2:$U$101,'Attempt Log'!$B$2:$B$101,A219,'Attempt Log'!$N$2:$N$101,"Yes")/COUNTIFS('Attempt Log'!$B$2:$B$101,A219,'Attempt Log'!$N$2:$N$101,"Yes"),0)</x:f>
        <x:v>0</x:v>
      </x:c>
    </x:row>
    <x:row r="220">
      <x:c r="A220" t="str">
        <x:v>env_goblin_mine_wood_cage_001</x:v>
      </x:c>
      <x:c r="B220" t="str">
        <x:v>Jaula de Madeira</x:v>
      </x:c>
      <x:c r="C220" t="str">
        <x:v>Wooden Cage</x:v>
      </x:c>
      <x:c r="D220" t="str">
        <x:v>Task018</x:v>
      </x:c>
      <x:c r="E220" t="str">
        <x:v>Environment</x:v>
      </x:c>
      <x:c r="F220" t="str">
        <x:v>Environment</x:v>
      </x:c>
      <x:c r="G220" t="str">
        <x:v>prop</x:v>
      </x:c>
      <x:c r="H220" t="str">
        <x:v>Vertical Slice</x:v>
      </x:c>
      <x:c r="I220" t="str">
        <x:v>P0</x:v>
      </x:c>
      <x:c r="J220" t="str">
        <x:v>B20_GOBLIN_ENV_PROPS</x:v>
      </x:c>
      <x:c r="K220" t="str">
        <x:v>Text to 3D</x:v>
      </x:c>
      <x:c r="L220" t="str">
        <x:v>Optional</x:v>
      </x:c>
      <x:c r="M220" t="n">
        <x:v>1500</x:v>
      </x:c>
      <x:c r="N220" t="str">
        <x:v>1024x1024</x:v>
      </x:c>
      <x:c r="O220" t="str">
        <x:v>No</x:v>
      </x:c>
      <x:c r="P220" t="str">
        <x:v>None</x:v>
      </x:c>
      <x:c r="Q220" t="str">
        <x:v>Prompts/ConceptArt/env_goblin_mine_wood_cage_001_concept_sheet.txt</x:v>
      </x:c>
      <x:c r="R220" t="str">
        <x:v>Prompts/Meshy/env_goblin_mine_wood_cage_001_geometry.txt</x:v>
      </x:c>
      <x:c r="S220" t="str">
        <x:v>Prompts/Texture/env_goblin_mine_wood_cage_001_texture.txt</x:v>
      </x:c>
      <x:c r="T220" t="n">
        <x:v>1</x:v>
      </x:c>
      <x:c r="U220" t="n">
        <x:v>3</x:v>
      </x:c>
      <x:c r="V220" t="n">
        <x:v>1</x:v>
      </x:c>
      <x:c r="W220" t="n">
        <x:v>1</x:v>
      </x:c>
      <x:c r="X220" t="n">
        <x:v>0</x:v>
      </x:c>
      <x:c r="Y220" t="str">
        <x:v>Silhouette readable; correct scale; grid/pivot compliance; material separation; no baked VFX; LOD budget met; mobile camera test passed</x:v>
      </x:c>
      <x:c r="Z220" t="str">
        <x:v>Assets/_Game/Art/Environments/goblin_mine/Models</x:v>
      </x:c>
      <x:c r="AA220" t="str">
        <x:v>Not Started</x:v>
      </x:c>
      <x:c r="AB220" t="str">
        <x:v>Pending</x:v>
      </x:c>
      <x:c r="AC220" s="18" t="n">
        <x:f>T220*'Settings &amp; Rates'!$B$5+U220*'Settings &amp; Rates'!$B$6+V220*'Settings &amp; Rates'!$B$7+W220*'Settings &amp; Rates'!$B$8+X220*'Settings &amp; Rates'!$B$9</x:f>
        <x:v>75</x:v>
      </x:c>
      <x:c r="AD220" s="18" t="n">
        <x:f>SUMIF('Attempt Log'!$B$2:$B$101,A220,'Attempt Log'!$K$2:$K$101)</x:f>
        <x:v>0</x:v>
      </x:c>
      <x:c r="AE220" s="18" t="n">
        <x:f>AD220-AC220</x:f>
        <x:v>-75</x:v>
      </x:c>
      <x:c r="AF220" t="n">
        <x:f>COUNTIF('Attempt Log'!$B$2:$B$101,A220)</x:f>
        <x:v>0</x:v>
      </x:c>
      <x:c r="AG220" t="n">
        <x:f>IFERROR(SUMIFS('Attempt Log'!$U$2:$U$101,'Attempt Log'!$B$2:$B$101,A220,'Attempt Log'!$N$2:$N$101,"Yes")/COUNTIFS('Attempt Log'!$B$2:$B$101,A220,'Attempt Log'!$N$2:$N$101,"Yes"),0)</x:f>
        <x:v>0</x:v>
      </x:c>
    </x:row>
    <x:row r="221">
      <x:c r="A221" t="str">
        <x:v>env_undead_crypt_crypt_arch_001</x:v>
      </x:c>
      <x:c r="B221" t="str">
        <x:v>Arco Funerário</x:v>
      </x:c>
      <x:c r="C221" t="str">
        <x:v>Funerary Arch</x:v>
      </x:c>
      <x:c r="D221" t="str">
        <x:v>Task018</x:v>
      </x:c>
      <x:c r="E221" t="str">
        <x:v>Environment</x:v>
      </x:c>
      <x:c r="F221" t="str">
        <x:v>Environment</x:v>
      </x:c>
      <x:c r="G221" t="str">
        <x:v>structure</x:v>
      </x:c>
      <x:c r="H221" t="str">
        <x:v>Season 1 - Arc 2</x:v>
      </x:c>
      <x:c r="I221" t="str">
        <x:v>P1</x:v>
      </x:c>
      <x:c r="J221" t="str">
        <x:v>B21_UNDEAD_ENV_CORE</x:v>
      </x:c>
      <x:c r="K221" t="str">
        <x:v>Image to 3D</x:v>
      </x:c>
      <x:c r="L221" t="str">
        <x:v>Yes</x:v>
      </x:c>
      <x:c r="M221" t="n">
        <x:v>2200</x:v>
      </x:c>
      <x:c r="N221" t="str">
        <x:v>1024x1024</x:v>
      </x:c>
      <x:c r="O221" t="str">
        <x:v>No</x:v>
      </x:c>
      <x:c r="P221" t="str">
        <x:v>None</x:v>
      </x:c>
      <x:c r="Q221" t="str">
        <x:v>Prompts/ConceptArt/env_undead_crypt_crypt_arch_001_concept_sheet.txt</x:v>
      </x:c>
      <x:c r="R221" t="str">
        <x:v>Prompts/Meshy/env_undead_crypt_crypt_arch_001_geometry.txt</x:v>
      </x:c>
      <x:c r="S221" t="str">
        <x:v>Prompts/Texture/env_undead_crypt_crypt_arch_001_texture.txt</x:v>
      </x:c>
      <x:c r="T221" t="n">
        <x:v>2</x:v>
      </x:c>
      <x:c r="U221" t="n">
        <x:v>2</x:v>
      </x:c>
      <x:c r="V221" t="n">
        <x:v>1</x:v>
      </x:c>
      <x:c r="W221" t="n">
        <x:v>1</x:v>
      </x:c>
      <x:c r="X221" t="n">
        <x:v>0</x:v>
      </x:c>
      <x:c r="Y221" t="str">
        <x:v>Silhouette readable; correct scale; grid/pivot compliance; material separation; no baked VFX; LOD budget met; mobile camera test passed</x:v>
      </x:c>
      <x:c r="Z221" t="str">
        <x:v>Assets/_Game/Art/Environments/undead_crypt/Models</x:v>
      </x:c>
      <x:c r="AA221" t="str">
        <x:v>Not Started</x:v>
      </x:c>
      <x:c r="AB221" t="str">
        <x:v>Pending</x:v>
      </x:c>
      <x:c r="AC221" s="18" t="n">
        <x:f>T221*'Settings &amp; Rates'!$B$5+U221*'Settings &amp; Rates'!$B$6+V221*'Settings &amp; Rates'!$B$7+W221*'Settings &amp; Rates'!$B$8+X221*'Settings &amp; Rates'!$B$9</x:f>
        <x:v>55</x:v>
      </x:c>
      <x:c r="AD221" s="18" t="n">
        <x:f>SUMIF('Attempt Log'!$B$2:$B$101,A221,'Attempt Log'!$K$2:$K$101)</x:f>
        <x:v>0</x:v>
      </x:c>
      <x:c r="AE221" s="18" t="n">
        <x:f>AD221-AC221</x:f>
        <x:v>-55</x:v>
      </x:c>
      <x:c r="AF221" t="n">
        <x:f>COUNTIF('Attempt Log'!$B$2:$B$101,A221)</x:f>
        <x:v>0</x:v>
      </x:c>
      <x:c r="AG221" t="n">
        <x:f>IFERROR(SUMIFS('Attempt Log'!$U$2:$U$101,'Attempt Log'!$B$2:$B$101,A221,'Attempt Log'!$N$2:$N$101,"Yes")/COUNTIFS('Attempt Log'!$B$2:$B$101,A221,'Attempt Log'!$N$2:$N$101,"Yes"),0)</x:f>
        <x:v>0</x:v>
      </x:c>
    </x:row>
    <x:row r="222">
      <x:c r="A222" t="str">
        <x:v>env_undead_crypt_crypt_column_001</x:v>
      </x:c>
      <x:c r="B222" t="str">
        <x:v>Coluna de Cripta</x:v>
      </x:c>
      <x:c r="C222" t="str">
        <x:v>Crypt Column</x:v>
      </x:c>
      <x:c r="D222" t="str">
        <x:v>Task018</x:v>
      </x:c>
      <x:c r="E222" t="str">
        <x:v>Environment</x:v>
      </x:c>
      <x:c r="F222" t="str">
        <x:v>Environment</x:v>
      </x:c>
      <x:c r="G222" t="str">
        <x:v>structure</x:v>
      </x:c>
      <x:c r="H222" t="str">
        <x:v>Season 1 - Arc 2</x:v>
      </x:c>
      <x:c r="I222" t="str">
        <x:v>P1</x:v>
      </x:c>
      <x:c r="J222" t="str">
        <x:v>B21_UNDEAD_ENV_CORE</x:v>
      </x:c>
      <x:c r="K222" t="str">
        <x:v>Image to 3D</x:v>
      </x:c>
      <x:c r="L222" t="str">
        <x:v>Yes</x:v>
      </x:c>
      <x:c r="M222" t="n">
        <x:v>1500</x:v>
      </x:c>
      <x:c r="N222" t="str">
        <x:v>1024x1024</x:v>
      </x:c>
      <x:c r="O222" t="str">
        <x:v>No</x:v>
      </x:c>
      <x:c r="P222" t="str">
        <x:v>None</x:v>
      </x:c>
      <x:c r="Q222" t="str">
        <x:v>Prompts/ConceptArt/env_undead_crypt_crypt_column_001_concept_sheet.txt</x:v>
      </x:c>
      <x:c r="R222" t="str">
        <x:v>Prompts/Meshy/env_undead_crypt_crypt_column_001_geometry.txt</x:v>
      </x:c>
      <x:c r="S222" t="str">
        <x:v>Prompts/Texture/env_undead_crypt_crypt_column_001_texture.txt</x:v>
      </x:c>
      <x:c r="T222" t="n">
        <x:v>2</x:v>
      </x:c>
      <x:c r="U222" t="n">
        <x:v>2</x:v>
      </x:c>
      <x:c r="V222" t="n">
        <x:v>1</x:v>
      </x:c>
      <x:c r="W222" t="n">
        <x:v>1</x:v>
      </x:c>
      <x:c r="X222" t="n">
        <x:v>0</x:v>
      </x:c>
      <x:c r="Y222" t="str">
        <x:v>Silhouette readable; correct scale; grid/pivot compliance; material separation; no baked VFX; LOD budget met; mobile camera test passed</x:v>
      </x:c>
      <x:c r="Z222" t="str">
        <x:v>Assets/_Game/Art/Environments/undead_crypt/Models</x:v>
      </x:c>
      <x:c r="AA222" t="str">
        <x:v>Not Started</x:v>
      </x:c>
      <x:c r="AB222" t="str">
        <x:v>Pending</x:v>
      </x:c>
      <x:c r="AC222" s="18" t="n">
        <x:f>T222*'Settings &amp; Rates'!$B$5+U222*'Settings &amp; Rates'!$B$6+V222*'Settings &amp; Rates'!$B$7+W222*'Settings &amp; Rates'!$B$8+X222*'Settings &amp; Rates'!$B$9</x:f>
        <x:v>55</x:v>
      </x:c>
      <x:c r="AD222" s="18" t="n">
        <x:f>SUMIF('Attempt Log'!$B$2:$B$101,A222,'Attempt Log'!$K$2:$K$101)</x:f>
        <x:v>0</x:v>
      </x:c>
      <x:c r="AE222" s="18" t="n">
        <x:f>AD222-AC222</x:f>
        <x:v>-55</x:v>
      </x:c>
      <x:c r="AF222" t="n">
        <x:f>COUNTIF('Attempt Log'!$B$2:$B$101,A222)</x:f>
        <x:v>0</x:v>
      </x:c>
      <x:c r="AG222" t="n">
        <x:f>IFERROR(SUMIFS('Attempt Log'!$U$2:$U$101,'Attempt Log'!$B$2:$B$101,A222,'Attempt Log'!$N$2:$N$101,"Yes")/COUNTIFS('Attempt Log'!$B$2:$B$101,A222,'Attempt Log'!$N$2:$N$101,"Yes"),0)</x:f>
        <x:v>0</x:v>
      </x:c>
    </x:row>
    <x:row r="223">
      <x:c r="A223" t="str">
        <x:v>env_undead_crypt_crypt_door_001</x:v>
      </x:c>
      <x:c r="B223" t="str">
        <x:v>Porta da Cripta</x:v>
      </x:c>
      <x:c r="C223" t="str">
        <x:v>Crypt Door</x:v>
      </x:c>
      <x:c r="D223" t="str">
        <x:v>Task018</x:v>
      </x:c>
      <x:c r="E223" t="str">
        <x:v>Environment</x:v>
      </x:c>
      <x:c r="F223" t="str">
        <x:v>Environment</x:v>
      </x:c>
      <x:c r="G223" t="str">
        <x:v>structure</x:v>
      </x:c>
      <x:c r="H223" t="str">
        <x:v>Season 1 - Arc 2</x:v>
      </x:c>
      <x:c r="I223" t="str">
        <x:v>P1</x:v>
      </x:c>
      <x:c r="J223" t="str">
        <x:v>B21_UNDEAD_ENV_CORE</x:v>
      </x:c>
      <x:c r="K223" t="str">
        <x:v>Image to 3D</x:v>
      </x:c>
      <x:c r="L223" t="str">
        <x:v>Yes</x:v>
      </x:c>
      <x:c r="M223" t="n">
        <x:v>2100</x:v>
      </x:c>
      <x:c r="N223" t="str">
        <x:v>1024x1024</x:v>
      </x:c>
      <x:c r="O223" t="str">
        <x:v>No</x:v>
      </x:c>
      <x:c r="P223" t="str">
        <x:v>None</x:v>
      </x:c>
      <x:c r="Q223" t="str">
        <x:v>Prompts/ConceptArt/env_undead_crypt_crypt_door_001_concept_sheet.txt</x:v>
      </x:c>
      <x:c r="R223" t="str">
        <x:v>Prompts/Meshy/env_undead_crypt_crypt_door_001_geometry.txt</x:v>
      </x:c>
      <x:c r="S223" t="str">
        <x:v>Prompts/Texture/env_undead_crypt_crypt_door_001_texture.txt</x:v>
      </x:c>
      <x:c r="T223" t="n">
        <x:v>2</x:v>
      </x:c>
      <x:c r="U223" t="n">
        <x:v>2</x:v>
      </x:c>
      <x:c r="V223" t="n">
        <x:v>1</x:v>
      </x:c>
      <x:c r="W223" t="n">
        <x:v>1</x:v>
      </x:c>
      <x:c r="X223" t="n">
        <x:v>0</x:v>
      </x:c>
      <x:c r="Y223" t="str">
        <x:v>Silhouette readable; correct scale; grid/pivot compliance; material separation; no baked VFX; LOD budget met; mobile camera test passed</x:v>
      </x:c>
      <x:c r="Z223" t="str">
        <x:v>Assets/_Game/Art/Environments/undead_crypt/Models</x:v>
      </x:c>
      <x:c r="AA223" t="str">
        <x:v>Not Started</x:v>
      </x:c>
      <x:c r="AB223" t="str">
        <x:v>Pending</x:v>
      </x:c>
      <x:c r="AC223" s="18" t="n">
        <x:f>T223*'Settings &amp; Rates'!$B$5+U223*'Settings &amp; Rates'!$B$6+V223*'Settings &amp; Rates'!$B$7+W223*'Settings &amp; Rates'!$B$8+X223*'Settings &amp; Rates'!$B$9</x:f>
        <x:v>55</x:v>
      </x:c>
      <x:c r="AD223" s="18" t="n">
        <x:f>SUMIF('Attempt Log'!$B$2:$B$101,A223,'Attempt Log'!$K$2:$K$101)</x:f>
        <x:v>0</x:v>
      </x:c>
      <x:c r="AE223" s="18" t="n">
        <x:f>AD223-AC223</x:f>
        <x:v>-55</x:v>
      </x:c>
      <x:c r="AF223" t="n">
        <x:f>COUNTIF('Attempt Log'!$B$2:$B$101,A223)</x:f>
        <x:v>0</x:v>
      </x:c>
      <x:c r="AG223" t="n">
        <x:f>IFERROR(SUMIFS('Attempt Log'!$U$2:$U$101,'Attempt Log'!$B$2:$B$101,A223,'Attempt Log'!$N$2:$N$101,"Yes")/COUNTIFS('Attempt Log'!$B$2:$B$101,A223,'Attempt Log'!$N$2:$N$101,"Yes"),0)</x:f>
        <x:v>0</x:v>
      </x:c>
    </x:row>
    <x:row r="224">
      <x:c r="A224" t="str">
        <x:v>env_undead_crypt_crypt_floor_tile_001</x:v>
      </x:c>
      <x:c r="B224" t="str">
        <x:v>Piso de Cripta</x:v>
      </x:c>
      <x:c r="C224" t="str">
        <x:v>Crypt Floor Tile</x:v>
      </x:c>
      <x:c r="D224" t="str">
        <x:v>Task018</x:v>
      </x:c>
      <x:c r="E224" t="str">
        <x:v>Environment</x:v>
      </x:c>
      <x:c r="F224" t="str">
        <x:v>Environment</x:v>
      </x:c>
      <x:c r="G224" t="str">
        <x:v>tile</x:v>
      </x:c>
      <x:c r="H224" t="str">
        <x:v>Season 1 - Arc 2</x:v>
      </x:c>
      <x:c r="I224" t="str">
        <x:v>P1</x:v>
      </x:c>
      <x:c r="J224" t="str">
        <x:v>B21_UNDEAD_ENV_CORE</x:v>
      </x:c>
      <x:c r="K224" t="str">
        <x:v>Text to 3D</x:v>
      </x:c>
      <x:c r="L224" t="str">
        <x:v>Optional</x:v>
      </x:c>
      <x:c r="M224" t="n">
        <x:v>1050</x:v>
      </x:c>
      <x:c r="N224" t="str">
        <x:v>1024x1024</x:v>
      </x:c>
      <x:c r="O224" t="str">
        <x:v>No</x:v>
      </x:c>
      <x:c r="P224" t="str">
        <x:v>None</x:v>
      </x:c>
      <x:c r="Q224" t="str">
        <x:v>Prompts/ConceptArt/env_undead_crypt_crypt_floor_tile_001_concept_sheet.txt</x:v>
      </x:c>
      <x:c r="R224" t="str">
        <x:v>Prompts/Meshy/env_undead_crypt_crypt_floor_tile_001_geometry.txt</x:v>
      </x:c>
      <x:c r="S224" t="str">
        <x:v>Prompts/Texture/env_undead_crypt_crypt_floor_tile_001_texture.txt</x:v>
      </x:c>
      <x:c r="T224" t="n">
        <x:v>1</x:v>
      </x:c>
      <x:c r="U224" t="n">
        <x:v>2</x:v>
      </x:c>
      <x:c r="V224" t="n">
        <x:v>1</x:v>
      </x:c>
      <x:c r="W224" t="n">
        <x:v>1</x:v>
      </x:c>
      <x:c r="X224" t="n">
        <x:v>0</x:v>
      </x:c>
      <x:c r="Y224" t="str">
        <x:v>Silhouette readable; correct scale; grid/pivot compliance; material separation; no baked VFX; LOD budget met; mobile camera test passed</x:v>
      </x:c>
      <x:c r="Z224" t="str">
        <x:v>Assets/_Game/Art/Environments/undead_crypt/Models</x:v>
      </x:c>
      <x:c r="AA224" t="str">
        <x:v>Not Started</x:v>
      </x:c>
      <x:c r="AB224" t="str">
        <x:v>Pending</x:v>
      </x:c>
      <x:c r="AC224" s="18" t="n">
        <x:f>T224*'Settings &amp; Rates'!$B$5+U224*'Settings &amp; Rates'!$B$6+V224*'Settings &amp; Rates'!$B$7+W224*'Settings &amp; Rates'!$B$8+X224*'Settings &amp; Rates'!$B$9</x:f>
        <x:v>55</x:v>
      </x:c>
      <x:c r="AD224" s="18" t="n">
        <x:f>SUMIF('Attempt Log'!$B$2:$B$101,A224,'Attempt Log'!$K$2:$K$101)</x:f>
        <x:v>0</x:v>
      </x:c>
      <x:c r="AE224" s="18" t="n">
        <x:f>AD224-AC224</x:f>
        <x:v>-55</x:v>
      </x:c>
      <x:c r="AF224" t="n">
        <x:f>COUNTIF('Attempt Log'!$B$2:$B$101,A224)</x:f>
        <x:v>0</x:v>
      </x:c>
      <x:c r="AG224" t="n">
        <x:f>IFERROR(SUMIFS('Attempt Log'!$U$2:$U$101,'Attempt Log'!$B$2:$B$101,A224,'Attempt Log'!$N$2:$N$101,"Yes")/COUNTIFS('Attempt Log'!$B$2:$B$101,A224,'Attempt Log'!$N$2:$N$101,"Yes"),0)</x:f>
        <x:v>0</x:v>
      </x:c>
    </x:row>
    <x:row r="225">
      <x:c r="A225" t="str">
        <x:v>env_undead_crypt_crypt_wall_corner_001</x:v>
      </x:c>
      <x:c r="B225" t="str">
        <x:v>Canto de Cripta</x:v>
      </x:c>
      <x:c r="C225" t="str">
        <x:v>Crypt Wall Corner</x:v>
      </x:c>
      <x:c r="D225" t="str">
        <x:v>Task018</x:v>
      </x:c>
      <x:c r="E225" t="str">
        <x:v>Environment</x:v>
      </x:c>
      <x:c r="F225" t="str">
        <x:v>Environment</x:v>
      </x:c>
      <x:c r="G225" t="str">
        <x:v>wall</x:v>
      </x:c>
      <x:c r="H225" t="str">
        <x:v>Season 1 - Arc 2</x:v>
      </x:c>
      <x:c r="I225" t="str">
        <x:v>P1</x:v>
      </x:c>
      <x:c r="J225" t="str">
        <x:v>B21_UNDEAD_ENV_CORE</x:v>
      </x:c>
      <x:c r="K225" t="str">
        <x:v>Image to 3D</x:v>
      </x:c>
      <x:c r="L225" t="str">
        <x:v>Yes</x:v>
      </x:c>
      <x:c r="M225" t="n">
        <x:v>2700</x:v>
      </x:c>
      <x:c r="N225" t="str">
        <x:v>1024x1024</x:v>
      </x:c>
      <x:c r="O225" t="str">
        <x:v>No</x:v>
      </x:c>
      <x:c r="P225" t="str">
        <x:v>None</x:v>
      </x:c>
      <x:c r="Q225" t="str">
        <x:v>Prompts/ConceptArt/env_undead_crypt_crypt_wall_corner_001_concept_sheet.txt</x:v>
      </x:c>
      <x:c r="R225" t="str">
        <x:v>Prompts/Meshy/env_undead_crypt_crypt_wall_corner_001_geometry.txt</x:v>
      </x:c>
      <x:c r="S225" t="str">
        <x:v>Prompts/Texture/env_undead_crypt_crypt_wall_corner_001_texture.txt</x:v>
      </x:c>
      <x:c r="T225" t="n">
        <x:v>2</x:v>
      </x:c>
      <x:c r="U225" t="n">
        <x:v>2</x:v>
      </x:c>
      <x:c r="V225" t="n">
        <x:v>1</x:v>
      </x:c>
      <x:c r="W225" t="n">
        <x:v>1</x:v>
      </x:c>
      <x:c r="X225" t="n">
        <x:v>0</x:v>
      </x:c>
      <x:c r="Y225" t="str">
        <x:v>Silhouette readable; correct scale; grid/pivot compliance; material separation; no baked VFX; LOD budget met; mobile camera test passed</x:v>
      </x:c>
      <x:c r="Z225" t="str">
        <x:v>Assets/_Game/Art/Environments/undead_crypt/Models</x:v>
      </x:c>
      <x:c r="AA225" t="str">
        <x:v>Not Started</x:v>
      </x:c>
      <x:c r="AB225" t="str">
        <x:v>Pending</x:v>
      </x:c>
      <x:c r="AC225" s="18" t="n">
        <x:f>T225*'Settings &amp; Rates'!$B$5+U225*'Settings &amp; Rates'!$B$6+V225*'Settings &amp; Rates'!$B$7+W225*'Settings &amp; Rates'!$B$8+X225*'Settings &amp; Rates'!$B$9</x:f>
        <x:v>55</x:v>
      </x:c>
      <x:c r="AD225" s="18" t="n">
        <x:f>SUMIF('Attempt Log'!$B$2:$B$101,A225,'Attempt Log'!$K$2:$K$101)</x:f>
        <x:v>0</x:v>
      </x:c>
      <x:c r="AE225" s="18" t="n">
        <x:f>AD225-AC225</x:f>
        <x:v>-55</x:v>
      </x:c>
      <x:c r="AF225" t="n">
        <x:f>COUNTIF('Attempt Log'!$B$2:$B$101,A225)</x:f>
        <x:v>0</x:v>
      </x:c>
      <x:c r="AG225" t="n">
        <x:f>IFERROR(SUMIFS('Attempt Log'!$U$2:$U$101,'Attempt Log'!$B$2:$B$101,A225,'Attempt Log'!$N$2:$N$101,"Yes")/COUNTIFS('Attempt Log'!$B$2:$B$101,A225,'Attempt Log'!$N$2:$N$101,"Yes"),0)</x:f>
        <x:v>0</x:v>
      </x:c>
    </x:row>
    <x:row r="226">
      <x:c r="A226" t="str">
        <x:v>env_undead_crypt_crypt_wall_straight_001</x:v>
      </x:c>
      <x:c r="B226" t="str">
        <x:v>Parede de Cripta</x:v>
      </x:c>
      <x:c r="C226" t="str">
        <x:v>Crypt Wall</x:v>
      </x:c>
      <x:c r="D226" t="str">
        <x:v>Task018</x:v>
      </x:c>
      <x:c r="E226" t="str">
        <x:v>Environment</x:v>
      </x:c>
      <x:c r="F226" t="str">
        <x:v>Environment</x:v>
      </x:c>
      <x:c r="G226" t="str">
        <x:v>wall</x:v>
      </x:c>
      <x:c r="H226" t="str">
        <x:v>Season 1 - Arc 2</x:v>
      </x:c>
      <x:c r="I226" t="str">
        <x:v>P1</x:v>
      </x:c>
      <x:c r="J226" t="str">
        <x:v>B21_UNDEAD_ENV_CORE</x:v>
      </x:c>
      <x:c r="K226" t="str">
        <x:v>Image to 3D</x:v>
      </x:c>
      <x:c r="L226" t="str">
        <x:v>Yes</x:v>
      </x:c>
      <x:c r="M226" t="n">
        <x:v>2350</x:v>
      </x:c>
      <x:c r="N226" t="str">
        <x:v>1024x1024</x:v>
      </x:c>
      <x:c r="O226" t="str">
        <x:v>No</x:v>
      </x:c>
      <x:c r="P226" t="str">
        <x:v>None</x:v>
      </x:c>
      <x:c r="Q226" t="str">
        <x:v>Prompts/ConceptArt/env_undead_crypt_crypt_wall_straight_001_concept_sheet.txt</x:v>
      </x:c>
      <x:c r="R226" t="str">
        <x:v>Prompts/Meshy/env_undead_crypt_crypt_wall_straight_001_geometry.txt</x:v>
      </x:c>
      <x:c r="S226" t="str">
        <x:v>Prompts/Texture/env_undead_crypt_crypt_wall_straight_001_texture.txt</x:v>
      </x:c>
      <x:c r="T226" t="n">
        <x:v>2</x:v>
      </x:c>
      <x:c r="U226" t="n">
        <x:v>2</x:v>
      </x:c>
      <x:c r="V226" t="n">
        <x:v>1</x:v>
      </x:c>
      <x:c r="W226" t="n">
        <x:v>1</x:v>
      </x:c>
      <x:c r="X226" t="n">
        <x:v>0</x:v>
      </x:c>
      <x:c r="Y226" t="str">
        <x:v>Silhouette readable; correct scale; grid/pivot compliance; material separation; no baked VFX; LOD budget met; mobile camera test passed</x:v>
      </x:c>
      <x:c r="Z226" t="str">
        <x:v>Assets/_Game/Art/Environments/undead_crypt/Models</x:v>
      </x:c>
      <x:c r="AA226" t="str">
        <x:v>Not Started</x:v>
      </x:c>
      <x:c r="AB226" t="str">
        <x:v>Pending</x:v>
      </x:c>
      <x:c r="AC226" s="18" t="n">
        <x:f>T226*'Settings &amp; Rates'!$B$5+U226*'Settings &amp; Rates'!$B$6+V226*'Settings &amp; Rates'!$B$7+W226*'Settings &amp; Rates'!$B$8+X226*'Settings &amp; Rates'!$B$9</x:f>
        <x:v>55</x:v>
      </x:c>
      <x:c r="AD226" s="18" t="n">
        <x:f>SUMIF('Attempt Log'!$B$2:$B$101,A226,'Attempt Log'!$K$2:$K$101)</x:f>
        <x:v>0</x:v>
      </x:c>
      <x:c r="AE226" s="18" t="n">
        <x:f>AD226-AC226</x:f>
        <x:v>-55</x:v>
      </x:c>
      <x:c r="AF226" t="n">
        <x:f>COUNTIF('Attempt Log'!$B$2:$B$101,A226)</x:f>
        <x:v>0</x:v>
      </x:c>
      <x:c r="AG226" t="n">
        <x:f>IFERROR(SUMIFS('Attempt Log'!$U$2:$U$101,'Attempt Log'!$B$2:$B$101,A226,'Attempt Log'!$N$2:$N$101,"Yes")/COUNTIFS('Attempt Log'!$B$2:$B$101,A226,'Attempt Log'!$N$2:$N$101,"Yes"),0)</x:f>
        <x:v>0</x:v>
      </x:c>
    </x:row>
    <x:row r="227">
      <x:c r="A227" t="str">
        <x:v>env_undead_crypt_bone_pile_001</x:v>
      </x:c>
      <x:c r="B227" t="str">
        <x:v>Pilha de Ossos</x:v>
      </x:c>
      <x:c r="C227" t="str">
        <x:v>Bone Pile</x:v>
      </x:c>
      <x:c r="D227" t="str">
        <x:v>Task018</x:v>
      </x:c>
      <x:c r="E227" t="str">
        <x:v>Environment</x:v>
      </x:c>
      <x:c r="F227" t="str">
        <x:v>Environment</x:v>
      </x:c>
      <x:c r="G227" t="str">
        <x:v>prop</x:v>
      </x:c>
      <x:c r="H227" t="str">
        <x:v>Season 1 - Arc 2</x:v>
      </x:c>
      <x:c r="I227" t="str">
        <x:v>P1</x:v>
      </x:c>
      <x:c r="J227" t="str">
        <x:v>B22_UNDEAD_ENV_PROPS</x:v>
      </x:c>
      <x:c r="K227" t="str">
        <x:v>Text to 3D</x:v>
      </x:c>
      <x:c r="L227" t="str">
        <x:v>Optional</x:v>
      </x:c>
      <x:c r="M227" t="n">
        <x:v>750</x:v>
      </x:c>
      <x:c r="N227" t="str">
        <x:v>1024x1024</x:v>
      </x:c>
      <x:c r="O227" t="str">
        <x:v>No</x:v>
      </x:c>
      <x:c r="P227" t="str">
        <x:v>None</x:v>
      </x:c>
      <x:c r="Q227" t="str">
        <x:v>Prompts/ConceptArt/env_undead_crypt_bone_pile_001_concept_sheet.txt</x:v>
      </x:c>
      <x:c r="R227" t="str">
        <x:v>Prompts/Meshy/env_undead_crypt_bone_pile_001_geometry.txt</x:v>
      </x:c>
      <x:c r="S227" t="str">
        <x:v>Prompts/Texture/env_undead_crypt_bone_pile_001_texture.txt</x:v>
      </x:c>
      <x:c r="T227" t="n">
        <x:v>1</x:v>
      </x:c>
      <x:c r="U227" t="n">
        <x:v>2</x:v>
      </x:c>
      <x:c r="V227" t="n">
        <x:v>1</x:v>
      </x:c>
      <x:c r="W227" t="n">
        <x:v>1</x:v>
      </x:c>
      <x:c r="X227" t="n">
        <x:v>0</x:v>
      </x:c>
      <x:c r="Y227" t="str">
        <x:v>Silhouette readable; correct scale; grid/pivot compliance; material separation; no baked VFX; LOD budget met; mobile camera test passed</x:v>
      </x:c>
      <x:c r="Z227" t="str">
        <x:v>Assets/_Game/Art/Environments/undead_crypt/Models</x:v>
      </x:c>
      <x:c r="AA227" t="str">
        <x:v>Not Started</x:v>
      </x:c>
      <x:c r="AB227" t="str">
        <x:v>Pending</x:v>
      </x:c>
      <x:c r="AC227" s="18" t="n">
        <x:f>T227*'Settings &amp; Rates'!$B$5+U227*'Settings &amp; Rates'!$B$6+V227*'Settings &amp; Rates'!$B$7+W227*'Settings &amp; Rates'!$B$8+X227*'Settings &amp; Rates'!$B$9</x:f>
        <x:v>55</x:v>
      </x:c>
      <x:c r="AD227" s="18" t="n">
        <x:f>SUMIF('Attempt Log'!$B$2:$B$101,A227,'Attempt Log'!$K$2:$K$101)</x:f>
        <x:v>0</x:v>
      </x:c>
      <x:c r="AE227" s="18" t="n">
        <x:f>AD227-AC227</x:f>
        <x:v>-55</x:v>
      </x:c>
      <x:c r="AF227" t="n">
        <x:f>COUNTIF('Attempt Log'!$B$2:$B$101,A227)</x:f>
        <x:v>0</x:v>
      </x:c>
      <x:c r="AG227" t="n">
        <x:f>IFERROR(SUMIFS('Attempt Log'!$U$2:$U$101,'Attempt Log'!$B$2:$B$101,A227,'Attempt Log'!$N$2:$N$101,"Yes")/COUNTIFS('Attempt Log'!$B$2:$B$101,A227,'Attempt Log'!$N$2:$N$101,"Yes"),0)</x:f>
        <x:v>0</x:v>
      </x:c>
    </x:row>
    <x:row r="228">
      <x:c r="A228" t="str">
        <x:v>env_undead_crypt_broken_statue_001</x:v>
      </x:c>
      <x:c r="B228" t="str">
        <x:v>Estátua Quebrada</x:v>
      </x:c>
      <x:c r="C228" t="str">
        <x:v>Broken Statue</x:v>
      </x:c>
      <x:c r="D228" t="str">
        <x:v>Task018</x:v>
      </x:c>
      <x:c r="E228" t="str">
        <x:v>Environment</x:v>
      </x:c>
      <x:c r="F228" t="str">
        <x:v>Environment</x:v>
      </x:c>
      <x:c r="G228" t="str">
        <x:v>prop</x:v>
      </x:c>
      <x:c r="H228" t="str">
        <x:v>Season 1 - Arc 2</x:v>
      </x:c>
      <x:c r="I228" t="str">
        <x:v>P1</x:v>
      </x:c>
      <x:c r="J228" t="str">
        <x:v>B22_UNDEAD_ENV_PROPS</x:v>
      </x:c>
      <x:c r="K228" t="str">
        <x:v>Text to 3D</x:v>
      </x:c>
      <x:c r="L228" t="str">
        <x:v>Optional</x:v>
      </x:c>
      <x:c r="M228" t="n">
        <x:v>2200</x:v>
      </x:c>
      <x:c r="N228" t="str">
        <x:v>1024x1024</x:v>
      </x:c>
      <x:c r="O228" t="str">
        <x:v>No</x:v>
      </x:c>
      <x:c r="P228" t="str">
        <x:v>None</x:v>
      </x:c>
      <x:c r="Q228" t="str">
        <x:v>Prompts/ConceptArt/env_undead_crypt_broken_statue_001_concept_sheet.txt</x:v>
      </x:c>
      <x:c r="R228" t="str">
        <x:v>Prompts/Meshy/env_undead_crypt_broken_statue_001_geometry.txt</x:v>
      </x:c>
      <x:c r="S228" t="str">
        <x:v>Prompts/Texture/env_undead_crypt_broken_statue_001_texture.txt</x:v>
      </x:c>
      <x:c r="T228" t="n">
        <x:v>1</x:v>
      </x:c>
      <x:c r="U228" t="n">
        <x:v>2</x:v>
      </x:c>
      <x:c r="V228" t="n">
        <x:v>1</x:v>
      </x:c>
      <x:c r="W228" t="n">
        <x:v>1</x:v>
      </x:c>
      <x:c r="X228" t="n">
        <x:v>0</x:v>
      </x:c>
      <x:c r="Y228" t="str">
        <x:v>Silhouette readable; correct scale; grid/pivot compliance; material separation; no baked VFX; LOD budget met; mobile camera test passed</x:v>
      </x:c>
      <x:c r="Z228" t="str">
        <x:v>Assets/_Game/Art/Environments/undead_crypt/Models</x:v>
      </x:c>
      <x:c r="AA228" t="str">
        <x:v>Not Started</x:v>
      </x:c>
      <x:c r="AB228" t="str">
        <x:v>Pending</x:v>
      </x:c>
      <x:c r="AC228" s="18" t="n">
        <x:f>T228*'Settings &amp; Rates'!$B$5+U228*'Settings &amp; Rates'!$B$6+V228*'Settings &amp; Rates'!$B$7+W228*'Settings &amp; Rates'!$B$8+X228*'Settings &amp; Rates'!$B$9</x:f>
        <x:v>55</x:v>
      </x:c>
      <x:c r="AD228" s="18" t="n">
        <x:f>SUMIF('Attempt Log'!$B$2:$B$101,A228,'Attempt Log'!$K$2:$K$101)</x:f>
        <x:v>0</x:v>
      </x:c>
      <x:c r="AE228" s="18" t="n">
        <x:f>AD228-AC228</x:f>
        <x:v>-55</x:v>
      </x:c>
      <x:c r="AF228" t="n">
        <x:f>COUNTIF('Attempt Log'!$B$2:$B$101,A228)</x:f>
        <x:v>0</x:v>
      </x:c>
      <x:c r="AG228" t="n">
        <x:f>IFERROR(SUMIFS('Attempt Log'!$U$2:$U$101,'Attempt Log'!$B$2:$B$101,A228,'Attempt Log'!$N$2:$N$101,"Yes")/COUNTIFS('Attempt Log'!$B$2:$B$101,A228,'Attempt Log'!$N$2:$N$101,"Yes"),0)</x:f>
        <x:v>0</x:v>
      </x:c>
    </x:row>
    <x:row r="229">
      <x:c r="A229" t="str">
        <x:v>env_undead_crypt_coffin_001</x:v>
      </x:c>
      <x:c r="B229" t="str">
        <x:v>Caixão</x:v>
      </x:c>
      <x:c r="C229" t="str">
        <x:v>Coffin</x:v>
      </x:c>
      <x:c r="D229" t="str">
        <x:v>Task018</x:v>
      </x:c>
      <x:c r="E229" t="str">
        <x:v>Environment</x:v>
      </x:c>
      <x:c r="F229" t="str">
        <x:v>Environment</x:v>
      </x:c>
      <x:c r="G229" t="str">
        <x:v>prop</x:v>
      </x:c>
      <x:c r="H229" t="str">
        <x:v>Season 1 - Arc 2</x:v>
      </x:c>
      <x:c r="I229" t="str">
        <x:v>P1</x:v>
      </x:c>
      <x:c r="J229" t="str">
        <x:v>B22_UNDEAD_ENV_PROPS</x:v>
      </x:c>
      <x:c r="K229" t="str">
        <x:v>Text to 3D</x:v>
      </x:c>
      <x:c r="L229" t="str">
        <x:v>Optional</x:v>
      </x:c>
      <x:c r="M229" t="n">
        <x:v>1550</x:v>
      </x:c>
      <x:c r="N229" t="str">
        <x:v>1024x1024</x:v>
      </x:c>
      <x:c r="O229" t="str">
        <x:v>No</x:v>
      </x:c>
      <x:c r="P229" t="str">
        <x:v>None</x:v>
      </x:c>
      <x:c r="Q229" t="str">
        <x:v>Prompts/ConceptArt/env_undead_crypt_coffin_001_concept_sheet.txt</x:v>
      </x:c>
      <x:c r="R229" t="str">
        <x:v>Prompts/Meshy/env_undead_crypt_coffin_001_geometry.txt</x:v>
      </x:c>
      <x:c r="S229" t="str">
        <x:v>Prompts/Texture/env_undead_crypt_coffin_001_texture.txt</x:v>
      </x:c>
      <x:c r="T229" t="n">
        <x:v>1</x:v>
      </x:c>
      <x:c r="U229" t="n">
        <x:v>2</x:v>
      </x:c>
      <x:c r="V229" t="n">
        <x:v>1</x:v>
      </x:c>
      <x:c r="W229" t="n">
        <x:v>1</x:v>
      </x:c>
      <x:c r="X229" t="n">
        <x:v>0</x:v>
      </x:c>
      <x:c r="Y229" t="str">
        <x:v>Silhouette readable; correct scale; grid/pivot compliance; material separation; no baked VFX; LOD budget met; mobile camera test passed</x:v>
      </x:c>
      <x:c r="Z229" t="str">
        <x:v>Assets/_Game/Art/Environments/undead_crypt/Models</x:v>
      </x:c>
      <x:c r="AA229" t="str">
        <x:v>Not Started</x:v>
      </x:c>
      <x:c r="AB229" t="str">
        <x:v>Pending</x:v>
      </x:c>
      <x:c r="AC229" s="18" t="n">
        <x:f>T229*'Settings &amp; Rates'!$B$5+U229*'Settings &amp; Rates'!$B$6+V229*'Settings &amp; Rates'!$B$7+W229*'Settings &amp; Rates'!$B$8+X229*'Settings &amp; Rates'!$B$9</x:f>
        <x:v>55</x:v>
      </x:c>
      <x:c r="AD229" s="18" t="n">
        <x:f>SUMIF('Attempt Log'!$B$2:$B$101,A229,'Attempt Log'!$K$2:$K$101)</x:f>
        <x:v>0</x:v>
      </x:c>
      <x:c r="AE229" s="18" t="n">
        <x:f>AD229-AC229</x:f>
        <x:v>-55</x:v>
      </x:c>
      <x:c r="AF229" t="n">
        <x:f>COUNTIF('Attempt Log'!$B$2:$B$101,A229)</x:f>
        <x:v>0</x:v>
      </x:c>
      <x:c r="AG229" t="n">
        <x:f>IFERROR(SUMIFS('Attempt Log'!$U$2:$U$101,'Attempt Log'!$B$2:$B$101,A229,'Attempt Log'!$N$2:$N$101,"Yes")/COUNTIFS('Attempt Log'!$B$2:$B$101,A229,'Attempt Log'!$N$2:$N$101,"Yes"),0)</x:f>
        <x:v>0</x:v>
      </x:c>
    </x:row>
    <x:row r="230">
      <x:c r="A230" t="str">
        <x:v>env_undead_crypt_crypt_iron_gate_001</x:v>
      </x:c>
      <x:c r="B230" t="str">
        <x:v>Grade de Cripta</x:v>
      </x:c>
      <x:c r="C230" t="str">
        <x:v>Crypt Iron Gate</x:v>
      </x:c>
      <x:c r="D230" t="str">
        <x:v>Task018</x:v>
      </x:c>
      <x:c r="E230" t="str">
        <x:v>Environment</x:v>
      </x:c>
      <x:c r="F230" t="str">
        <x:v>Environment</x:v>
      </x:c>
      <x:c r="G230" t="str">
        <x:v>prop</x:v>
      </x:c>
      <x:c r="H230" t="str">
        <x:v>Season 1 - Arc 2</x:v>
      </x:c>
      <x:c r="I230" t="str">
        <x:v>P1</x:v>
      </x:c>
      <x:c r="J230" t="str">
        <x:v>B22_UNDEAD_ENV_PROPS</x:v>
      </x:c>
      <x:c r="K230" t="str">
        <x:v>Text to 3D</x:v>
      </x:c>
      <x:c r="L230" t="str">
        <x:v>Optional</x:v>
      </x:c>
      <x:c r="M230" t="n">
        <x:v>1650</x:v>
      </x:c>
      <x:c r="N230" t="str">
        <x:v>1024x1024</x:v>
      </x:c>
      <x:c r="O230" t="str">
        <x:v>No</x:v>
      </x:c>
      <x:c r="P230" t="str">
        <x:v>None</x:v>
      </x:c>
      <x:c r="Q230" t="str">
        <x:v>Prompts/ConceptArt/env_undead_crypt_crypt_iron_gate_001_concept_sheet.txt</x:v>
      </x:c>
      <x:c r="R230" t="str">
        <x:v>Prompts/Meshy/env_undead_crypt_crypt_iron_gate_001_geometry.txt</x:v>
      </x:c>
      <x:c r="S230" t="str">
        <x:v>Prompts/Texture/env_undead_crypt_crypt_iron_gate_001_texture.txt</x:v>
      </x:c>
      <x:c r="T230" t="n">
        <x:v>1</x:v>
      </x:c>
      <x:c r="U230" t="n">
        <x:v>2</x:v>
      </x:c>
      <x:c r="V230" t="n">
        <x:v>1</x:v>
      </x:c>
      <x:c r="W230" t="n">
        <x:v>1</x:v>
      </x:c>
      <x:c r="X230" t="n">
        <x:v>0</x:v>
      </x:c>
      <x:c r="Y230" t="str">
        <x:v>Silhouette readable; correct scale; grid/pivot compliance; material separation; no baked VFX; LOD budget met; mobile camera test passed</x:v>
      </x:c>
      <x:c r="Z230" t="str">
        <x:v>Assets/_Game/Art/Environments/undead_crypt/Models</x:v>
      </x:c>
      <x:c r="AA230" t="str">
        <x:v>Not Started</x:v>
      </x:c>
      <x:c r="AB230" t="str">
        <x:v>Pending</x:v>
      </x:c>
      <x:c r="AC230" s="18" t="n">
        <x:f>T230*'Settings &amp; Rates'!$B$5+U230*'Settings &amp; Rates'!$B$6+V230*'Settings &amp; Rates'!$B$7+W230*'Settings &amp; Rates'!$B$8+X230*'Settings &amp; Rates'!$B$9</x:f>
        <x:v>55</x:v>
      </x:c>
      <x:c r="AD230" s="18" t="n">
        <x:f>SUMIF('Attempt Log'!$B$2:$B$101,A230,'Attempt Log'!$K$2:$K$101)</x:f>
        <x:v>0</x:v>
      </x:c>
      <x:c r="AE230" s="18" t="n">
        <x:f>AD230-AC230</x:f>
        <x:v>-55</x:v>
      </x:c>
      <x:c r="AF230" t="n">
        <x:f>COUNTIF('Attempt Log'!$B$2:$B$101,A230)</x:f>
        <x:v>0</x:v>
      </x:c>
      <x:c r="AG230" t="n">
        <x:f>IFERROR(SUMIFS('Attempt Log'!$U$2:$U$101,'Attempt Log'!$B$2:$B$101,A230,'Attempt Log'!$N$2:$N$101,"Yes")/COUNTIFS('Attempt Log'!$B$2:$B$101,A230,'Attempt Log'!$N$2:$N$101,"Yes"),0)</x:f>
        <x:v>0</x:v>
      </x:c>
    </x:row>
    <x:row r="231">
      <x:c r="A231" t="str">
        <x:v>env_undead_crypt_grave_marker_001</x:v>
      </x:c>
      <x:c r="B231" t="str">
        <x:v>Lápide</x:v>
      </x:c>
      <x:c r="C231" t="str">
        <x:v>Grave Marker</x:v>
      </x:c>
      <x:c r="D231" t="str">
        <x:v>Task018</x:v>
      </x:c>
      <x:c r="E231" t="str">
        <x:v>Environment</x:v>
      </x:c>
      <x:c r="F231" t="str">
        <x:v>Environment</x:v>
      </x:c>
      <x:c r="G231" t="str">
        <x:v>prop</x:v>
      </x:c>
      <x:c r="H231" t="str">
        <x:v>Season 1 - Arc 2</x:v>
      </x:c>
      <x:c r="I231" t="str">
        <x:v>P1</x:v>
      </x:c>
      <x:c r="J231" t="str">
        <x:v>B22_UNDEAD_ENV_PROPS</x:v>
      </x:c>
      <x:c r="K231" t="str">
        <x:v>Text to 3D</x:v>
      </x:c>
      <x:c r="L231" t="str">
        <x:v>Optional</x:v>
      </x:c>
      <x:c r="M231" t="n">
        <x:v>700</x:v>
      </x:c>
      <x:c r="N231" t="str">
        <x:v>1024x1024</x:v>
      </x:c>
      <x:c r="O231" t="str">
        <x:v>No</x:v>
      </x:c>
      <x:c r="P231" t="str">
        <x:v>None</x:v>
      </x:c>
      <x:c r="Q231" t="str">
        <x:v>Prompts/ConceptArt/env_undead_crypt_grave_marker_001_concept_sheet.txt</x:v>
      </x:c>
      <x:c r="R231" t="str">
        <x:v>Prompts/Meshy/env_undead_crypt_grave_marker_001_geometry.txt</x:v>
      </x:c>
      <x:c r="S231" t="str">
        <x:v>Prompts/Texture/env_undead_crypt_grave_marker_001_texture.txt</x:v>
      </x:c>
      <x:c r="T231" t="n">
        <x:v>1</x:v>
      </x:c>
      <x:c r="U231" t="n">
        <x:v>2</x:v>
      </x:c>
      <x:c r="V231" t="n">
        <x:v>1</x:v>
      </x:c>
      <x:c r="W231" t="n">
        <x:v>1</x:v>
      </x:c>
      <x:c r="X231" t="n">
        <x:v>0</x:v>
      </x:c>
      <x:c r="Y231" t="str">
        <x:v>Silhouette readable; correct scale; grid/pivot compliance; material separation; no baked VFX; LOD budget met; mobile camera test passed</x:v>
      </x:c>
      <x:c r="Z231" t="str">
        <x:v>Assets/_Game/Art/Environments/undead_crypt/Models</x:v>
      </x:c>
      <x:c r="AA231" t="str">
        <x:v>Not Started</x:v>
      </x:c>
      <x:c r="AB231" t="str">
        <x:v>Pending</x:v>
      </x:c>
      <x:c r="AC231" s="18" t="n">
        <x:f>T231*'Settings &amp; Rates'!$B$5+U231*'Settings &amp; Rates'!$B$6+V231*'Settings &amp; Rates'!$B$7+W231*'Settings &amp; Rates'!$B$8+X231*'Settings &amp; Rates'!$B$9</x:f>
        <x:v>55</x:v>
      </x:c>
      <x:c r="AD231" s="18" t="n">
        <x:f>SUMIF('Attempt Log'!$B$2:$B$101,A231,'Attempt Log'!$K$2:$K$101)</x:f>
        <x:v>0</x:v>
      </x:c>
      <x:c r="AE231" s="18" t="n">
        <x:f>AD231-AC231</x:f>
        <x:v>-55</x:v>
      </x:c>
      <x:c r="AF231" t="n">
        <x:f>COUNTIF('Attempt Log'!$B$2:$B$101,A231)</x:f>
        <x:v>0</x:v>
      </x:c>
      <x:c r="AG231" t="n">
        <x:f>IFERROR(SUMIFS('Attempt Log'!$U$2:$U$101,'Attempt Log'!$B$2:$B$101,A231,'Attempt Log'!$N$2:$N$101,"Yes")/COUNTIFS('Attempt Log'!$B$2:$B$101,A231,'Attempt Log'!$N$2:$N$101,"Yes"),0)</x:f>
        <x:v>0</x:v>
      </x:c>
    </x:row>
    <x:row r="232">
      <x:c r="A232" t="str">
        <x:v>env_undead_crypt_hanging_chain_001</x:v>
      </x:c>
      <x:c r="B232" t="str">
        <x:v>Corrente Suspensa</x:v>
      </x:c>
      <x:c r="C232" t="str">
        <x:v>Hanging Chain</x:v>
      </x:c>
      <x:c r="D232" t="str">
        <x:v>Task018</x:v>
      </x:c>
      <x:c r="E232" t="str">
        <x:v>Environment</x:v>
      </x:c>
      <x:c r="F232" t="str">
        <x:v>Environment</x:v>
      </x:c>
      <x:c r="G232" t="str">
        <x:v>prop</x:v>
      </x:c>
      <x:c r="H232" t="str">
        <x:v>Season 1 - Arc 2</x:v>
      </x:c>
      <x:c r="I232" t="str">
        <x:v>P1</x:v>
      </x:c>
      <x:c r="J232" t="str">
        <x:v>B22_UNDEAD_ENV_PROPS</x:v>
      </x:c>
      <x:c r="K232" t="str">
        <x:v>Text to 3D</x:v>
      </x:c>
      <x:c r="L232" t="str">
        <x:v>Optional</x:v>
      </x:c>
      <x:c r="M232" t="n">
        <x:v>550</x:v>
      </x:c>
      <x:c r="N232" t="str">
        <x:v>1024x1024</x:v>
      </x:c>
      <x:c r="O232" t="str">
        <x:v>No</x:v>
      </x:c>
      <x:c r="P232" t="str">
        <x:v>None</x:v>
      </x:c>
      <x:c r="Q232" t="str">
        <x:v>Prompts/ConceptArt/env_undead_crypt_hanging_chain_001_concept_sheet.txt</x:v>
      </x:c>
      <x:c r="R232" t="str">
        <x:v>Prompts/Meshy/env_undead_crypt_hanging_chain_001_geometry.txt</x:v>
      </x:c>
      <x:c r="S232" t="str">
        <x:v>Prompts/Texture/env_undead_crypt_hanging_chain_001_texture.txt</x:v>
      </x:c>
      <x:c r="T232" t="n">
        <x:v>1</x:v>
      </x:c>
      <x:c r="U232" t="n">
        <x:v>2</x:v>
      </x:c>
      <x:c r="V232" t="n">
        <x:v>1</x:v>
      </x:c>
      <x:c r="W232" t="n">
        <x:v>1</x:v>
      </x:c>
      <x:c r="X232" t="n">
        <x:v>0</x:v>
      </x:c>
      <x:c r="Y232" t="str">
        <x:v>Silhouette readable; correct scale; grid/pivot compliance; material separation; no baked VFX; LOD budget met; mobile camera test passed</x:v>
      </x:c>
      <x:c r="Z232" t="str">
        <x:v>Assets/_Game/Art/Environments/undead_crypt/Models</x:v>
      </x:c>
      <x:c r="AA232" t="str">
        <x:v>Not Started</x:v>
      </x:c>
      <x:c r="AB232" t="str">
        <x:v>Pending</x:v>
      </x:c>
      <x:c r="AC232" s="18" t="n">
        <x:f>T232*'Settings &amp; Rates'!$B$5+U232*'Settings &amp; Rates'!$B$6+V232*'Settings &amp; Rates'!$B$7+W232*'Settings &amp; Rates'!$B$8+X232*'Settings &amp; Rates'!$B$9</x:f>
        <x:v>55</x:v>
      </x:c>
      <x:c r="AD232" s="18" t="n">
        <x:f>SUMIF('Attempt Log'!$B$2:$B$101,A232,'Attempt Log'!$K$2:$K$101)</x:f>
        <x:v>0</x:v>
      </x:c>
      <x:c r="AE232" s="18" t="n">
        <x:f>AD232-AC232</x:f>
        <x:v>-55</x:v>
      </x:c>
      <x:c r="AF232" t="n">
        <x:f>COUNTIF('Attempt Log'!$B$2:$B$101,A232)</x:f>
        <x:v>0</x:v>
      </x:c>
      <x:c r="AG232" t="n">
        <x:f>IFERROR(SUMIFS('Attempt Log'!$U$2:$U$101,'Attempt Log'!$B$2:$B$101,A232,'Attempt Log'!$N$2:$N$101,"Yes")/COUNTIFS('Attempt Log'!$B$2:$B$101,A232,'Attempt Log'!$N$2:$N$101,"Yes"),0)</x:f>
        <x:v>0</x:v>
      </x:c>
    </x:row>
    <x:row r="233">
      <x:c r="A233" t="str">
        <x:v>env_undead_crypt_lich_throne_001</x:v>
      </x:c>
      <x:c r="B233" t="str">
        <x:v>Trono do Lich</x:v>
      </x:c>
      <x:c r="C233" t="str">
        <x:v>Lich Throne</x:v>
      </x:c>
      <x:c r="D233" t="str">
        <x:v>Task018</x:v>
      </x:c>
      <x:c r="E233" t="str">
        <x:v>Environment</x:v>
      </x:c>
      <x:c r="F233" t="str">
        <x:v>Environment</x:v>
      </x:c>
      <x:c r="G233" t="str">
        <x:v>hero prop</x:v>
      </x:c>
      <x:c r="H233" t="str">
        <x:v>Season 1 - Arc 2</x:v>
      </x:c>
      <x:c r="I233" t="str">
        <x:v>P1</x:v>
      </x:c>
      <x:c r="J233" t="str">
        <x:v>B22_UNDEAD_ENV_PROPS</x:v>
      </x:c>
      <x:c r="K233" t="str">
        <x:v>Image to 3D</x:v>
      </x:c>
      <x:c r="L233" t="str">
        <x:v>Yes</x:v>
      </x:c>
      <x:c r="M233" t="n">
        <x:v>5250</x:v>
      </x:c>
      <x:c r="N233" t="str">
        <x:v>1024x1024</x:v>
      </x:c>
      <x:c r="O233" t="str">
        <x:v>No</x:v>
      </x:c>
      <x:c r="P233" t="str">
        <x:v>None</x:v>
      </x:c>
      <x:c r="Q233" t="str">
        <x:v>Prompts/ConceptArt/env_undead_crypt_lich_throne_001_concept_sheet.txt</x:v>
      </x:c>
      <x:c r="R233" t="str">
        <x:v>Prompts/Meshy/env_undead_crypt_lich_throne_001_geometry.txt</x:v>
      </x:c>
      <x:c r="S233" t="str">
        <x:v>Prompts/Texture/env_undead_crypt_lich_throne_001_texture.txt</x:v>
      </x:c>
      <x:c r="T233" t="n">
        <x:v>2</x:v>
      </x:c>
      <x:c r="U233" t="n">
        <x:v>2</x:v>
      </x:c>
      <x:c r="V233" t="n">
        <x:v>1</x:v>
      </x:c>
      <x:c r="W233" t="n">
        <x:v>1</x:v>
      </x:c>
      <x:c r="X233" t="n">
        <x:v>0</x:v>
      </x:c>
      <x:c r="Y233" t="str">
        <x:v>Silhouette readable; correct scale; grid/pivot compliance; material separation; no baked VFX; LOD budget met; mobile camera test passed</x:v>
      </x:c>
      <x:c r="Z233" t="str">
        <x:v>Assets/_Game/Art/Environments/undead_crypt/Models</x:v>
      </x:c>
      <x:c r="AA233" t="str">
        <x:v>Not Started</x:v>
      </x:c>
      <x:c r="AB233" t="str">
        <x:v>Pending</x:v>
      </x:c>
      <x:c r="AC233" s="18" t="n">
        <x:f>T233*'Settings &amp; Rates'!$B$5+U233*'Settings &amp; Rates'!$B$6+V233*'Settings &amp; Rates'!$B$7+W233*'Settings &amp; Rates'!$B$8+X233*'Settings &amp; Rates'!$B$9</x:f>
        <x:v>55</x:v>
      </x:c>
      <x:c r="AD233" s="18" t="n">
        <x:f>SUMIF('Attempt Log'!$B$2:$B$101,A233,'Attempt Log'!$K$2:$K$101)</x:f>
        <x:v>0</x:v>
      </x:c>
      <x:c r="AE233" s="18" t="n">
        <x:f>AD233-AC233</x:f>
        <x:v>-55</x:v>
      </x:c>
      <x:c r="AF233" t="n">
        <x:f>COUNTIF('Attempt Log'!$B$2:$B$101,A233)</x:f>
        <x:v>0</x:v>
      </x:c>
      <x:c r="AG233" t="n">
        <x:f>IFERROR(SUMIFS('Attempt Log'!$U$2:$U$101,'Attempt Log'!$B$2:$B$101,A233,'Attempt Log'!$N$2:$N$101,"Yes")/COUNTIFS('Attempt Log'!$B$2:$B$101,A233,'Attempt Log'!$N$2:$N$101,"Yes"),0)</x:f>
        <x:v>0</x:v>
      </x:c>
    </x:row>
    <x:row r="234">
      <x:c r="A234" t="str">
        <x:v>env_undead_crypt_necromantic_crystal_001</x:v>
      </x:c>
      <x:c r="B234" t="str">
        <x:v>Cristal Necromântico</x:v>
      </x:c>
      <x:c r="C234" t="str">
        <x:v>Necromantic Crystal</x:v>
      </x:c>
      <x:c r="D234" t="str">
        <x:v>Task018</x:v>
      </x:c>
      <x:c r="E234" t="str">
        <x:v>Environment</x:v>
      </x:c>
      <x:c r="F234" t="str">
        <x:v>Environment</x:v>
      </x:c>
      <x:c r="G234" t="str">
        <x:v>prop</x:v>
      </x:c>
      <x:c r="H234" t="str">
        <x:v>Season 1 - Arc 2</x:v>
      </x:c>
      <x:c r="I234" t="str">
        <x:v>P1</x:v>
      </x:c>
      <x:c r="J234" t="str">
        <x:v>B22_UNDEAD_ENV_PROPS</x:v>
      </x:c>
      <x:c r="K234" t="str">
        <x:v>Text to 3D</x:v>
      </x:c>
      <x:c r="L234" t="str">
        <x:v>Optional</x:v>
      </x:c>
      <x:c r="M234" t="n">
        <x:v>950</x:v>
      </x:c>
      <x:c r="N234" t="str">
        <x:v>1024x1024</x:v>
      </x:c>
      <x:c r="O234" t="str">
        <x:v>No</x:v>
      </x:c>
      <x:c r="P234" t="str">
        <x:v>None</x:v>
      </x:c>
      <x:c r="Q234" t="str">
        <x:v>Prompts/ConceptArt/env_undead_crypt_necromantic_crystal_001_concept_sheet.txt</x:v>
      </x:c>
      <x:c r="R234" t="str">
        <x:v>Prompts/Meshy/env_undead_crypt_necromantic_crystal_001_geometry.txt</x:v>
      </x:c>
      <x:c r="S234" t="str">
        <x:v>Prompts/Texture/env_undead_crypt_necromantic_crystal_001_texture.txt</x:v>
      </x:c>
      <x:c r="T234" t="n">
        <x:v>1</x:v>
      </x:c>
      <x:c r="U234" t="n">
        <x:v>2</x:v>
      </x:c>
      <x:c r="V234" t="n">
        <x:v>1</x:v>
      </x:c>
      <x:c r="W234" t="n">
        <x:v>1</x:v>
      </x:c>
      <x:c r="X234" t="n">
        <x:v>0</x:v>
      </x:c>
      <x:c r="Y234" t="str">
        <x:v>Silhouette readable; correct scale; grid/pivot compliance; material separation; no baked VFX; LOD budget met; mobile camera test passed</x:v>
      </x:c>
      <x:c r="Z234" t="str">
        <x:v>Assets/_Game/Art/Environments/undead_crypt/Models</x:v>
      </x:c>
      <x:c r="AA234" t="str">
        <x:v>Not Started</x:v>
      </x:c>
      <x:c r="AB234" t="str">
        <x:v>Pending</x:v>
      </x:c>
      <x:c r="AC234" s="18" t="n">
        <x:f>T234*'Settings &amp; Rates'!$B$5+U234*'Settings &amp; Rates'!$B$6+V234*'Settings &amp; Rates'!$B$7+W234*'Settings &amp; Rates'!$B$8+X234*'Settings &amp; Rates'!$B$9</x:f>
        <x:v>55</x:v>
      </x:c>
      <x:c r="AD234" s="18" t="n">
        <x:f>SUMIF('Attempt Log'!$B$2:$B$101,A234,'Attempt Log'!$K$2:$K$101)</x:f>
        <x:v>0</x:v>
      </x:c>
      <x:c r="AE234" s="18" t="n">
        <x:f>AD234-AC234</x:f>
        <x:v>-55</x:v>
      </x:c>
      <x:c r="AF234" t="n">
        <x:f>COUNTIF('Attempt Log'!$B$2:$B$101,A234)</x:f>
        <x:v>0</x:v>
      </x:c>
      <x:c r="AG234" t="n">
        <x:f>IFERROR(SUMIFS('Attempt Log'!$U$2:$U$101,'Attempt Log'!$B$2:$B$101,A234,'Attempt Log'!$N$2:$N$101,"Yes")/COUNTIFS('Attempt Log'!$B$2:$B$101,A234,'Attempt Log'!$N$2:$N$101,"Yes"),0)</x:f>
        <x:v>0</x:v>
      </x:c>
    </x:row>
    <x:row r="235">
      <x:c r="A235" t="str">
        <x:v>env_undead_crypt_necromantic_portal_001</x:v>
      </x:c>
      <x:c r="B235" t="str">
        <x:v>Portal Necromântico</x:v>
      </x:c>
      <x:c r="C235" t="str">
        <x:v>Necromantic Portal</x:v>
      </x:c>
      <x:c r="D235" t="str">
        <x:v>Task018</x:v>
      </x:c>
      <x:c r="E235" t="str">
        <x:v>Environment</x:v>
      </x:c>
      <x:c r="F235" t="str">
        <x:v>Environment</x:v>
      </x:c>
      <x:c r="G235" t="str">
        <x:v>hero prop</x:v>
      </x:c>
      <x:c r="H235" t="str">
        <x:v>Season 1 - Arc 2</x:v>
      </x:c>
      <x:c r="I235" t="str">
        <x:v>P1</x:v>
      </x:c>
      <x:c r="J235" t="str">
        <x:v>B22_UNDEAD_ENV_PROPS</x:v>
      </x:c>
      <x:c r="K235" t="str">
        <x:v>Image to 3D</x:v>
      </x:c>
      <x:c r="L235" t="str">
        <x:v>Yes</x:v>
      </x:c>
      <x:c r="M235" t="n">
        <x:v>4500</x:v>
      </x:c>
      <x:c r="N235" t="str">
        <x:v>1024x1024</x:v>
      </x:c>
      <x:c r="O235" t="str">
        <x:v>No</x:v>
      </x:c>
      <x:c r="P235" t="str">
        <x:v>None</x:v>
      </x:c>
      <x:c r="Q235" t="str">
        <x:v>Prompts/ConceptArt/env_undead_crypt_necromantic_portal_001_concept_sheet.txt</x:v>
      </x:c>
      <x:c r="R235" t="str">
        <x:v>Prompts/Meshy/env_undead_crypt_necromantic_portal_001_geometry.txt</x:v>
      </x:c>
      <x:c r="S235" t="str">
        <x:v>Prompts/Texture/env_undead_crypt_necromantic_portal_001_texture.txt</x:v>
      </x:c>
      <x:c r="T235" t="n">
        <x:v>2</x:v>
      </x:c>
      <x:c r="U235" t="n">
        <x:v>2</x:v>
      </x:c>
      <x:c r="V235" t="n">
        <x:v>1</x:v>
      </x:c>
      <x:c r="W235" t="n">
        <x:v>1</x:v>
      </x:c>
      <x:c r="X235" t="n">
        <x:v>0</x:v>
      </x:c>
      <x:c r="Y235" t="str">
        <x:v>Silhouette readable; correct scale; grid/pivot compliance; material separation; no baked VFX; LOD budget met; mobile camera test passed</x:v>
      </x:c>
      <x:c r="Z235" t="str">
        <x:v>Assets/_Game/Art/Environments/undead_crypt/Models</x:v>
      </x:c>
      <x:c r="AA235" t="str">
        <x:v>Not Started</x:v>
      </x:c>
      <x:c r="AB235" t="str">
        <x:v>Pending</x:v>
      </x:c>
      <x:c r="AC235" s="18" t="n">
        <x:f>T235*'Settings &amp; Rates'!$B$5+U235*'Settings &amp; Rates'!$B$6+V235*'Settings &amp; Rates'!$B$7+W235*'Settings &amp; Rates'!$B$8+X235*'Settings &amp; Rates'!$B$9</x:f>
        <x:v>55</x:v>
      </x:c>
      <x:c r="AD235" s="18" t="n">
        <x:f>SUMIF('Attempt Log'!$B$2:$B$101,A235,'Attempt Log'!$K$2:$K$101)</x:f>
        <x:v>0</x:v>
      </x:c>
      <x:c r="AE235" s="18" t="n">
        <x:f>AD235-AC235</x:f>
        <x:v>-55</x:v>
      </x:c>
      <x:c r="AF235" t="n">
        <x:f>COUNTIF('Attempt Log'!$B$2:$B$101,A235)</x:f>
        <x:v>0</x:v>
      </x:c>
      <x:c r="AG235" t="n">
        <x:f>IFERROR(SUMIFS('Attempt Log'!$U$2:$U$101,'Attempt Log'!$B$2:$B$101,A235,'Attempt Log'!$N$2:$N$101,"Yes")/COUNTIFS('Attempt Log'!$B$2:$B$101,A235,'Attempt Log'!$N$2:$N$101,"Yes"),0)</x:f>
        <x:v>0</x:v>
      </x:c>
    </x:row>
    <x:row r="236">
      <x:c r="A236" t="str">
        <x:v>env_undead_crypt_ossuary_001</x:v>
      </x:c>
      <x:c r="B236" t="str">
        <x:v>Ossário</x:v>
      </x:c>
      <x:c r="C236" t="str">
        <x:v>Ossuary</x:v>
      </x:c>
      <x:c r="D236" t="str">
        <x:v>Task018</x:v>
      </x:c>
      <x:c r="E236" t="str">
        <x:v>Environment</x:v>
      </x:c>
      <x:c r="F236" t="str">
        <x:v>Environment</x:v>
      </x:c>
      <x:c r="G236" t="str">
        <x:v>prop</x:v>
      </x:c>
      <x:c r="H236" t="str">
        <x:v>Season 1 - Arc 2</x:v>
      </x:c>
      <x:c r="I236" t="str">
        <x:v>P1</x:v>
      </x:c>
      <x:c r="J236" t="str">
        <x:v>B22_UNDEAD_ENV_PROPS</x:v>
      </x:c>
      <x:c r="K236" t="str">
        <x:v>Text to 3D</x:v>
      </x:c>
      <x:c r="L236" t="str">
        <x:v>Optional</x:v>
      </x:c>
      <x:c r="M236" t="n">
        <x:v>1800</x:v>
      </x:c>
      <x:c r="N236" t="str">
        <x:v>1024x1024</x:v>
      </x:c>
      <x:c r="O236" t="str">
        <x:v>No</x:v>
      </x:c>
      <x:c r="P236" t="str">
        <x:v>None</x:v>
      </x:c>
      <x:c r="Q236" t="str">
        <x:v>Prompts/ConceptArt/env_undead_crypt_ossuary_001_concept_sheet.txt</x:v>
      </x:c>
      <x:c r="R236" t="str">
        <x:v>Prompts/Meshy/env_undead_crypt_ossuary_001_geometry.txt</x:v>
      </x:c>
      <x:c r="S236" t="str">
        <x:v>Prompts/Texture/env_undead_crypt_ossuary_001_texture.txt</x:v>
      </x:c>
      <x:c r="T236" t="n">
        <x:v>1</x:v>
      </x:c>
      <x:c r="U236" t="n">
        <x:v>2</x:v>
      </x:c>
      <x:c r="V236" t="n">
        <x:v>1</x:v>
      </x:c>
      <x:c r="W236" t="n">
        <x:v>1</x:v>
      </x:c>
      <x:c r="X236" t="n">
        <x:v>0</x:v>
      </x:c>
      <x:c r="Y236" t="str">
        <x:v>Silhouette readable; correct scale; grid/pivot compliance; material separation; no baked VFX; LOD budget met; mobile camera test passed</x:v>
      </x:c>
      <x:c r="Z236" t="str">
        <x:v>Assets/_Game/Art/Environments/undead_crypt/Models</x:v>
      </x:c>
      <x:c r="AA236" t="str">
        <x:v>Not Started</x:v>
      </x:c>
      <x:c r="AB236" t="str">
        <x:v>Pending</x:v>
      </x:c>
      <x:c r="AC236" s="18" t="n">
        <x:f>T236*'Settings &amp; Rates'!$B$5+U236*'Settings &amp; Rates'!$B$6+V236*'Settings &amp; Rates'!$B$7+W236*'Settings &amp; Rates'!$B$8+X236*'Settings &amp; Rates'!$B$9</x:f>
        <x:v>55</x:v>
      </x:c>
      <x:c r="AD236" s="18" t="n">
        <x:f>SUMIF('Attempt Log'!$B$2:$B$101,A236,'Attempt Log'!$K$2:$K$101)</x:f>
        <x:v>0</x:v>
      </x:c>
      <x:c r="AE236" s="18" t="n">
        <x:f>AD236-AC236</x:f>
        <x:v>-55</x:v>
      </x:c>
      <x:c r="AF236" t="n">
        <x:f>COUNTIF('Attempt Log'!$B$2:$B$101,A236)</x:f>
        <x:v>0</x:v>
      </x:c>
      <x:c r="AG236" t="n">
        <x:f>IFERROR(SUMIFS('Attempt Log'!$U$2:$U$101,'Attempt Log'!$B$2:$B$101,A236,'Attempt Log'!$N$2:$N$101,"Yes")/COUNTIFS('Attempt Log'!$B$2:$B$101,A236,'Attempt Log'!$N$2:$N$101,"Yes"),0)</x:f>
        <x:v>0</x:v>
      </x:c>
    </x:row>
    <x:row r="237">
      <x:c r="A237" t="str">
        <x:v>env_undead_crypt_ritual_altar_001</x:v>
      </x:c>
      <x:c r="B237" t="str">
        <x:v>Altar Ritual</x:v>
      </x:c>
      <x:c r="C237" t="str">
        <x:v>Ritual Altar</x:v>
      </x:c>
      <x:c r="D237" t="str">
        <x:v>Task018</x:v>
      </x:c>
      <x:c r="E237" t="str">
        <x:v>Environment</x:v>
      </x:c>
      <x:c r="F237" t="str">
        <x:v>Environment</x:v>
      </x:c>
      <x:c r="G237" t="str">
        <x:v>hero prop</x:v>
      </x:c>
      <x:c r="H237" t="str">
        <x:v>Season 1 - Arc 2</x:v>
      </x:c>
      <x:c r="I237" t="str">
        <x:v>P1</x:v>
      </x:c>
      <x:c r="J237" t="str">
        <x:v>B22_UNDEAD_ENV_PROPS</x:v>
      </x:c>
      <x:c r="K237" t="str">
        <x:v>Image to 3D</x:v>
      </x:c>
      <x:c r="L237" t="str">
        <x:v>Yes</x:v>
      </x:c>
      <x:c r="M237" t="n">
        <x:v>3150</x:v>
      </x:c>
      <x:c r="N237" t="str">
        <x:v>1024x1024</x:v>
      </x:c>
      <x:c r="O237" t="str">
        <x:v>No</x:v>
      </x:c>
      <x:c r="P237" t="str">
        <x:v>None</x:v>
      </x:c>
      <x:c r="Q237" t="str">
        <x:v>Prompts/ConceptArt/env_undead_crypt_ritual_altar_001_concept_sheet.txt</x:v>
      </x:c>
      <x:c r="R237" t="str">
        <x:v>Prompts/Meshy/env_undead_crypt_ritual_altar_001_geometry.txt</x:v>
      </x:c>
      <x:c r="S237" t="str">
        <x:v>Prompts/Texture/env_undead_crypt_ritual_altar_001_texture.txt</x:v>
      </x:c>
      <x:c r="T237" t="n">
        <x:v>2</x:v>
      </x:c>
      <x:c r="U237" t="n">
        <x:v>2</x:v>
      </x:c>
      <x:c r="V237" t="n">
        <x:v>1</x:v>
      </x:c>
      <x:c r="W237" t="n">
        <x:v>1</x:v>
      </x:c>
      <x:c r="X237" t="n">
        <x:v>0</x:v>
      </x:c>
      <x:c r="Y237" t="str">
        <x:v>Silhouette readable; correct scale; grid/pivot compliance; material separation; no baked VFX; LOD budget met; mobile camera test passed</x:v>
      </x:c>
      <x:c r="Z237" t="str">
        <x:v>Assets/_Game/Art/Environments/undead_crypt/Models</x:v>
      </x:c>
      <x:c r="AA237" t="str">
        <x:v>Not Started</x:v>
      </x:c>
      <x:c r="AB237" t="str">
        <x:v>Pending</x:v>
      </x:c>
      <x:c r="AC237" s="18" t="n">
        <x:f>T237*'Settings &amp; Rates'!$B$5+U237*'Settings &amp; Rates'!$B$6+V237*'Settings &amp; Rates'!$B$7+W237*'Settings &amp; Rates'!$B$8+X237*'Settings &amp; Rates'!$B$9</x:f>
        <x:v>55</x:v>
      </x:c>
      <x:c r="AD237" s="18" t="n">
        <x:f>SUMIF('Attempt Log'!$B$2:$B$101,A237,'Attempt Log'!$K$2:$K$101)</x:f>
        <x:v>0</x:v>
      </x:c>
      <x:c r="AE237" s="18" t="n">
        <x:f>AD237-AC237</x:f>
        <x:v>-55</x:v>
      </x:c>
      <x:c r="AF237" t="n">
        <x:f>COUNTIF('Attempt Log'!$B$2:$B$101,A237)</x:f>
        <x:v>0</x:v>
      </x:c>
      <x:c r="AG237" t="n">
        <x:f>IFERROR(SUMIFS('Attempt Log'!$U$2:$U$101,'Attempt Log'!$B$2:$B$101,A237,'Attempt Log'!$N$2:$N$101,"Yes")/COUNTIFS('Attempt Log'!$B$2:$B$101,A237,'Attempt Log'!$N$2:$N$101,"Yes"),0)</x:f>
        <x:v>0</x:v>
      </x:c>
    </x:row>
    <x:row r="238">
      <x:c r="A238" t="str">
        <x:v>env_undead_crypt_sarcophagus_001</x:v>
      </x:c>
      <x:c r="B238" t="str">
        <x:v>Sarcófago</x:v>
      </x:c>
      <x:c r="C238" t="str">
        <x:v>Sarcophagus</x:v>
      </x:c>
      <x:c r="D238" t="str">
        <x:v>Task018</x:v>
      </x:c>
      <x:c r="E238" t="str">
        <x:v>Environment</x:v>
      </x:c>
      <x:c r="F238" t="str">
        <x:v>Environment</x:v>
      </x:c>
      <x:c r="G238" t="str">
        <x:v>prop</x:v>
      </x:c>
      <x:c r="H238" t="str">
        <x:v>Season 1 - Arc 2</x:v>
      </x:c>
      <x:c r="I238" t="str">
        <x:v>P1</x:v>
      </x:c>
      <x:c r="J238" t="str">
        <x:v>B22_UNDEAD_ENV_PROPS</x:v>
      </x:c>
      <x:c r="K238" t="str">
        <x:v>Text to 3D</x:v>
      </x:c>
      <x:c r="L238" t="str">
        <x:v>Optional</x:v>
      </x:c>
      <x:c r="M238" t="n">
        <x:v>2100</x:v>
      </x:c>
      <x:c r="N238" t="str">
        <x:v>1024x1024</x:v>
      </x:c>
      <x:c r="O238" t="str">
        <x:v>No</x:v>
      </x:c>
      <x:c r="P238" t="str">
        <x:v>None</x:v>
      </x:c>
      <x:c r="Q238" t="str">
        <x:v>Prompts/ConceptArt/env_undead_crypt_sarcophagus_001_concept_sheet.txt</x:v>
      </x:c>
      <x:c r="R238" t="str">
        <x:v>Prompts/Meshy/env_undead_crypt_sarcophagus_001_geometry.txt</x:v>
      </x:c>
      <x:c r="S238" t="str">
        <x:v>Prompts/Texture/env_undead_crypt_sarcophagus_001_texture.txt</x:v>
      </x:c>
      <x:c r="T238" t="n">
        <x:v>1</x:v>
      </x:c>
      <x:c r="U238" t="n">
        <x:v>2</x:v>
      </x:c>
      <x:c r="V238" t="n">
        <x:v>1</x:v>
      </x:c>
      <x:c r="W238" t="n">
        <x:v>1</x:v>
      </x:c>
      <x:c r="X238" t="n">
        <x:v>0</x:v>
      </x:c>
      <x:c r="Y238" t="str">
        <x:v>Silhouette readable; correct scale; grid/pivot compliance; material separation; no baked VFX; LOD budget met; mobile camera test passed</x:v>
      </x:c>
      <x:c r="Z238" t="str">
        <x:v>Assets/_Game/Art/Environments/undead_crypt/Models</x:v>
      </x:c>
      <x:c r="AA238" t="str">
        <x:v>Not Started</x:v>
      </x:c>
      <x:c r="AB238" t="str">
        <x:v>Pending</x:v>
      </x:c>
      <x:c r="AC238" s="18" t="n">
        <x:f>T238*'Settings &amp; Rates'!$B$5+U238*'Settings &amp; Rates'!$B$6+V238*'Settings &amp; Rates'!$B$7+W238*'Settings &amp; Rates'!$B$8+X238*'Settings &amp; Rates'!$B$9</x:f>
        <x:v>55</x:v>
      </x:c>
      <x:c r="AD238" s="18" t="n">
        <x:f>SUMIF('Attempt Log'!$B$2:$B$101,A238,'Attempt Log'!$K$2:$K$101)</x:f>
        <x:v>0</x:v>
      </x:c>
      <x:c r="AE238" s="18" t="n">
        <x:f>AD238-AC238</x:f>
        <x:v>-55</x:v>
      </x:c>
      <x:c r="AF238" t="n">
        <x:f>COUNTIF('Attempt Log'!$B$2:$B$101,A238)</x:f>
        <x:v>0</x:v>
      </x:c>
      <x:c r="AG238" t="n">
        <x:f>IFERROR(SUMIFS('Attempt Log'!$U$2:$U$101,'Attempt Log'!$B$2:$B$101,A238,'Attempt Log'!$N$2:$N$101,"Yes")/COUNTIFS('Attempt Log'!$B$2:$B$101,A238,'Attempt Log'!$N$2:$N$101,"Yes"),0)</x:f>
        <x:v>0</x:v>
      </x:c>
    </x:row>
    <x:row r="239">
      <x:c r="A239" t="str">
        <x:v>env_undead_crypt_spectral_brazier_001</x:v>
      </x:c>
      <x:c r="B239" t="str">
        <x:v>Braseiro Espectral</x:v>
      </x:c>
      <x:c r="C239" t="str">
        <x:v>Spectral Brazier</x:v>
      </x:c>
      <x:c r="D239" t="str">
        <x:v>Task018</x:v>
      </x:c>
      <x:c r="E239" t="str">
        <x:v>Environment</x:v>
      </x:c>
      <x:c r="F239" t="str">
        <x:v>Environment</x:v>
      </x:c>
      <x:c r="G239" t="str">
        <x:v>prop</x:v>
      </x:c>
      <x:c r="H239" t="str">
        <x:v>Season 1 - Arc 2</x:v>
      </x:c>
      <x:c r="I239" t="str">
        <x:v>P1</x:v>
      </x:c>
      <x:c r="J239" t="str">
        <x:v>B22_UNDEAD_ENV_PROPS</x:v>
      </x:c>
      <x:c r="K239" t="str">
        <x:v>Text to 3D</x:v>
      </x:c>
      <x:c r="L239" t="str">
        <x:v>Optional</x:v>
      </x:c>
      <x:c r="M239" t="n">
        <x:v>1250</x:v>
      </x:c>
      <x:c r="N239" t="str">
        <x:v>1024x1024</x:v>
      </x:c>
      <x:c r="O239" t="str">
        <x:v>No</x:v>
      </x:c>
      <x:c r="P239" t="str">
        <x:v>None</x:v>
      </x:c>
      <x:c r="Q239" t="str">
        <x:v>Prompts/ConceptArt/env_undead_crypt_spectral_brazier_001_concept_sheet.txt</x:v>
      </x:c>
      <x:c r="R239" t="str">
        <x:v>Prompts/Meshy/env_undead_crypt_spectral_brazier_001_geometry.txt</x:v>
      </x:c>
      <x:c r="S239" t="str">
        <x:v>Prompts/Texture/env_undead_crypt_spectral_brazier_001_texture.txt</x:v>
      </x:c>
      <x:c r="T239" t="n">
        <x:v>1</x:v>
      </x:c>
      <x:c r="U239" t="n">
        <x:v>2</x:v>
      </x:c>
      <x:c r="V239" t="n">
        <x:v>1</x:v>
      </x:c>
      <x:c r="W239" t="n">
        <x:v>1</x:v>
      </x:c>
      <x:c r="X239" t="n">
        <x:v>0</x:v>
      </x:c>
      <x:c r="Y239" t="str">
        <x:v>Silhouette readable; correct scale; grid/pivot compliance; material separation; no baked VFX; LOD budget met; mobile camera test passed</x:v>
      </x:c>
      <x:c r="Z239" t="str">
        <x:v>Assets/_Game/Art/Environments/undead_crypt/Models</x:v>
      </x:c>
      <x:c r="AA239" t="str">
        <x:v>Not Started</x:v>
      </x:c>
      <x:c r="AB239" t="str">
        <x:v>Pending</x:v>
      </x:c>
      <x:c r="AC239" s="18" t="n">
        <x:f>T239*'Settings &amp; Rates'!$B$5+U239*'Settings &amp; Rates'!$B$6+V239*'Settings &amp; Rates'!$B$7+W239*'Settings &amp; Rates'!$B$8+X239*'Settings &amp; Rates'!$B$9</x:f>
        <x:v>55</x:v>
      </x:c>
      <x:c r="AD239" s="18" t="n">
        <x:f>SUMIF('Attempt Log'!$B$2:$B$101,A239,'Attempt Log'!$K$2:$K$101)</x:f>
        <x:v>0</x:v>
      </x:c>
      <x:c r="AE239" s="18" t="n">
        <x:f>AD239-AC239</x:f>
        <x:v>-55</x:v>
      </x:c>
      <x:c r="AF239" t="n">
        <x:f>COUNTIF('Attempt Log'!$B$2:$B$101,A239)</x:f>
        <x:v>0</x:v>
      </x:c>
      <x:c r="AG239" t="n">
        <x:f>IFERROR(SUMIFS('Attempt Log'!$U$2:$U$101,'Attempt Log'!$B$2:$B$101,A239,'Attempt Log'!$N$2:$N$101,"Yes")/COUNTIFS('Attempt Log'!$B$2:$B$101,A239,'Attempt Log'!$N$2:$N$101,"Yes"),0)</x:f>
        <x:v>0</x:v>
      </x:c>
    </x:row>
    <x:row r="240">
      <x:c r="A240" t="str">
        <x:v>env_undead_crypt_spectral_candle_001</x:v>
      </x:c>
      <x:c r="B240" t="str">
        <x:v>Vela Espectral</x:v>
      </x:c>
      <x:c r="C240" t="str">
        <x:v>Spectral Candle</x:v>
      </x:c>
      <x:c r="D240" t="str">
        <x:v>Task018</x:v>
      </x:c>
      <x:c r="E240" t="str">
        <x:v>Environment</x:v>
      </x:c>
      <x:c r="F240" t="str">
        <x:v>Environment</x:v>
      </x:c>
      <x:c r="G240" t="str">
        <x:v>prop</x:v>
      </x:c>
      <x:c r="H240" t="str">
        <x:v>Season 1 - Arc 2</x:v>
      </x:c>
      <x:c r="I240" t="str">
        <x:v>P1</x:v>
      </x:c>
      <x:c r="J240" t="str">
        <x:v>B22_UNDEAD_ENV_PROPS</x:v>
      </x:c>
      <x:c r="K240" t="str">
        <x:v>Text to 3D</x:v>
      </x:c>
      <x:c r="L240" t="str">
        <x:v>Optional</x:v>
      </x:c>
      <x:c r="M240" t="n">
        <x:v>425</x:v>
      </x:c>
      <x:c r="N240" t="str">
        <x:v>1024x1024</x:v>
      </x:c>
      <x:c r="O240" t="str">
        <x:v>No</x:v>
      </x:c>
      <x:c r="P240" t="str">
        <x:v>None</x:v>
      </x:c>
      <x:c r="Q240" t="str">
        <x:v>Prompts/ConceptArt/env_undead_crypt_spectral_candle_001_concept_sheet.txt</x:v>
      </x:c>
      <x:c r="R240" t="str">
        <x:v>Prompts/Meshy/env_undead_crypt_spectral_candle_001_geometry.txt</x:v>
      </x:c>
      <x:c r="S240" t="str">
        <x:v>Prompts/Texture/env_undead_crypt_spectral_candle_001_texture.txt</x:v>
      </x:c>
      <x:c r="T240" t="n">
        <x:v>1</x:v>
      </x:c>
      <x:c r="U240" t="n">
        <x:v>2</x:v>
      </x:c>
      <x:c r="V240" t="n">
        <x:v>1</x:v>
      </x:c>
      <x:c r="W240" t="n">
        <x:v>1</x:v>
      </x:c>
      <x:c r="X240" t="n">
        <x:v>0</x:v>
      </x:c>
      <x:c r="Y240" t="str">
        <x:v>Silhouette readable; correct scale; grid/pivot compliance; material separation; no baked VFX; LOD budget met; mobile camera test passed</x:v>
      </x:c>
      <x:c r="Z240" t="str">
        <x:v>Assets/_Game/Art/Environments/undead_crypt/Models</x:v>
      </x:c>
      <x:c r="AA240" t="str">
        <x:v>Not Started</x:v>
      </x:c>
      <x:c r="AB240" t="str">
        <x:v>Pending</x:v>
      </x:c>
      <x:c r="AC240" s="18" t="n">
        <x:f>T240*'Settings &amp; Rates'!$B$5+U240*'Settings &amp; Rates'!$B$6+V240*'Settings &amp; Rates'!$B$7+W240*'Settings &amp; Rates'!$B$8+X240*'Settings &amp; Rates'!$B$9</x:f>
        <x:v>55</x:v>
      </x:c>
      <x:c r="AD240" s="18" t="n">
        <x:f>SUMIF('Attempt Log'!$B$2:$B$101,A240,'Attempt Log'!$K$2:$K$101)</x:f>
        <x:v>0</x:v>
      </x:c>
      <x:c r="AE240" s="18" t="n">
        <x:f>AD240-AC240</x:f>
        <x:v>-55</x:v>
      </x:c>
      <x:c r="AF240" t="n">
        <x:f>COUNTIF('Attempt Log'!$B$2:$B$101,A240)</x:f>
        <x:v>0</x:v>
      </x:c>
      <x:c r="AG240" t="n">
        <x:f>IFERROR(SUMIFS('Attempt Log'!$U$2:$U$101,'Attempt Log'!$B$2:$B$101,A240,'Attempt Log'!$N$2:$N$101,"Yes")/COUNTIFS('Attempt Log'!$B$2:$B$101,A240,'Attempt Log'!$N$2:$N$101,"Yes"),0)</x:f>
        <x:v>0</x:v>
      </x:c>
    </x:row>
    <x:row r="241">
      <x:c r="A241" t="str">
        <x:v>env_infernal_fortress_basalt_floor_tile_001</x:v>
      </x:c>
      <x:c r="B241" t="str">
        <x:v>Piso de Basalto</x:v>
      </x:c>
      <x:c r="C241" t="str">
        <x:v>Basalt Floor Tile</x:v>
      </x:c>
      <x:c r="D241" t="str">
        <x:v>Task018</x:v>
      </x:c>
      <x:c r="E241" t="str">
        <x:v>Environment</x:v>
      </x:c>
      <x:c r="F241" t="str">
        <x:v>Environment</x:v>
      </x:c>
      <x:c r="G241" t="str">
        <x:v>tile</x:v>
      </x:c>
      <x:c r="H241" t="str">
        <x:v>Season 1 - Arc 3</x:v>
      </x:c>
      <x:c r="I241" t="str">
        <x:v>P1</x:v>
      </x:c>
      <x:c r="J241" t="str">
        <x:v>B23_INFERNAL_ENV_CORE</x:v>
      </x:c>
      <x:c r="K241" t="str">
        <x:v>Text to 3D</x:v>
      </x:c>
      <x:c r="L241" t="str">
        <x:v>Optional</x:v>
      </x:c>
      <x:c r="M241" t="n">
        <x:v>1250</x:v>
      </x:c>
      <x:c r="N241" t="str">
        <x:v>1024x1024</x:v>
      </x:c>
      <x:c r="O241" t="str">
        <x:v>No</x:v>
      </x:c>
      <x:c r="P241" t="str">
        <x:v>None</x:v>
      </x:c>
      <x:c r="Q241" t="str">
        <x:v>Prompts/ConceptArt/env_infernal_fortress_basalt_floor_tile_001_concept_sheet.txt</x:v>
      </x:c>
      <x:c r="R241" t="str">
        <x:v>Prompts/Meshy/env_infernal_fortress_basalt_floor_tile_001_geometry.txt</x:v>
      </x:c>
      <x:c r="S241" t="str">
        <x:v>Prompts/Texture/env_infernal_fortress_basalt_floor_tile_001_texture.txt</x:v>
      </x:c>
      <x:c r="T241" t="n">
        <x:v>1</x:v>
      </x:c>
      <x:c r="U241" t="n">
        <x:v>2</x:v>
      </x:c>
      <x:c r="V241" t="n">
        <x:v>1</x:v>
      </x:c>
      <x:c r="W241" t="n">
        <x:v>1</x:v>
      </x:c>
      <x:c r="X241" t="n">
        <x:v>0</x:v>
      </x:c>
      <x:c r="Y241" t="str">
        <x:v>Silhouette readable; correct scale; grid/pivot compliance; material separation; no baked VFX; LOD budget met; mobile camera test passed</x:v>
      </x:c>
      <x:c r="Z241" t="str">
        <x:v>Assets/_Game/Art/Environments/infernal_fortress/Models</x:v>
      </x:c>
      <x:c r="AA241" t="str">
        <x:v>Not Started</x:v>
      </x:c>
      <x:c r="AB241" t="str">
        <x:v>Pending</x:v>
      </x:c>
      <x:c r="AC241" s="18" t="n">
        <x:f>T241*'Settings &amp; Rates'!$B$5+U241*'Settings &amp; Rates'!$B$6+V241*'Settings &amp; Rates'!$B$7+W241*'Settings &amp; Rates'!$B$8+X241*'Settings &amp; Rates'!$B$9</x:f>
        <x:v>55</x:v>
      </x:c>
      <x:c r="AD241" s="18" t="n">
        <x:f>SUMIF('Attempt Log'!$B$2:$B$101,A241,'Attempt Log'!$K$2:$K$101)</x:f>
        <x:v>0</x:v>
      </x:c>
      <x:c r="AE241" s="18" t="n">
        <x:f>AD241-AC241</x:f>
        <x:v>-55</x:v>
      </x:c>
      <x:c r="AF241" t="n">
        <x:f>COUNTIF('Attempt Log'!$B$2:$B$101,A241)</x:f>
        <x:v>0</x:v>
      </x:c>
      <x:c r="AG241" t="n">
        <x:f>IFERROR(SUMIFS('Attempt Log'!$U$2:$U$101,'Attempt Log'!$B$2:$B$101,A241,'Attempt Log'!$N$2:$N$101,"Yes")/COUNTIFS('Attempt Log'!$B$2:$B$101,A241,'Attempt Log'!$N$2:$N$101,"Yes"),0)</x:f>
        <x:v>0</x:v>
      </x:c>
    </x:row>
    <x:row r="242">
      <x:c r="A242" t="str">
        <x:v>env_infernal_fortress_demonic_pillar_001</x:v>
      </x:c>
      <x:c r="B242" t="str">
        <x:v>Pilar Demoníaco</x:v>
      </x:c>
      <x:c r="C242" t="str">
        <x:v>Demonic Pillar</x:v>
      </x:c>
      <x:c r="D242" t="str">
        <x:v>Task018</x:v>
      </x:c>
      <x:c r="E242" t="str">
        <x:v>Environment</x:v>
      </x:c>
      <x:c r="F242" t="str">
        <x:v>Environment</x:v>
      </x:c>
      <x:c r="G242" t="str">
        <x:v>structure</x:v>
      </x:c>
      <x:c r="H242" t="str">
        <x:v>Season 1 - Arc 3</x:v>
      </x:c>
      <x:c r="I242" t="str">
        <x:v>P1</x:v>
      </x:c>
      <x:c r="J242" t="str">
        <x:v>B23_INFERNAL_ENV_CORE</x:v>
      </x:c>
      <x:c r="K242" t="str">
        <x:v>Image to 3D</x:v>
      </x:c>
      <x:c r="L242" t="str">
        <x:v>Yes</x:v>
      </x:c>
      <x:c r="M242" t="n">
        <x:v>2400</x:v>
      </x:c>
      <x:c r="N242" t="str">
        <x:v>1024x1024</x:v>
      </x:c>
      <x:c r="O242" t="str">
        <x:v>No</x:v>
      </x:c>
      <x:c r="P242" t="str">
        <x:v>None</x:v>
      </x:c>
      <x:c r="Q242" t="str">
        <x:v>Prompts/ConceptArt/env_infernal_fortress_demonic_pillar_001_concept_sheet.txt</x:v>
      </x:c>
      <x:c r="R242" t="str">
        <x:v>Prompts/Meshy/env_infernal_fortress_demonic_pillar_001_geometry.txt</x:v>
      </x:c>
      <x:c r="S242" t="str">
        <x:v>Prompts/Texture/env_infernal_fortress_demonic_pillar_001_texture.txt</x:v>
      </x:c>
      <x:c r="T242" t="n">
        <x:v>2</x:v>
      </x:c>
      <x:c r="U242" t="n">
        <x:v>2</x:v>
      </x:c>
      <x:c r="V242" t="n">
        <x:v>1</x:v>
      </x:c>
      <x:c r="W242" t="n">
        <x:v>1</x:v>
      </x:c>
      <x:c r="X242" t="n">
        <x:v>0</x:v>
      </x:c>
      <x:c r="Y242" t="str">
        <x:v>Silhouette readable; correct scale; grid/pivot compliance; material separation; no baked VFX; LOD budget met; mobile camera test passed</x:v>
      </x:c>
      <x:c r="Z242" t="str">
        <x:v>Assets/_Game/Art/Environments/infernal_fortress/Models</x:v>
      </x:c>
      <x:c r="AA242" t="str">
        <x:v>Not Started</x:v>
      </x:c>
      <x:c r="AB242" t="str">
        <x:v>Pending</x:v>
      </x:c>
      <x:c r="AC242" s="18" t="n">
        <x:f>T242*'Settings &amp; Rates'!$B$5+U242*'Settings &amp; Rates'!$B$6+V242*'Settings &amp; Rates'!$B$7+W242*'Settings &amp; Rates'!$B$8+X242*'Settings &amp; Rates'!$B$9</x:f>
        <x:v>55</x:v>
      </x:c>
      <x:c r="AD242" s="18" t="n">
        <x:f>SUMIF('Attempt Log'!$B$2:$B$101,A242,'Attempt Log'!$K$2:$K$101)</x:f>
        <x:v>0</x:v>
      </x:c>
      <x:c r="AE242" s="18" t="n">
        <x:f>AD242-AC242</x:f>
        <x:v>-55</x:v>
      </x:c>
      <x:c r="AF242" t="n">
        <x:f>COUNTIF('Attempt Log'!$B$2:$B$101,A242)</x:f>
        <x:v>0</x:v>
      </x:c>
      <x:c r="AG242" t="n">
        <x:f>IFERROR(SUMIFS('Attempt Log'!$U$2:$U$101,'Attempt Log'!$B$2:$B$101,A242,'Attempt Log'!$N$2:$N$101,"Yes")/COUNTIFS('Attempt Log'!$B$2:$B$101,A242,'Attempt Log'!$N$2:$N$101,"Yes"),0)</x:f>
        <x:v>0</x:v>
      </x:c>
    </x:row>
    <x:row r="243">
      <x:c r="A243" t="str">
        <x:v>env_infernal_fortress_infernal_arch_001</x:v>
      </x:c>
      <x:c r="B243" t="str">
        <x:v>Arco Infernal</x:v>
      </x:c>
      <x:c r="C243" t="str">
        <x:v>Infernal Arch</x:v>
      </x:c>
      <x:c r="D243" t="str">
        <x:v>Task018</x:v>
      </x:c>
      <x:c r="E243" t="str">
        <x:v>Environment</x:v>
      </x:c>
      <x:c r="F243" t="str">
        <x:v>Environment</x:v>
      </x:c>
      <x:c r="G243" t="str">
        <x:v>structure</x:v>
      </x:c>
      <x:c r="H243" t="str">
        <x:v>Season 1 - Arc 3</x:v>
      </x:c>
      <x:c r="I243" t="str">
        <x:v>P1</x:v>
      </x:c>
      <x:c r="J243" t="str">
        <x:v>B23_INFERNAL_ENV_CORE</x:v>
      </x:c>
      <x:c r="K243" t="str">
        <x:v>Image to 3D</x:v>
      </x:c>
      <x:c r="L243" t="str">
        <x:v>Yes</x:v>
      </x:c>
      <x:c r="M243" t="n">
        <x:v>2750</x:v>
      </x:c>
      <x:c r="N243" t="str">
        <x:v>1024x1024</x:v>
      </x:c>
      <x:c r="O243" t="str">
        <x:v>No</x:v>
      </x:c>
      <x:c r="P243" t="str">
        <x:v>None</x:v>
      </x:c>
      <x:c r="Q243" t="str">
        <x:v>Prompts/ConceptArt/env_infernal_fortress_infernal_arch_001_concept_sheet.txt</x:v>
      </x:c>
      <x:c r="R243" t="str">
        <x:v>Prompts/Meshy/env_infernal_fortress_infernal_arch_001_geometry.txt</x:v>
      </x:c>
      <x:c r="S243" t="str">
        <x:v>Prompts/Texture/env_infernal_fortress_infernal_arch_001_texture.txt</x:v>
      </x:c>
      <x:c r="T243" t="n">
        <x:v>2</x:v>
      </x:c>
      <x:c r="U243" t="n">
        <x:v>2</x:v>
      </x:c>
      <x:c r="V243" t="n">
        <x:v>1</x:v>
      </x:c>
      <x:c r="W243" t="n">
        <x:v>1</x:v>
      </x:c>
      <x:c r="X243" t="n">
        <x:v>0</x:v>
      </x:c>
      <x:c r="Y243" t="str">
        <x:v>Silhouette readable; correct scale; grid/pivot compliance; material separation; no baked VFX; LOD budget met; mobile camera test passed</x:v>
      </x:c>
      <x:c r="Z243" t="str">
        <x:v>Assets/_Game/Art/Environments/infernal_fortress/Models</x:v>
      </x:c>
      <x:c r="AA243" t="str">
        <x:v>Not Started</x:v>
      </x:c>
      <x:c r="AB243" t="str">
        <x:v>Pending</x:v>
      </x:c>
      <x:c r="AC243" s="18" t="n">
        <x:f>T243*'Settings &amp; Rates'!$B$5+U243*'Settings &amp; Rates'!$B$6+V243*'Settings &amp; Rates'!$B$7+W243*'Settings &amp; Rates'!$B$8+X243*'Settings &amp; Rates'!$B$9</x:f>
        <x:v>55</x:v>
      </x:c>
      <x:c r="AD243" s="18" t="n">
        <x:f>SUMIF('Attempt Log'!$B$2:$B$101,A243,'Attempt Log'!$K$2:$K$101)</x:f>
        <x:v>0</x:v>
      </x:c>
      <x:c r="AE243" s="18" t="n">
        <x:f>AD243-AC243</x:f>
        <x:v>-55</x:v>
      </x:c>
      <x:c r="AF243" t="n">
        <x:f>COUNTIF('Attempt Log'!$B$2:$B$101,A243)</x:f>
        <x:v>0</x:v>
      </x:c>
      <x:c r="AG243" t="n">
        <x:f>IFERROR(SUMIFS('Attempt Log'!$U$2:$U$101,'Attempt Log'!$B$2:$B$101,A243,'Attempt Log'!$N$2:$N$101,"Yes")/COUNTIFS('Attempt Log'!$B$2:$B$101,A243,'Attempt Log'!$N$2:$N$101,"Yes"),0)</x:f>
        <x:v>0</x:v>
      </x:c>
    </x:row>
    <x:row r="244">
      <x:c r="A244" t="str">
        <x:v>env_infernal_fortress_infernal_wall_corner_001</x:v>
      </x:c>
      <x:c r="B244" t="str">
        <x:v>Canto Infernal</x:v>
      </x:c>
      <x:c r="C244" t="str">
        <x:v>Infernal Wall Corner</x:v>
      </x:c>
      <x:c r="D244" t="str">
        <x:v>Task018</x:v>
      </x:c>
      <x:c r="E244" t="str">
        <x:v>Environment</x:v>
      </x:c>
      <x:c r="F244" t="str">
        <x:v>Environment</x:v>
      </x:c>
      <x:c r="G244" t="str">
        <x:v>wall</x:v>
      </x:c>
      <x:c r="H244" t="str">
        <x:v>Season 1 - Arc 3</x:v>
      </x:c>
      <x:c r="I244" t="str">
        <x:v>P1</x:v>
      </x:c>
      <x:c r="J244" t="str">
        <x:v>B23_INFERNAL_ENV_CORE</x:v>
      </x:c>
      <x:c r="K244" t="str">
        <x:v>Image to 3D</x:v>
      </x:c>
      <x:c r="L244" t="str">
        <x:v>Yes</x:v>
      </x:c>
      <x:c r="M244" t="n">
        <x:v>3250</x:v>
      </x:c>
      <x:c r="N244" t="str">
        <x:v>1024x1024</x:v>
      </x:c>
      <x:c r="O244" t="str">
        <x:v>No</x:v>
      </x:c>
      <x:c r="P244" t="str">
        <x:v>None</x:v>
      </x:c>
      <x:c r="Q244" t="str">
        <x:v>Prompts/ConceptArt/env_infernal_fortress_infernal_wall_corner_001_concept_sheet.txt</x:v>
      </x:c>
      <x:c r="R244" t="str">
        <x:v>Prompts/Meshy/env_infernal_fortress_infernal_wall_corner_001_geometry.txt</x:v>
      </x:c>
      <x:c r="S244" t="str">
        <x:v>Prompts/Texture/env_infernal_fortress_infernal_wall_corner_001_texture.txt</x:v>
      </x:c>
      <x:c r="T244" t="n">
        <x:v>2</x:v>
      </x:c>
      <x:c r="U244" t="n">
        <x:v>2</x:v>
      </x:c>
      <x:c r="V244" t="n">
        <x:v>1</x:v>
      </x:c>
      <x:c r="W244" t="n">
        <x:v>1</x:v>
      </x:c>
      <x:c r="X244" t="n">
        <x:v>0</x:v>
      </x:c>
      <x:c r="Y244" t="str">
        <x:v>Silhouette readable; correct scale; grid/pivot compliance; material separation; no baked VFX; LOD budget met; mobile camera test passed</x:v>
      </x:c>
      <x:c r="Z244" t="str">
        <x:v>Assets/_Game/Art/Environments/infernal_fortress/Models</x:v>
      </x:c>
      <x:c r="AA244" t="str">
        <x:v>Not Started</x:v>
      </x:c>
      <x:c r="AB244" t="str">
        <x:v>Pending</x:v>
      </x:c>
      <x:c r="AC244" s="18" t="n">
        <x:f>T244*'Settings &amp; Rates'!$B$5+U244*'Settings &amp; Rates'!$B$6+V244*'Settings &amp; Rates'!$B$7+W244*'Settings &amp; Rates'!$B$8+X244*'Settings &amp; Rates'!$B$9</x:f>
        <x:v>55</x:v>
      </x:c>
      <x:c r="AD244" s="18" t="n">
        <x:f>SUMIF('Attempt Log'!$B$2:$B$101,A244,'Attempt Log'!$K$2:$K$101)</x:f>
        <x:v>0</x:v>
      </x:c>
      <x:c r="AE244" s="18" t="n">
        <x:f>AD244-AC244</x:f>
        <x:v>-55</x:v>
      </x:c>
      <x:c r="AF244" t="n">
        <x:f>COUNTIF('Attempt Log'!$B$2:$B$101,A244)</x:f>
        <x:v>0</x:v>
      </x:c>
      <x:c r="AG244" t="n">
        <x:f>IFERROR(SUMIFS('Attempt Log'!$U$2:$U$101,'Attempt Log'!$B$2:$B$101,A244,'Attempt Log'!$N$2:$N$101,"Yes")/COUNTIFS('Attempt Log'!$B$2:$B$101,A244,'Attempt Log'!$N$2:$N$101,"Yes"),0)</x:f>
        <x:v>0</x:v>
      </x:c>
    </x:row>
    <x:row r="245">
      <x:c r="A245" t="str">
        <x:v>env_infernal_fortress_infernal_wall_straight_001</x:v>
      </x:c>
      <x:c r="B245" t="str">
        <x:v>Muralha Infernal</x:v>
      </x:c>
      <x:c r="C245" t="str">
        <x:v>Infernal Wall</x:v>
      </x:c>
      <x:c r="D245" t="str">
        <x:v>Task018</x:v>
      </x:c>
      <x:c r="E245" t="str">
        <x:v>Environment</x:v>
      </x:c>
      <x:c r="F245" t="str">
        <x:v>Environment</x:v>
      </x:c>
      <x:c r="G245" t="str">
        <x:v>wall</x:v>
      </x:c>
      <x:c r="H245" t="str">
        <x:v>Season 1 - Arc 3</x:v>
      </x:c>
      <x:c r="I245" t="str">
        <x:v>P1</x:v>
      </x:c>
      <x:c r="J245" t="str">
        <x:v>B23_INFERNAL_ENV_CORE</x:v>
      </x:c>
      <x:c r="K245" t="str">
        <x:v>Image to 3D</x:v>
      </x:c>
      <x:c r="L245" t="str">
        <x:v>Yes</x:v>
      </x:c>
      <x:c r="M245" t="n">
        <x:v>2850</x:v>
      </x:c>
      <x:c r="N245" t="str">
        <x:v>1024x1024</x:v>
      </x:c>
      <x:c r="O245" t="str">
        <x:v>No</x:v>
      </x:c>
      <x:c r="P245" t="str">
        <x:v>None</x:v>
      </x:c>
      <x:c r="Q245" t="str">
        <x:v>Prompts/ConceptArt/env_infernal_fortress_infernal_wall_straight_001_concept_sheet.txt</x:v>
      </x:c>
      <x:c r="R245" t="str">
        <x:v>Prompts/Meshy/env_infernal_fortress_infernal_wall_straight_001_geometry.txt</x:v>
      </x:c>
      <x:c r="S245" t="str">
        <x:v>Prompts/Texture/env_infernal_fortress_infernal_wall_straight_001_texture.txt</x:v>
      </x:c>
      <x:c r="T245" t="n">
        <x:v>2</x:v>
      </x:c>
      <x:c r="U245" t="n">
        <x:v>2</x:v>
      </x:c>
      <x:c r="V245" t="n">
        <x:v>1</x:v>
      </x:c>
      <x:c r="W245" t="n">
        <x:v>1</x:v>
      </x:c>
      <x:c r="X245" t="n">
        <x:v>0</x:v>
      </x:c>
      <x:c r="Y245" t="str">
        <x:v>Silhouette readable; correct scale; grid/pivot compliance; material separation; no baked VFX; LOD budget met; mobile camera test passed</x:v>
      </x:c>
      <x:c r="Z245" t="str">
        <x:v>Assets/_Game/Art/Environments/infernal_fortress/Models</x:v>
      </x:c>
      <x:c r="AA245" t="str">
        <x:v>Not Started</x:v>
      </x:c>
      <x:c r="AB245" t="str">
        <x:v>Pending</x:v>
      </x:c>
      <x:c r="AC245" s="18" t="n">
        <x:f>T245*'Settings &amp; Rates'!$B$5+U245*'Settings &amp; Rates'!$B$6+V245*'Settings &amp; Rates'!$B$7+W245*'Settings &amp; Rates'!$B$8+X245*'Settings &amp; Rates'!$B$9</x:f>
        <x:v>55</x:v>
      </x:c>
      <x:c r="AD245" s="18" t="n">
        <x:f>SUMIF('Attempt Log'!$B$2:$B$101,A245,'Attempt Log'!$K$2:$K$101)</x:f>
        <x:v>0</x:v>
      </x:c>
      <x:c r="AE245" s="18" t="n">
        <x:f>AD245-AC245</x:f>
        <x:v>-55</x:v>
      </x:c>
      <x:c r="AF245" t="n">
        <x:f>COUNTIF('Attempt Log'!$B$2:$B$101,A245)</x:f>
        <x:v>0</x:v>
      </x:c>
      <x:c r="AG245" t="n">
        <x:f>IFERROR(SUMIFS('Attempt Log'!$U$2:$U$101,'Attempt Log'!$B$2:$B$101,A245,'Attempt Log'!$N$2:$N$101,"Yes")/COUNTIFS('Attempt Log'!$B$2:$B$101,A245,'Attempt Log'!$N$2:$N$101,"Yes"),0)</x:f>
        <x:v>0</x:v>
      </x:c>
    </x:row>
    <x:row r="246">
      <x:c r="A246" t="str">
        <x:v>env_infernal_fortress_lava_channel_bend_001</x:v>
      </x:c>
      <x:c r="B246" t="str">
        <x:v>Curva de Canal de Lava</x:v>
      </x:c>
      <x:c r="C246" t="str">
        <x:v>Lava Channel Bend</x:v>
      </x:c>
      <x:c r="D246" t="str">
        <x:v>Task018</x:v>
      </x:c>
      <x:c r="E246" t="str">
        <x:v>Environment</x:v>
      </x:c>
      <x:c r="F246" t="str">
        <x:v>Environment</x:v>
      </x:c>
      <x:c r="G246" t="str">
        <x:v>tile</x:v>
      </x:c>
      <x:c r="H246" t="str">
        <x:v>Season 1 - Arc 3</x:v>
      </x:c>
      <x:c r="I246" t="str">
        <x:v>P1</x:v>
      </x:c>
      <x:c r="J246" t="str">
        <x:v>B23_INFERNAL_ENV_CORE</x:v>
      </x:c>
      <x:c r="K246" t="str">
        <x:v>Text to 3D</x:v>
      </x:c>
      <x:c r="L246" t="str">
        <x:v>Optional</x:v>
      </x:c>
      <x:c r="M246" t="n">
        <x:v>1400</x:v>
      </x:c>
      <x:c r="N246" t="str">
        <x:v>1024x1024</x:v>
      </x:c>
      <x:c r="O246" t="str">
        <x:v>No</x:v>
      </x:c>
      <x:c r="P246" t="str">
        <x:v>None</x:v>
      </x:c>
      <x:c r="Q246" t="str">
        <x:v>Prompts/ConceptArt/env_infernal_fortress_lava_channel_bend_001_concept_sheet.txt</x:v>
      </x:c>
      <x:c r="R246" t="str">
        <x:v>Prompts/Meshy/env_infernal_fortress_lava_channel_bend_001_geometry.txt</x:v>
      </x:c>
      <x:c r="S246" t="str">
        <x:v>Prompts/Texture/env_infernal_fortress_lava_channel_bend_001_texture.txt</x:v>
      </x:c>
      <x:c r="T246" t="n">
        <x:v>1</x:v>
      </x:c>
      <x:c r="U246" t="n">
        <x:v>2</x:v>
      </x:c>
      <x:c r="V246" t="n">
        <x:v>1</x:v>
      </x:c>
      <x:c r="W246" t="n">
        <x:v>1</x:v>
      </x:c>
      <x:c r="X246" t="n">
        <x:v>0</x:v>
      </x:c>
      <x:c r="Y246" t="str">
        <x:v>Silhouette readable; correct scale; grid/pivot compliance; material separation; no baked VFX; LOD budget met; mobile camera test passed</x:v>
      </x:c>
      <x:c r="Z246" t="str">
        <x:v>Assets/_Game/Art/Environments/infernal_fortress/Models</x:v>
      </x:c>
      <x:c r="AA246" t="str">
        <x:v>Not Started</x:v>
      </x:c>
      <x:c r="AB246" t="str">
        <x:v>Pending</x:v>
      </x:c>
      <x:c r="AC246" s="18" t="n">
        <x:f>T246*'Settings &amp; Rates'!$B$5+U246*'Settings &amp; Rates'!$B$6+V246*'Settings &amp; Rates'!$B$7+W246*'Settings &amp; Rates'!$B$8+X246*'Settings &amp; Rates'!$B$9</x:f>
        <x:v>55</x:v>
      </x:c>
      <x:c r="AD246" s="18" t="n">
        <x:f>SUMIF('Attempt Log'!$B$2:$B$101,A246,'Attempt Log'!$K$2:$K$101)</x:f>
        <x:v>0</x:v>
      </x:c>
      <x:c r="AE246" s="18" t="n">
        <x:f>AD246-AC246</x:f>
        <x:v>-55</x:v>
      </x:c>
      <x:c r="AF246" t="n">
        <x:f>COUNTIF('Attempt Log'!$B$2:$B$101,A246)</x:f>
        <x:v>0</x:v>
      </x:c>
      <x:c r="AG246" t="n">
        <x:f>IFERROR(SUMIFS('Attempt Log'!$U$2:$U$101,'Attempt Log'!$B$2:$B$101,A246,'Attempt Log'!$N$2:$N$101,"Yes")/COUNTIFS('Attempt Log'!$B$2:$B$101,A246,'Attempt Log'!$N$2:$N$101,"Yes"),0)</x:f>
        <x:v>0</x:v>
      </x:c>
    </x:row>
    <x:row r="247">
      <x:c r="A247" t="str">
        <x:v>env_infernal_fortress_lava_channel_straight_001</x:v>
      </x:c>
      <x:c r="B247" t="str">
        <x:v>Canal de Lava Reto</x:v>
      </x:c>
      <x:c r="C247" t="str">
        <x:v>Straight Lava Channel</x:v>
      </x:c>
      <x:c r="D247" t="str">
        <x:v>Task018</x:v>
      </x:c>
      <x:c r="E247" t="str">
        <x:v>Environment</x:v>
      </x:c>
      <x:c r="F247" t="str">
        <x:v>Environment</x:v>
      </x:c>
      <x:c r="G247" t="str">
        <x:v>tile</x:v>
      </x:c>
      <x:c r="H247" t="str">
        <x:v>Season 1 - Arc 3</x:v>
      </x:c>
      <x:c r="I247" t="str">
        <x:v>P1</x:v>
      </x:c>
      <x:c r="J247" t="str">
        <x:v>B23_INFERNAL_ENV_CORE</x:v>
      </x:c>
      <x:c r="K247" t="str">
        <x:v>Text to 3D</x:v>
      </x:c>
      <x:c r="L247" t="str">
        <x:v>Optional</x:v>
      </x:c>
      <x:c r="M247" t="n">
        <x:v>1250</x:v>
      </x:c>
      <x:c r="N247" t="str">
        <x:v>1024x1024</x:v>
      </x:c>
      <x:c r="O247" t="str">
        <x:v>No</x:v>
      </x:c>
      <x:c r="P247" t="str">
        <x:v>None</x:v>
      </x:c>
      <x:c r="Q247" t="str">
        <x:v>Prompts/ConceptArt/env_infernal_fortress_lava_channel_straight_001_concept_sheet.txt</x:v>
      </x:c>
      <x:c r="R247" t="str">
        <x:v>Prompts/Meshy/env_infernal_fortress_lava_channel_straight_001_geometry.txt</x:v>
      </x:c>
      <x:c r="S247" t="str">
        <x:v>Prompts/Texture/env_infernal_fortress_lava_channel_straight_001_texture.txt</x:v>
      </x:c>
      <x:c r="T247" t="n">
        <x:v>1</x:v>
      </x:c>
      <x:c r="U247" t="n">
        <x:v>2</x:v>
      </x:c>
      <x:c r="V247" t="n">
        <x:v>1</x:v>
      </x:c>
      <x:c r="W247" t="n">
        <x:v>1</x:v>
      </x:c>
      <x:c r="X247" t="n">
        <x:v>0</x:v>
      </x:c>
      <x:c r="Y247" t="str">
        <x:v>Silhouette readable; correct scale; grid/pivot compliance; material separation; no baked VFX; LOD budget met; mobile camera test passed</x:v>
      </x:c>
      <x:c r="Z247" t="str">
        <x:v>Assets/_Game/Art/Environments/infernal_fortress/Models</x:v>
      </x:c>
      <x:c r="AA247" t="str">
        <x:v>Not Started</x:v>
      </x:c>
      <x:c r="AB247" t="str">
        <x:v>Pending</x:v>
      </x:c>
      <x:c r="AC247" s="18" t="n">
        <x:f>T247*'Settings &amp; Rates'!$B$5+U247*'Settings &amp; Rates'!$B$6+V247*'Settings &amp; Rates'!$B$7+W247*'Settings &amp; Rates'!$B$8+X247*'Settings &amp; Rates'!$B$9</x:f>
        <x:v>55</x:v>
      </x:c>
      <x:c r="AD247" s="18" t="n">
        <x:f>SUMIF('Attempt Log'!$B$2:$B$101,A247,'Attempt Log'!$K$2:$K$101)</x:f>
        <x:v>0</x:v>
      </x:c>
      <x:c r="AE247" s="18" t="n">
        <x:f>AD247-AC247</x:f>
        <x:v>-55</x:v>
      </x:c>
      <x:c r="AF247" t="n">
        <x:f>COUNTIF('Attempt Log'!$B$2:$B$101,A247)</x:f>
        <x:v>0</x:v>
      </x:c>
      <x:c r="AG247" t="n">
        <x:f>IFERROR(SUMIFS('Attempt Log'!$U$2:$U$101,'Attempt Log'!$B$2:$B$101,A247,'Attempt Log'!$N$2:$N$101,"Yes")/COUNTIFS('Attempt Log'!$B$2:$B$101,A247,'Attempt Log'!$N$2:$N$101,"Yes"),0)</x:f>
        <x:v>0</x:v>
      </x:c>
    </x:row>
    <x:row r="248">
      <x:c r="A248" t="str">
        <x:v>env_infernal_fortress_lava_fall_001</x:v>
      </x:c>
      <x:c r="B248" t="str">
        <x:v>Cascata de Lava</x:v>
      </x:c>
      <x:c r="C248" t="str">
        <x:v>Lava Fall</x:v>
      </x:c>
      <x:c r="D248" t="str">
        <x:v>Task018</x:v>
      </x:c>
      <x:c r="E248" t="str">
        <x:v>Environment</x:v>
      </x:c>
      <x:c r="F248" t="str">
        <x:v>Environment</x:v>
      </x:c>
      <x:c r="G248" t="str">
        <x:v>environment effect mesh</x:v>
      </x:c>
      <x:c r="H248" t="str">
        <x:v>Season 1 - Arc 3</x:v>
      </x:c>
      <x:c r="I248" t="str">
        <x:v>P1</x:v>
      </x:c>
      <x:c r="J248" t="str">
        <x:v>B23_INFERNAL_ENV_CORE</x:v>
      </x:c>
      <x:c r="K248" t="str">
        <x:v>Image to 3D</x:v>
      </x:c>
      <x:c r="L248" t="str">
        <x:v>Yes</x:v>
      </x:c>
      <x:c r="M248" t="n">
        <x:v>2000</x:v>
      </x:c>
      <x:c r="N248" t="str">
        <x:v>1024x1024</x:v>
      </x:c>
      <x:c r="O248" t="str">
        <x:v>No</x:v>
      </x:c>
      <x:c r="P248" t="str">
        <x:v>None</x:v>
      </x:c>
      <x:c r="Q248" t="str">
        <x:v>Prompts/ConceptArt/env_infernal_fortress_lava_fall_001_concept_sheet.txt</x:v>
      </x:c>
      <x:c r="R248" t="str">
        <x:v>Prompts/Meshy/env_infernal_fortress_lava_fall_001_geometry.txt</x:v>
      </x:c>
      <x:c r="S248" t="str">
        <x:v>Prompts/Texture/env_infernal_fortress_lava_fall_001_texture.txt</x:v>
      </x:c>
      <x:c r="T248" t="n">
        <x:v>2</x:v>
      </x:c>
      <x:c r="U248" t="n">
        <x:v>2</x:v>
      </x:c>
      <x:c r="V248" t="n">
        <x:v>1</x:v>
      </x:c>
      <x:c r="W248" t="n">
        <x:v>1</x:v>
      </x:c>
      <x:c r="X248" t="n">
        <x:v>0</x:v>
      </x:c>
      <x:c r="Y248" t="str">
        <x:v>Silhouette readable; correct scale; grid/pivot compliance; material separation; no baked VFX; LOD budget met; mobile camera test passed</x:v>
      </x:c>
      <x:c r="Z248" t="str">
        <x:v>Assets/_Game/Art/Environments/infernal_fortress/Models</x:v>
      </x:c>
      <x:c r="AA248" t="str">
        <x:v>Not Started</x:v>
      </x:c>
      <x:c r="AB248" t="str">
        <x:v>Pending</x:v>
      </x:c>
      <x:c r="AC248" s="18" t="n">
        <x:f>T248*'Settings &amp; Rates'!$B$5+U248*'Settings &amp; Rates'!$B$6+V248*'Settings &amp; Rates'!$B$7+W248*'Settings &amp; Rates'!$B$8+X248*'Settings &amp; Rates'!$B$9</x:f>
        <x:v>55</x:v>
      </x:c>
      <x:c r="AD248" s="18" t="n">
        <x:f>SUMIF('Attempt Log'!$B$2:$B$101,A248,'Attempt Log'!$K$2:$K$101)</x:f>
        <x:v>0</x:v>
      </x:c>
      <x:c r="AE248" s="18" t="n">
        <x:f>AD248-AC248</x:f>
        <x:v>-55</x:v>
      </x:c>
      <x:c r="AF248" t="n">
        <x:f>COUNTIF('Attempt Log'!$B$2:$B$101,A248)</x:f>
        <x:v>0</x:v>
      </x:c>
      <x:c r="AG248" t="n">
        <x:f>IFERROR(SUMIFS('Attempt Log'!$U$2:$U$101,'Attempt Log'!$B$2:$B$101,A248,'Attempt Log'!$N$2:$N$101,"Yes")/COUNTIFS('Attempt Log'!$B$2:$B$101,A248,'Attempt Log'!$N$2:$N$101,"Yes"),0)</x:f>
        <x:v>0</x:v>
      </x:c>
    </x:row>
    <x:row r="249">
      <x:c r="A249" t="str">
        <x:v>env_infernal_fortress_demon_lord_throne_001</x:v>
      </x:c>
      <x:c r="B249" t="str">
        <x:v>Trono do Lorde Demônio</x:v>
      </x:c>
      <x:c r="C249" t="str">
        <x:v>Demon Lord Throne</x:v>
      </x:c>
      <x:c r="D249" t="str">
        <x:v>Task018</x:v>
      </x:c>
      <x:c r="E249" t="str">
        <x:v>Environment</x:v>
      </x:c>
      <x:c r="F249" t="str">
        <x:v>Environment</x:v>
      </x:c>
      <x:c r="G249" t="str">
        <x:v>hero prop</x:v>
      </x:c>
      <x:c r="H249" t="str">
        <x:v>Season 1 - Arc 3</x:v>
      </x:c>
      <x:c r="I249" t="str">
        <x:v>P1</x:v>
      </x:c>
      <x:c r="J249" t="str">
        <x:v>B24_INFERNAL_ENV_PROPS</x:v>
      </x:c>
      <x:c r="K249" t="str">
        <x:v>Image to 3D</x:v>
      </x:c>
      <x:c r="L249" t="str">
        <x:v>Yes</x:v>
      </x:c>
      <x:c r="M249" t="n">
        <x:v>6250</x:v>
      </x:c>
      <x:c r="N249" t="str">
        <x:v>1024x1024</x:v>
      </x:c>
      <x:c r="O249" t="str">
        <x:v>No</x:v>
      </x:c>
      <x:c r="P249" t="str">
        <x:v>None</x:v>
      </x:c>
      <x:c r="Q249" t="str">
        <x:v>Prompts/ConceptArt/env_infernal_fortress_demon_lord_throne_001_concept_sheet.txt</x:v>
      </x:c>
      <x:c r="R249" t="str">
        <x:v>Prompts/Meshy/env_infernal_fortress_demon_lord_throne_001_geometry.txt</x:v>
      </x:c>
      <x:c r="S249" t="str">
        <x:v>Prompts/Texture/env_infernal_fortress_demon_lord_throne_001_texture.txt</x:v>
      </x:c>
      <x:c r="T249" t="n">
        <x:v>2</x:v>
      </x:c>
      <x:c r="U249" t="n">
        <x:v>2</x:v>
      </x:c>
      <x:c r="V249" t="n">
        <x:v>1</x:v>
      </x:c>
      <x:c r="W249" t="n">
        <x:v>1</x:v>
      </x:c>
      <x:c r="X249" t="n">
        <x:v>0</x:v>
      </x:c>
      <x:c r="Y249" t="str">
        <x:v>Silhouette readable; correct scale; grid/pivot compliance; material separation; no baked VFX; LOD budget met; mobile camera test passed</x:v>
      </x:c>
      <x:c r="Z249" t="str">
        <x:v>Assets/_Game/Art/Environments/infernal_fortress/Models</x:v>
      </x:c>
      <x:c r="AA249" t="str">
        <x:v>Not Started</x:v>
      </x:c>
      <x:c r="AB249" t="str">
        <x:v>Pending</x:v>
      </x:c>
      <x:c r="AC249" s="18" t="n">
        <x:f>T249*'Settings &amp; Rates'!$B$5+U249*'Settings &amp; Rates'!$B$6+V249*'Settings &amp; Rates'!$B$7+W249*'Settings &amp; Rates'!$B$8+X249*'Settings &amp; Rates'!$B$9</x:f>
        <x:v>55</x:v>
      </x:c>
      <x:c r="AD249" s="18" t="n">
        <x:f>SUMIF('Attempt Log'!$B$2:$B$101,A249,'Attempt Log'!$K$2:$K$101)</x:f>
        <x:v>0</x:v>
      </x:c>
      <x:c r="AE249" s="18" t="n">
        <x:f>AD249-AC249</x:f>
        <x:v>-55</x:v>
      </x:c>
      <x:c r="AF249" t="n">
        <x:f>COUNTIF('Attempt Log'!$B$2:$B$101,A249)</x:f>
        <x:v>0</x:v>
      </x:c>
      <x:c r="AG249" t="n">
        <x:f>IFERROR(SUMIFS('Attempt Log'!$U$2:$U$101,'Attempt Log'!$B$2:$B$101,A249,'Attempt Log'!$N$2:$N$101,"Yes")/COUNTIFS('Attempt Log'!$B$2:$B$101,A249,'Attempt Log'!$N$2:$N$101,"Yes"),0)</x:f>
        <x:v>0</x:v>
      </x:c>
    </x:row>
    <x:row r="250">
      <x:c r="A250" t="str">
        <x:v>env_infernal_fortress_demon_weapon_rack_001</x:v>
      </x:c>
      <x:c r="B250" t="str">
        <x:v>Arsenal Demoníaco</x:v>
      </x:c>
      <x:c r="C250" t="str">
        <x:v>Demon Weapon Rack</x:v>
      </x:c>
      <x:c r="D250" t="str">
        <x:v>Task018</x:v>
      </x:c>
      <x:c r="E250" t="str">
        <x:v>Environment</x:v>
      </x:c>
      <x:c r="F250" t="str">
        <x:v>Environment</x:v>
      </x:c>
      <x:c r="G250" t="str">
        <x:v>prop</x:v>
      </x:c>
      <x:c r="H250" t="str">
        <x:v>Season 1 - Arc 3</x:v>
      </x:c>
      <x:c r="I250" t="str">
        <x:v>P1</x:v>
      </x:c>
      <x:c r="J250" t="str">
        <x:v>B24_INFERNAL_ENV_PROPS</x:v>
      </x:c>
      <x:c r="K250" t="str">
        <x:v>Text to 3D</x:v>
      </x:c>
      <x:c r="L250" t="str">
        <x:v>Optional</x:v>
      </x:c>
      <x:c r="M250" t="n">
        <x:v>2100</x:v>
      </x:c>
      <x:c r="N250" t="str">
        <x:v>1024x1024</x:v>
      </x:c>
      <x:c r="O250" t="str">
        <x:v>No</x:v>
      </x:c>
      <x:c r="P250" t="str">
        <x:v>None</x:v>
      </x:c>
      <x:c r="Q250" t="str">
        <x:v>Prompts/ConceptArt/env_infernal_fortress_demon_weapon_rack_001_concept_sheet.txt</x:v>
      </x:c>
      <x:c r="R250" t="str">
        <x:v>Prompts/Meshy/env_infernal_fortress_demon_weapon_rack_001_geometry.txt</x:v>
      </x:c>
      <x:c r="S250" t="str">
        <x:v>Prompts/Texture/env_infernal_fortress_demon_weapon_rack_001_texture.txt</x:v>
      </x:c>
      <x:c r="T250" t="n">
        <x:v>1</x:v>
      </x:c>
      <x:c r="U250" t="n">
        <x:v>2</x:v>
      </x:c>
      <x:c r="V250" t="n">
        <x:v>1</x:v>
      </x:c>
      <x:c r="W250" t="n">
        <x:v>1</x:v>
      </x:c>
      <x:c r="X250" t="n">
        <x:v>0</x:v>
      </x:c>
      <x:c r="Y250" t="str">
        <x:v>Silhouette readable; correct scale; grid/pivot compliance; material separation; no baked VFX; LOD budget met; mobile camera test passed</x:v>
      </x:c>
      <x:c r="Z250" t="str">
        <x:v>Assets/_Game/Art/Environments/infernal_fortress/Models</x:v>
      </x:c>
      <x:c r="AA250" t="str">
        <x:v>Not Started</x:v>
      </x:c>
      <x:c r="AB250" t="str">
        <x:v>Pending</x:v>
      </x:c>
      <x:c r="AC250" s="18" t="n">
        <x:f>T250*'Settings &amp; Rates'!$B$5+U250*'Settings &amp; Rates'!$B$6+V250*'Settings &amp; Rates'!$B$7+W250*'Settings &amp; Rates'!$B$8+X250*'Settings &amp; Rates'!$B$9</x:f>
        <x:v>55</x:v>
      </x:c>
      <x:c r="AD250" s="18" t="n">
        <x:f>SUMIF('Attempt Log'!$B$2:$B$101,A250,'Attempt Log'!$K$2:$K$101)</x:f>
        <x:v>0</x:v>
      </x:c>
      <x:c r="AE250" s="18" t="n">
        <x:f>AD250-AC250</x:f>
        <x:v>-55</x:v>
      </x:c>
      <x:c r="AF250" t="n">
        <x:f>COUNTIF('Attempt Log'!$B$2:$B$101,A250)</x:f>
        <x:v>0</x:v>
      </x:c>
      <x:c r="AG250" t="n">
        <x:f>IFERROR(SUMIFS('Attempt Log'!$U$2:$U$101,'Attempt Log'!$B$2:$B$101,A250,'Attempt Log'!$N$2:$N$101,"Yes")/COUNTIFS('Attempt Log'!$B$2:$B$101,A250,'Attempt Log'!$N$2:$N$101,"Yes"),0)</x:f>
        <x:v>0</x:v>
      </x:c>
    </x:row>
    <x:row r="251">
      <x:c r="A251" t="str">
        <x:v>env_infernal_fortress_infernal_arena_ring_001</x:v>
      </x:c>
      <x:c r="B251" t="str">
        <x:v>Anel da Arena Infernal</x:v>
      </x:c>
      <x:c r="C251" t="str">
        <x:v>Infernal Arena Ring</x:v>
      </x:c>
      <x:c r="D251" t="str">
        <x:v>Task018</x:v>
      </x:c>
      <x:c r="E251" t="str">
        <x:v>Environment</x:v>
      </x:c>
      <x:c r="F251" t="str">
        <x:v>Environment</x:v>
      </x:c>
      <x:c r="G251" t="str">
        <x:v>large prop</x:v>
      </x:c>
      <x:c r="H251" t="str">
        <x:v>Season 1 - Arc 3</x:v>
      </x:c>
      <x:c r="I251" t="str">
        <x:v>P1</x:v>
      </x:c>
      <x:c r="J251" t="str">
        <x:v>B24_INFERNAL_ENV_PROPS</x:v>
      </x:c>
      <x:c r="K251" t="str">
        <x:v>Image to 3D</x:v>
      </x:c>
      <x:c r="L251" t="str">
        <x:v>Yes</x:v>
      </x:c>
      <x:c r="M251" t="n">
        <x:v>4750</x:v>
      </x:c>
      <x:c r="N251" t="str">
        <x:v>1024x1024</x:v>
      </x:c>
      <x:c r="O251" t="str">
        <x:v>No</x:v>
      </x:c>
      <x:c r="P251" t="str">
        <x:v>None</x:v>
      </x:c>
      <x:c r="Q251" t="str">
        <x:v>Prompts/ConceptArt/env_infernal_fortress_infernal_arena_ring_001_concept_sheet.txt</x:v>
      </x:c>
      <x:c r="R251" t="str">
        <x:v>Prompts/Meshy/env_infernal_fortress_infernal_arena_ring_001_geometry.txt</x:v>
      </x:c>
      <x:c r="S251" t="str">
        <x:v>Prompts/Texture/env_infernal_fortress_infernal_arena_ring_001_texture.txt</x:v>
      </x:c>
      <x:c r="T251" t="n">
        <x:v>2</x:v>
      </x:c>
      <x:c r="U251" t="n">
        <x:v>2</x:v>
      </x:c>
      <x:c r="V251" t="n">
        <x:v>1</x:v>
      </x:c>
      <x:c r="W251" t="n">
        <x:v>1</x:v>
      </x:c>
      <x:c r="X251" t="n">
        <x:v>0</x:v>
      </x:c>
      <x:c r="Y251" t="str">
        <x:v>Silhouette readable; correct scale; grid/pivot compliance; material separation; no baked VFX; LOD budget met; mobile camera test passed</x:v>
      </x:c>
      <x:c r="Z251" t="str">
        <x:v>Assets/_Game/Art/Environments/infernal_fortress/Models</x:v>
      </x:c>
      <x:c r="AA251" t="str">
        <x:v>Not Started</x:v>
      </x:c>
      <x:c r="AB251" t="str">
        <x:v>Pending</x:v>
      </x:c>
      <x:c r="AC251" s="18" t="n">
        <x:f>T251*'Settings &amp; Rates'!$B$5+U251*'Settings &amp; Rates'!$B$6+V251*'Settings &amp; Rates'!$B$7+W251*'Settings &amp; Rates'!$B$8+X251*'Settings &amp; Rates'!$B$9</x:f>
        <x:v>55</x:v>
      </x:c>
      <x:c r="AD251" s="18" t="n">
        <x:f>SUMIF('Attempt Log'!$B$2:$B$101,A251,'Attempt Log'!$K$2:$K$101)</x:f>
        <x:v>0</x:v>
      </x:c>
      <x:c r="AE251" s="18" t="n">
        <x:f>AD251-AC251</x:f>
        <x:v>-55</x:v>
      </x:c>
      <x:c r="AF251" t="n">
        <x:f>COUNTIF('Attempt Log'!$B$2:$B$101,A251)</x:f>
        <x:v>0</x:v>
      </x:c>
      <x:c r="AG251" t="n">
        <x:f>IFERROR(SUMIFS('Attempt Log'!$U$2:$U$101,'Attempt Log'!$B$2:$B$101,A251,'Attempt Log'!$N$2:$N$101,"Yes")/COUNTIFS('Attempt Log'!$B$2:$B$101,A251,'Attempt Log'!$N$2:$N$101,"Yes"),0)</x:f>
        <x:v>0</x:v>
      </x:c>
    </x:row>
    <x:row r="252">
      <x:c r="A252" t="str">
        <x:v>env_infernal_fortress_infernal_brazier_001</x:v>
      </x:c>
      <x:c r="B252" t="str">
        <x:v>Braseiro Infernal</x:v>
      </x:c>
      <x:c r="C252" t="str">
        <x:v>Infernal Brazier</x:v>
      </x:c>
      <x:c r="D252" t="str">
        <x:v>Task018</x:v>
      </x:c>
      <x:c r="E252" t="str">
        <x:v>Environment</x:v>
      </x:c>
      <x:c r="F252" t="str">
        <x:v>Environment</x:v>
      </x:c>
      <x:c r="G252" t="str">
        <x:v>prop</x:v>
      </x:c>
      <x:c r="H252" t="str">
        <x:v>Season 1 - Arc 3</x:v>
      </x:c>
      <x:c r="I252" t="str">
        <x:v>P1</x:v>
      </x:c>
      <x:c r="J252" t="str">
        <x:v>B24_INFERNAL_ENV_PROPS</x:v>
      </x:c>
      <x:c r="K252" t="str">
        <x:v>Text to 3D</x:v>
      </x:c>
      <x:c r="L252" t="str">
        <x:v>Optional</x:v>
      </x:c>
      <x:c r="M252" t="n">
        <x:v>1400</x:v>
      </x:c>
      <x:c r="N252" t="str">
        <x:v>1024x1024</x:v>
      </x:c>
      <x:c r="O252" t="str">
        <x:v>No</x:v>
      </x:c>
      <x:c r="P252" t="str">
        <x:v>None</x:v>
      </x:c>
      <x:c r="Q252" t="str">
        <x:v>Prompts/ConceptArt/env_infernal_fortress_infernal_brazier_001_concept_sheet.txt</x:v>
      </x:c>
      <x:c r="R252" t="str">
        <x:v>Prompts/Meshy/env_infernal_fortress_infernal_brazier_001_geometry.txt</x:v>
      </x:c>
      <x:c r="S252" t="str">
        <x:v>Prompts/Texture/env_infernal_fortress_infernal_brazier_001_texture.txt</x:v>
      </x:c>
      <x:c r="T252" t="n">
        <x:v>1</x:v>
      </x:c>
      <x:c r="U252" t="n">
        <x:v>2</x:v>
      </x:c>
      <x:c r="V252" t="n">
        <x:v>1</x:v>
      </x:c>
      <x:c r="W252" t="n">
        <x:v>1</x:v>
      </x:c>
      <x:c r="X252" t="n">
        <x:v>0</x:v>
      </x:c>
      <x:c r="Y252" t="str">
        <x:v>Silhouette readable; correct scale; grid/pivot compliance; material separation; no baked VFX; LOD budget met; mobile camera test passed</x:v>
      </x:c>
      <x:c r="Z252" t="str">
        <x:v>Assets/_Game/Art/Environments/infernal_fortress/Models</x:v>
      </x:c>
      <x:c r="AA252" t="str">
        <x:v>Not Started</x:v>
      </x:c>
      <x:c r="AB252" t="str">
        <x:v>Pending</x:v>
      </x:c>
      <x:c r="AC252" s="18" t="n">
        <x:f>T252*'Settings &amp; Rates'!$B$5+U252*'Settings &amp; Rates'!$B$6+V252*'Settings &amp; Rates'!$B$7+W252*'Settings &amp; Rates'!$B$8+X252*'Settings &amp; Rates'!$B$9</x:f>
        <x:v>55</x:v>
      </x:c>
      <x:c r="AD252" s="18" t="n">
        <x:f>SUMIF('Attempt Log'!$B$2:$B$101,A252,'Attempt Log'!$K$2:$K$101)</x:f>
        <x:v>0</x:v>
      </x:c>
      <x:c r="AE252" s="18" t="n">
        <x:f>AD252-AC252</x:f>
        <x:v>-55</x:v>
      </x:c>
      <x:c r="AF252" t="n">
        <x:f>COUNTIF('Attempt Log'!$B$2:$B$101,A252)</x:f>
        <x:v>0</x:v>
      </x:c>
      <x:c r="AG252" t="n">
        <x:f>IFERROR(SUMIFS('Attempt Log'!$U$2:$U$101,'Attempt Log'!$B$2:$B$101,A252,'Attempt Log'!$N$2:$N$101,"Yes")/COUNTIFS('Attempt Log'!$B$2:$B$101,A252,'Attempt Log'!$N$2:$N$101,"Yes"),0)</x:f>
        <x:v>0</x:v>
      </x:c>
    </x:row>
    <x:row r="253">
      <x:c r="A253" t="str">
        <x:v>env_infernal_fortress_infernal_bridge_001</x:v>
      </x:c>
      <x:c r="B253" t="str">
        <x:v>Ponte Infernal</x:v>
      </x:c>
      <x:c r="C253" t="str">
        <x:v>Infernal Bridge</x:v>
      </x:c>
      <x:c r="D253" t="str">
        <x:v>Task018</x:v>
      </x:c>
      <x:c r="E253" t="str">
        <x:v>Environment</x:v>
      </x:c>
      <x:c r="F253" t="str">
        <x:v>Environment</x:v>
      </x:c>
      <x:c r="G253" t="str">
        <x:v>large prop</x:v>
      </x:c>
      <x:c r="H253" t="str">
        <x:v>Season 1 - Arc 3</x:v>
      </x:c>
      <x:c r="I253" t="str">
        <x:v>P1</x:v>
      </x:c>
      <x:c r="J253" t="str">
        <x:v>B24_INFERNAL_ENV_PROPS</x:v>
      </x:c>
      <x:c r="K253" t="str">
        <x:v>Image to 3D</x:v>
      </x:c>
      <x:c r="L253" t="str">
        <x:v>Yes</x:v>
      </x:c>
      <x:c r="M253" t="n">
        <x:v>4500</x:v>
      </x:c>
      <x:c r="N253" t="str">
        <x:v>1024x1024</x:v>
      </x:c>
      <x:c r="O253" t="str">
        <x:v>No</x:v>
      </x:c>
      <x:c r="P253" t="str">
        <x:v>None</x:v>
      </x:c>
      <x:c r="Q253" t="str">
        <x:v>Prompts/ConceptArt/env_infernal_fortress_infernal_bridge_001_concept_sheet.txt</x:v>
      </x:c>
      <x:c r="R253" t="str">
        <x:v>Prompts/Meshy/env_infernal_fortress_infernal_bridge_001_geometry.txt</x:v>
      </x:c>
      <x:c r="S253" t="str">
        <x:v>Prompts/Texture/env_infernal_fortress_infernal_bridge_001_texture.txt</x:v>
      </x:c>
      <x:c r="T253" t="n">
        <x:v>2</x:v>
      </x:c>
      <x:c r="U253" t="n">
        <x:v>2</x:v>
      </x:c>
      <x:c r="V253" t="n">
        <x:v>1</x:v>
      </x:c>
      <x:c r="W253" t="n">
        <x:v>1</x:v>
      </x:c>
      <x:c r="X253" t="n">
        <x:v>0</x:v>
      </x:c>
      <x:c r="Y253" t="str">
        <x:v>Silhouette readable; correct scale; grid/pivot compliance; material separation; no baked VFX; LOD budget met; mobile camera test passed</x:v>
      </x:c>
      <x:c r="Z253" t="str">
        <x:v>Assets/_Game/Art/Environments/infernal_fortress/Models</x:v>
      </x:c>
      <x:c r="AA253" t="str">
        <x:v>Not Started</x:v>
      </x:c>
      <x:c r="AB253" t="str">
        <x:v>Pending</x:v>
      </x:c>
      <x:c r="AC253" s="18" t="n">
        <x:f>T253*'Settings &amp; Rates'!$B$5+U253*'Settings &amp; Rates'!$B$6+V253*'Settings &amp; Rates'!$B$7+W253*'Settings &amp; Rates'!$B$8+X253*'Settings &amp; Rates'!$B$9</x:f>
        <x:v>55</x:v>
      </x:c>
      <x:c r="AD253" s="18" t="n">
        <x:f>SUMIF('Attempt Log'!$B$2:$B$101,A253,'Attempt Log'!$K$2:$K$101)</x:f>
        <x:v>0</x:v>
      </x:c>
      <x:c r="AE253" s="18" t="n">
        <x:f>AD253-AC253</x:f>
        <x:v>-55</x:v>
      </x:c>
      <x:c r="AF253" t="n">
        <x:f>COUNTIF('Attempt Log'!$B$2:$B$101,A253)</x:f>
        <x:v>0</x:v>
      </x:c>
      <x:c r="AG253" t="n">
        <x:f>IFERROR(SUMIFS('Attempt Log'!$U$2:$U$101,'Attempt Log'!$B$2:$B$101,A253,'Attempt Log'!$N$2:$N$101,"Yes")/COUNTIFS('Attempt Log'!$B$2:$B$101,A253,'Attempt Log'!$N$2:$N$101,"Yes"),0)</x:f>
        <x:v>0</x:v>
      </x:c>
    </x:row>
    <x:row r="254">
      <x:c r="A254" t="str">
        <x:v>env_infernal_fortress_infernal_cage_001</x:v>
      </x:c>
      <x:c r="B254" t="str">
        <x:v>Jaula Infernal</x:v>
      </x:c>
      <x:c r="C254" t="str">
        <x:v>Infernal Cage</x:v>
      </x:c>
      <x:c r="D254" t="str">
        <x:v>Task018</x:v>
      </x:c>
      <x:c r="E254" t="str">
        <x:v>Environment</x:v>
      </x:c>
      <x:c r="F254" t="str">
        <x:v>Environment</x:v>
      </x:c>
      <x:c r="G254" t="str">
        <x:v>prop</x:v>
      </x:c>
      <x:c r="H254" t="str">
        <x:v>Season 1 - Arc 3</x:v>
      </x:c>
      <x:c r="I254" t="str">
        <x:v>P1</x:v>
      </x:c>
      <x:c r="J254" t="str">
        <x:v>B24_INFERNAL_ENV_PROPS</x:v>
      </x:c>
      <x:c r="K254" t="str">
        <x:v>Text to 3D</x:v>
      </x:c>
      <x:c r="L254" t="str">
        <x:v>Optional</x:v>
      </x:c>
      <x:c r="M254" t="n">
        <x:v>1900</x:v>
      </x:c>
      <x:c r="N254" t="str">
        <x:v>1024x1024</x:v>
      </x:c>
      <x:c r="O254" t="str">
        <x:v>No</x:v>
      </x:c>
      <x:c r="P254" t="str">
        <x:v>None</x:v>
      </x:c>
      <x:c r="Q254" t="str">
        <x:v>Prompts/ConceptArt/env_infernal_fortress_infernal_cage_001_concept_sheet.txt</x:v>
      </x:c>
      <x:c r="R254" t="str">
        <x:v>Prompts/Meshy/env_infernal_fortress_infernal_cage_001_geometry.txt</x:v>
      </x:c>
      <x:c r="S254" t="str">
        <x:v>Prompts/Texture/env_infernal_fortress_infernal_cage_001_texture.txt</x:v>
      </x:c>
      <x:c r="T254" t="n">
        <x:v>1</x:v>
      </x:c>
      <x:c r="U254" t="n">
        <x:v>2</x:v>
      </x:c>
      <x:c r="V254" t="n">
        <x:v>1</x:v>
      </x:c>
      <x:c r="W254" t="n">
        <x:v>1</x:v>
      </x:c>
      <x:c r="X254" t="n">
        <x:v>0</x:v>
      </x:c>
      <x:c r="Y254" t="str">
        <x:v>Silhouette readable; correct scale; grid/pivot compliance; material separation; no baked VFX; LOD budget met; mobile camera test passed</x:v>
      </x:c>
      <x:c r="Z254" t="str">
        <x:v>Assets/_Game/Art/Environments/infernal_fortress/Models</x:v>
      </x:c>
      <x:c r="AA254" t="str">
        <x:v>Not Started</x:v>
      </x:c>
      <x:c r="AB254" t="str">
        <x:v>Pending</x:v>
      </x:c>
      <x:c r="AC254" s="18" t="n">
        <x:f>T254*'Settings &amp; Rates'!$B$5+U254*'Settings &amp; Rates'!$B$6+V254*'Settings &amp; Rates'!$B$7+W254*'Settings &amp; Rates'!$B$8+X254*'Settings &amp; Rates'!$B$9</x:f>
        <x:v>55</x:v>
      </x:c>
      <x:c r="AD254" s="18" t="n">
        <x:f>SUMIF('Attempt Log'!$B$2:$B$101,A254,'Attempt Log'!$K$2:$K$101)</x:f>
        <x:v>0</x:v>
      </x:c>
      <x:c r="AE254" s="18" t="n">
        <x:f>AD254-AC254</x:f>
        <x:v>-55</x:v>
      </x:c>
      <x:c r="AF254" t="n">
        <x:f>COUNTIF('Attempt Log'!$B$2:$B$101,A254)</x:f>
        <x:v>0</x:v>
      </x:c>
      <x:c r="AG254" t="n">
        <x:f>IFERROR(SUMIFS('Attempt Log'!$U$2:$U$101,'Attempt Log'!$B$2:$B$101,A254,'Attempt Log'!$N$2:$N$101,"Yes")/COUNTIFS('Attempt Log'!$B$2:$B$101,A254,'Attempt Log'!$N$2:$N$101,"Yes"),0)</x:f>
        <x:v>0</x:v>
      </x:c>
    </x:row>
    <x:row r="255">
      <x:c r="A255" t="str">
        <x:v>env_infernal_fortress_infernal_chain_001</x:v>
      </x:c>
      <x:c r="B255" t="str">
        <x:v>Corrente Infernal</x:v>
      </x:c>
      <x:c r="C255" t="str">
        <x:v>Infernal Chain</x:v>
      </x:c>
      <x:c r="D255" t="str">
        <x:v>Task018</x:v>
      </x:c>
      <x:c r="E255" t="str">
        <x:v>Environment</x:v>
      </x:c>
      <x:c r="F255" t="str">
        <x:v>Environment</x:v>
      </x:c>
      <x:c r="G255" t="str">
        <x:v>prop</x:v>
      </x:c>
      <x:c r="H255" t="str">
        <x:v>Season 1 - Arc 3</x:v>
      </x:c>
      <x:c r="I255" t="str">
        <x:v>P1</x:v>
      </x:c>
      <x:c r="J255" t="str">
        <x:v>B24_INFERNAL_ENV_PROPS</x:v>
      </x:c>
      <x:c r="K255" t="str">
        <x:v>Text to 3D</x:v>
      </x:c>
      <x:c r="L255" t="str">
        <x:v>Optional</x:v>
      </x:c>
      <x:c r="M255" t="n">
        <x:v>700</x:v>
      </x:c>
      <x:c r="N255" t="str">
        <x:v>1024x1024</x:v>
      </x:c>
      <x:c r="O255" t="str">
        <x:v>No</x:v>
      </x:c>
      <x:c r="P255" t="str">
        <x:v>None</x:v>
      </x:c>
      <x:c r="Q255" t="str">
        <x:v>Prompts/ConceptArt/env_infernal_fortress_infernal_chain_001_concept_sheet.txt</x:v>
      </x:c>
      <x:c r="R255" t="str">
        <x:v>Prompts/Meshy/env_infernal_fortress_infernal_chain_001_geometry.txt</x:v>
      </x:c>
      <x:c r="S255" t="str">
        <x:v>Prompts/Texture/env_infernal_fortress_infernal_chain_001_texture.txt</x:v>
      </x:c>
      <x:c r="T255" t="n">
        <x:v>1</x:v>
      </x:c>
      <x:c r="U255" t="n">
        <x:v>2</x:v>
      </x:c>
      <x:c r="V255" t="n">
        <x:v>1</x:v>
      </x:c>
      <x:c r="W255" t="n">
        <x:v>1</x:v>
      </x:c>
      <x:c r="X255" t="n">
        <x:v>0</x:v>
      </x:c>
      <x:c r="Y255" t="str">
        <x:v>Silhouette readable; correct scale; grid/pivot compliance; material separation; no baked VFX; LOD budget met; mobile camera test passed</x:v>
      </x:c>
      <x:c r="Z255" t="str">
        <x:v>Assets/_Game/Art/Environments/infernal_fortress/Models</x:v>
      </x:c>
      <x:c r="AA255" t="str">
        <x:v>Not Started</x:v>
      </x:c>
      <x:c r="AB255" t="str">
        <x:v>Pending</x:v>
      </x:c>
      <x:c r="AC255" s="18" t="n">
        <x:f>T255*'Settings &amp; Rates'!$B$5+U255*'Settings &amp; Rates'!$B$6+V255*'Settings &amp; Rates'!$B$7+W255*'Settings &amp; Rates'!$B$8+X255*'Settings &amp; Rates'!$B$9</x:f>
        <x:v>55</x:v>
      </x:c>
      <x:c r="AD255" s="18" t="n">
        <x:f>SUMIF('Attempt Log'!$B$2:$B$101,A255,'Attempt Log'!$K$2:$K$101)</x:f>
        <x:v>0</x:v>
      </x:c>
      <x:c r="AE255" s="18" t="n">
        <x:f>AD255-AC255</x:f>
        <x:v>-55</x:v>
      </x:c>
      <x:c r="AF255" t="n">
        <x:f>COUNTIF('Attempt Log'!$B$2:$B$101,A255)</x:f>
        <x:v>0</x:v>
      </x:c>
      <x:c r="AG255" t="n">
        <x:f>IFERROR(SUMIFS('Attempt Log'!$U$2:$U$101,'Attempt Log'!$B$2:$B$101,A255,'Attempt Log'!$N$2:$N$101,"Yes")/COUNTIFS('Attempt Log'!$B$2:$B$101,A255,'Attempt Log'!$N$2:$N$101,"Yes"),0)</x:f>
        <x:v>0</x:v>
      </x:c>
    </x:row>
    <x:row r="256">
      <x:c r="A256" t="str">
        <x:v>env_infernal_fortress_infernal_crystal_001</x:v>
      </x:c>
      <x:c r="B256" t="str">
        <x:v>Cristal Infernal</x:v>
      </x:c>
      <x:c r="C256" t="str">
        <x:v>Infernal Crystal</x:v>
      </x:c>
      <x:c r="D256" t="str">
        <x:v>Task018</x:v>
      </x:c>
      <x:c r="E256" t="str">
        <x:v>Environment</x:v>
      </x:c>
      <x:c r="F256" t="str">
        <x:v>Environment</x:v>
      </x:c>
      <x:c r="G256" t="str">
        <x:v>prop</x:v>
      </x:c>
      <x:c r="H256" t="str">
        <x:v>Season 1 - Arc 3</x:v>
      </x:c>
      <x:c r="I256" t="str">
        <x:v>P1</x:v>
      </x:c>
      <x:c r="J256" t="str">
        <x:v>B24_INFERNAL_ENV_PROPS</x:v>
      </x:c>
      <x:c r="K256" t="str">
        <x:v>Text to 3D</x:v>
      </x:c>
      <x:c r="L256" t="str">
        <x:v>Optional</x:v>
      </x:c>
      <x:c r="M256" t="n">
        <x:v>1100</x:v>
      </x:c>
      <x:c r="N256" t="str">
        <x:v>1024x1024</x:v>
      </x:c>
      <x:c r="O256" t="str">
        <x:v>No</x:v>
      </x:c>
      <x:c r="P256" t="str">
        <x:v>None</x:v>
      </x:c>
      <x:c r="Q256" t="str">
        <x:v>Prompts/ConceptArt/env_infernal_fortress_infernal_crystal_001_concept_sheet.txt</x:v>
      </x:c>
      <x:c r="R256" t="str">
        <x:v>Prompts/Meshy/env_infernal_fortress_infernal_crystal_001_geometry.txt</x:v>
      </x:c>
      <x:c r="S256" t="str">
        <x:v>Prompts/Texture/env_infernal_fortress_infernal_crystal_001_texture.txt</x:v>
      </x:c>
      <x:c r="T256" t="n">
        <x:v>1</x:v>
      </x:c>
      <x:c r="U256" t="n">
        <x:v>2</x:v>
      </x:c>
      <x:c r="V256" t="n">
        <x:v>1</x:v>
      </x:c>
      <x:c r="W256" t="n">
        <x:v>1</x:v>
      </x:c>
      <x:c r="X256" t="n">
        <x:v>0</x:v>
      </x:c>
      <x:c r="Y256" t="str">
        <x:v>Silhouette readable; correct scale; grid/pivot compliance; material separation; no baked VFX; LOD budget met; mobile camera test passed</x:v>
      </x:c>
      <x:c r="Z256" t="str">
        <x:v>Assets/_Game/Art/Environments/infernal_fortress/Models</x:v>
      </x:c>
      <x:c r="AA256" t="str">
        <x:v>Not Started</x:v>
      </x:c>
      <x:c r="AB256" t="str">
        <x:v>Pending</x:v>
      </x:c>
      <x:c r="AC256" s="18" t="n">
        <x:f>T256*'Settings &amp; Rates'!$B$5+U256*'Settings &amp; Rates'!$B$6+V256*'Settings &amp; Rates'!$B$7+W256*'Settings &amp; Rates'!$B$8+X256*'Settings &amp; Rates'!$B$9</x:f>
        <x:v>55</x:v>
      </x:c>
      <x:c r="AD256" s="18" t="n">
        <x:f>SUMIF('Attempt Log'!$B$2:$B$101,A256,'Attempt Log'!$K$2:$K$101)</x:f>
        <x:v>0</x:v>
      </x:c>
      <x:c r="AE256" s="18" t="n">
        <x:f>AD256-AC256</x:f>
        <x:v>-55</x:v>
      </x:c>
      <x:c r="AF256" t="n">
        <x:f>COUNTIF('Attempt Log'!$B$2:$B$101,A256)</x:f>
        <x:v>0</x:v>
      </x:c>
      <x:c r="AG256" t="n">
        <x:f>IFERROR(SUMIFS('Attempt Log'!$U$2:$U$101,'Attempt Log'!$B$2:$B$101,A256,'Attempt Log'!$N$2:$N$101,"Yes")/COUNTIFS('Attempt Log'!$B$2:$B$101,A256,'Attempt Log'!$N$2:$N$101,"Yes"),0)</x:f>
        <x:v>0</x:v>
      </x:c>
    </x:row>
    <x:row r="257">
      <x:c r="A257" t="str">
        <x:v>env_infernal_fortress_infernal_gate_001</x:v>
      </x:c>
      <x:c r="B257" t="str">
        <x:v>Portão Infernal</x:v>
      </x:c>
      <x:c r="C257" t="str">
        <x:v>Infernal Gate</x:v>
      </x:c>
      <x:c r="D257" t="str">
        <x:v>Task018</x:v>
      </x:c>
      <x:c r="E257" t="str">
        <x:v>Environment</x:v>
      </x:c>
      <x:c r="F257" t="str">
        <x:v>Environment</x:v>
      </x:c>
      <x:c r="G257" t="str">
        <x:v>large prop</x:v>
      </x:c>
      <x:c r="H257" t="str">
        <x:v>Season 1 - Arc 3</x:v>
      </x:c>
      <x:c r="I257" t="str">
        <x:v>P1</x:v>
      </x:c>
      <x:c r="J257" t="str">
        <x:v>B24_INFERNAL_ENV_PROPS</x:v>
      </x:c>
      <x:c r="K257" t="str">
        <x:v>Image to 3D</x:v>
      </x:c>
      <x:c r="L257" t="str">
        <x:v>Yes</x:v>
      </x:c>
      <x:c r="M257" t="n">
        <x:v>5250</x:v>
      </x:c>
      <x:c r="N257" t="str">
        <x:v>1024x1024</x:v>
      </x:c>
      <x:c r="O257" t="str">
        <x:v>No</x:v>
      </x:c>
      <x:c r="P257" t="str">
        <x:v>None</x:v>
      </x:c>
      <x:c r="Q257" t="str">
        <x:v>Prompts/ConceptArt/env_infernal_fortress_infernal_gate_001_concept_sheet.txt</x:v>
      </x:c>
      <x:c r="R257" t="str">
        <x:v>Prompts/Meshy/env_infernal_fortress_infernal_gate_001_geometry.txt</x:v>
      </x:c>
      <x:c r="S257" t="str">
        <x:v>Prompts/Texture/env_infernal_fortress_infernal_gate_001_texture.txt</x:v>
      </x:c>
      <x:c r="T257" t="n">
        <x:v>2</x:v>
      </x:c>
      <x:c r="U257" t="n">
        <x:v>2</x:v>
      </x:c>
      <x:c r="V257" t="n">
        <x:v>1</x:v>
      </x:c>
      <x:c r="W257" t="n">
        <x:v>1</x:v>
      </x:c>
      <x:c r="X257" t="n">
        <x:v>0</x:v>
      </x:c>
      <x:c r="Y257" t="str">
        <x:v>Silhouette readable; correct scale; grid/pivot compliance; material separation; no baked VFX; LOD budget met; mobile camera test passed</x:v>
      </x:c>
      <x:c r="Z257" t="str">
        <x:v>Assets/_Game/Art/Environments/infernal_fortress/Models</x:v>
      </x:c>
      <x:c r="AA257" t="str">
        <x:v>Not Started</x:v>
      </x:c>
      <x:c r="AB257" t="str">
        <x:v>Pending</x:v>
      </x:c>
      <x:c r="AC257" s="18" t="n">
        <x:f>T257*'Settings &amp; Rates'!$B$5+U257*'Settings &amp; Rates'!$B$6+V257*'Settings &amp; Rates'!$B$7+W257*'Settings &amp; Rates'!$B$8+X257*'Settings &amp; Rates'!$B$9</x:f>
        <x:v>55</x:v>
      </x:c>
      <x:c r="AD257" s="18" t="n">
        <x:f>SUMIF('Attempt Log'!$B$2:$B$101,A257,'Attempt Log'!$K$2:$K$101)</x:f>
        <x:v>0</x:v>
      </x:c>
      <x:c r="AE257" s="18" t="n">
        <x:f>AD257-AC257</x:f>
        <x:v>-55</x:v>
      </x:c>
      <x:c r="AF257" t="n">
        <x:f>COUNTIF('Attempt Log'!$B$2:$B$101,A257)</x:f>
        <x:v>0</x:v>
      </x:c>
      <x:c r="AG257" t="n">
        <x:f>IFERROR(SUMIFS('Attempt Log'!$U$2:$U$101,'Attempt Log'!$B$2:$B$101,A257,'Attempt Log'!$N$2:$N$101,"Yes")/COUNTIFS('Attempt Log'!$B$2:$B$101,A257,'Attempt Log'!$N$2:$N$101,"Yes"),0)</x:f>
        <x:v>0</x:v>
      </x:c>
    </x:row>
    <x:row r="258">
      <x:c r="A258" t="str">
        <x:v>env_infernal_fortress_infernal_platform_001</x:v>
      </x:c>
      <x:c r="B258" t="str">
        <x:v>Plataforma Infernal</x:v>
      </x:c>
      <x:c r="C258" t="str">
        <x:v>Infernal Platform</x:v>
      </x:c>
      <x:c r="D258" t="str">
        <x:v>Task018</x:v>
      </x:c>
      <x:c r="E258" t="str">
        <x:v>Environment</x:v>
      </x:c>
      <x:c r="F258" t="str">
        <x:v>Environment</x:v>
      </x:c>
      <x:c r="G258" t="str">
        <x:v>large prop</x:v>
      </x:c>
      <x:c r="H258" t="str">
        <x:v>Season 1 - Arc 3</x:v>
      </x:c>
      <x:c r="I258" t="str">
        <x:v>P1</x:v>
      </x:c>
      <x:c r="J258" t="str">
        <x:v>B24_INFERNAL_ENV_PROPS</x:v>
      </x:c>
      <x:c r="K258" t="str">
        <x:v>Image to 3D</x:v>
      </x:c>
      <x:c r="L258" t="str">
        <x:v>Yes</x:v>
      </x:c>
      <x:c r="M258" t="n">
        <x:v>3850</x:v>
      </x:c>
      <x:c r="N258" t="str">
        <x:v>1024x1024</x:v>
      </x:c>
      <x:c r="O258" t="str">
        <x:v>No</x:v>
      </x:c>
      <x:c r="P258" t="str">
        <x:v>None</x:v>
      </x:c>
      <x:c r="Q258" t="str">
        <x:v>Prompts/ConceptArt/env_infernal_fortress_infernal_platform_001_concept_sheet.txt</x:v>
      </x:c>
      <x:c r="R258" t="str">
        <x:v>Prompts/Meshy/env_infernal_fortress_infernal_platform_001_geometry.txt</x:v>
      </x:c>
      <x:c r="S258" t="str">
        <x:v>Prompts/Texture/env_infernal_fortress_infernal_platform_001_texture.txt</x:v>
      </x:c>
      <x:c r="T258" t="n">
        <x:v>2</x:v>
      </x:c>
      <x:c r="U258" t="n">
        <x:v>2</x:v>
      </x:c>
      <x:c r="V258" t="n">
        <x:v>1</x:v>
      </x:c>
      <x:c r="W258" t="n">
        <x:v>1</x:v>
      </x:c>
      <x:c r="X258" t="n">
        <x:v>0</x:v>
      </x:c>
      <x:c r="Y258" t="str">
        <x:v>Silhouette readable; correct scale; grid/pivot compliance; material separation; no baked VFX; LOD budget met; mobile camera test passed</x:v>
      </x:c>
      <x:c r="Z258" t="str">
        <x:v>Assets/_Game/Art/Environments/infernal_fortress/Models</x:v>
      </x:c>
      <x:c r="AA258" t="str">
        <x:v>Not Started</x:v>
      </x:c>
      <x:c r="AB258" t="str">
        <x:v>Pending</x:v>
      </x:c>
      <x:c r="AC258" s="18" t="n">
        <x:f>T258*'Settings &amp; Rates'!$B$5+U258*'Settings &amp; Rates'!$B$6+V258*'Settings &amp; Rates'!$B$7+W258*'Settings &amp; Rates'!$B$8+X258*'Settings &amp; Rates'!$B$9</x:f>
        <x:v>55</x:v>
      </x:c>
      <x:c r="AD258" s="18" t="n">
        <x:f>SUMIF('Attempt Log'!$B$2:$B$101,A258,'Attempt Log'!$K$2:$K$101)</x:f>
        <x:v>0</x:v>
      </x:c>
      <x:c r="AE258" s="18" t="n">
        <x:f>AD258-AC258</x:f>
        <x:v>-55</x:v>
      </x:c>
      <x:c r="AF258" t="n">
        <x:f>COUNTIF('Attempt Log'!$B$2:$B$101,A258)</x:f>
        <x:v>0</x:v>
      </x:c>
      <x:c r="AG258" t="n">
        <x:f>IFERROR(SUMIFS('Attempt Log'!$U$2:$U$101,'Attempt Log'!$B$2:$B$101,A258,'Attempt Log'!$N$2:$N$101,"Yes")/COUNTIFS('Attempt Log'!$B$2:$B$101,A258,'Attempt Log'!$N$2:$N$101,"Yes"),0)</x:f>
        <x:v>0</x:v>
      </x:c>
    </x:row>
    <x:row r="259">
      <x:c r="A259" t="str">
        <x:v>env_infernal_fortress_infernal_portal_001</x:v>
      </x:c>
      <x:c r="B259" t="str">
        <x:v>Portal Infernal</x:v>
      </x:c>
      <x:c r="C259" t="str">
        <x:v>Infernal Portal</x:v>
      </x:c>
      <x:c r="D259" t="str">
        <x:v>Task018</x:v>
      </x:c>
      <x:c r="E259" t="str">
        <x:v>Environment</x:v>
      </x:c>
      <x:c r="F259" t="str">
        <x:v>Environment</x:v>
      </x:c>
      <x:c r="G259" t="str">
        <x:v>hero prop</x:v>
      </x:c>
      <x:c r="H259" t="str">
        <x:v>Season 1 - Arc 3</x:v>
      </x:c>
      <x:c r="I259" t="str">
        <x:v>P1</x:v>
      </x:c>
      <x:c r="J259" t="str">
        <x:v>B24_INFERNAL_ENV_PROPS</x:v>
      </x:c>
      <x:c r="K259" t="str">
        <x:v>Image to 3D</x:v>
      </x:c>
      <x:c r="L259" t="str">
        <x:v>Yes</x:v>
      </x:c>
      <x:c r="M259" t="n">
        <x:v>5500</x:v>
      </x:c>
      <x:c r="N259" t="str">
        <x:v>1024x1024</x:v>
      </x:c>
      <x:c r="O259" t="str">
        <x:v>No</x:v>
      </x:c>
      <x:c r="P259" t="str">
        <x:v>None</x:v>
      </x:c>
      <x:c r="Q259" t="str">
        <x:v>Prompts/ConceptArt/env_infernal_fortress_infernal_portal_001_concept_sheet.txt</x:v>
      </x:c>
      <x:c r="R259" t="str">
        <x:v>Prompts/Meshy/env_infernal_fortress_infernal_portal_001_geometry.txt</x:v>
      </x:c>
      <x:c r="S259" t="str">
        <x:v>Prompts/Texture/env_infernal_fortress_infernal_portal_001_texture.txt</x:v>
      </x:c>
      <x:c r="T259" t="n">
        <x:v>2</x:v>
      </x:c>
      <x:c r="U259" t="n">
        <x:v>2</x:v>
      </x:c>
      <x:c r="V259" t="n">
        <x:v>1</x:v>
      </x:c>
      <x:c r="W259" t="n">
        <x:v>1</x:v>
      </x:c>
      <x:c r="X259" t="n">
        <x:v>0</x:v>
      </x:c>
      <x:c r="Y259" t="str">
        <x:v>Silhouette readable; correct scale; grid/pivot compliance; material separation; no baked VFX; LOD budget met; mobile camera test passed</x:v>
      </x:c>
      <x:c r="Z259" t="str">
        <x:v>Assets/_Game/Art/Environments/infernal_fortress/Models</x:v>
      </x:c>
      <x:c r="AA259" t="str">
        <x:v>Not Started</x:v>
      </x:c>
      <x:c r="AB259" t="str">
        <x:v>Pending</x:v>
      </x:c>
      <x:c r="AC259" s="18" t="n">
        <x:f>T259*'Settings &amp; Rates'!$B$5+U259*'Settings &amp; Rates'!$B$6+V259*'Settings &amp; Rates'!$B$7+W259*'Settings &amp; Rates'!$B$8+X259*'Settings &amp; Rates'!$B$9</x:f>
        <x:v>55</x:v>
      </x:c>
      <x:c r="AD259" s="18" t="n">
        <x:f>SUMIF('Attempt Log'!$B$2:$B$101,A259,'Attempt Log'!$K$2:$K$101)</x:f>
        <x:v>0</x:v>
      </x:c>
      <x:c r="AE259" s="18" t="n">
        <x:f>AD259-AC259</x:f>
        <x:v>-55</x:v>
      </x:c>
      <x:c r="AF259" t="n">
        <x:f>COUNTIF('Attempt Log'!$B$2:$B$101,A259)</x:f>
        <x:v>0</x:v>
      </x:c>
      <x:c r="AG259" t="n">
        <x:f>IFERROR(SUMIFS('Attempt Log'!$U$2:$U$101,'Attempt Log'!$B$2:$B$101,A259,'Attempt Log'!$N$2:$N$101,"Yes")/COUNTIFS('Attempt Log'!$B$2:$B$101,A259,'Attempt Log'!$N$2:$N$101,"Yes"),0)</x:f>
        <x:v>0</x:v>
      </x:c>
    </x:row>
    <x:row r="260">
      <x:c r="A260" t="str">
        <x:v>env_infernal_fortress_spike_barricade_001</x:v>
      </x:c>
      <x:c r="B260" t="str">
        <x:v>Barricada de Espinhos</x:v>
      </x:c>
      <x:c r="C260" t="str">
        <x:v>Spike Barricade</x:v>
      </x:c>
      <x:c r="D260" t="str">
        <x:v>Task018</x:v>
      </x:c>
      <x:c r="E260" t="str">
        <x:v>Environment</x:v>
      </x:c>
      <x:c r="F260" t="str">
        <x:v>Environment</x:v>
      </x:c>
      <x:c r="G260" t="str">
        <x:v>prop</x:v>
      </x:c>
      <x:c r="H260" t="str">
        <x:v>Season 1 - Arc 3</x:v>
      </x:c>
      <x:c r="I260" t="str">
        <x:v>P1</x:v>
      </x:c>
      <x:c r="J260" t="str">
        <x:v>B24_INFERNAL_ENV_PROPS</x:v>
      </x:c>
      <x:c r="K260" t="str">
        <x:v>Text to 3D</x:v>
      </x:c>
      <x:c r="L260" t="str">
        <x:v>Optional</x:v>
      </x:c>
      <x:c r="M260" t="n">
        <x:v>1950</x:v>
      </x:c>
      <x:c r="N260" t="str">
        <x:v>1024x1024</x:v>
      </x:c>
      <x:c r="O260" t="str">
        <x:v>No</x:v>
      </x:c>
      <x:c r="P260" t="str">
        <x:v>None</x:v>
      </x:c>
      <x:c r="Q260" t="str">
        <x:v>Prompts/ConceptArt/env_infernal_fortress_spike_barricade_001_concept_sheet.txt</x:v>
      </x:c>
      <x:c r="R260" t="str">
        <x:v>Prompts/Meshy/env_infernal_fortress_spike_barricade_001_geometry.txt</x:v>
      </x:c>
      <x:c r="S260" t="str">
        <x:v>Prompts/Texture/env_infernal_fortress_spike_barricade_001_texture.txt</x:v>
      </x:c>
      <x:c r="T260" t="n">
        <x:v>1</x:v>
      </x:c>
      <x:c r="U260" t="n">
        <x:v>2</x:v>
      </x:c>
      <x:c r="V260" t="n">
        <x:v>1</x:v>
      </x:c>
      <x:c r="W260" t="n">
        <x:v>1</x:v>
      </x:c>
      <x:c r="X260" t="n">
        <x:v>0</x:v>
      </x:c>
      <x:c r="Y260" t="str">
        <x:v>Silhouette readable; correct scale; grid/pivot compliance; material separation; no baked VFX; LOD budget met; mobile camera test passed</x:v>
      </x:c>
      <x:c r="Z260" t="str">
        <x:v>Assets/_Game/Art/Environments/infernal_fortress/Models</x:v>
      </x:c>
      <x:c r="AA260" t="str">
        <x:v>Not Started</x:v>
      </x:c>
      <x:c r="AB260" t="str">
        <x:v>Pending</x:v>
      </x:c>
      <x:c r="AC260" s="18" t="n">
        <x:f>T260*'Settings &amp; Rates'!$B$5+U260*'Settings &amp; Rates'!$B$6+V260*'Settings &amp; Rates'!$B$7+W260*'Settings &amp; Rates'!$B$8+X260*'Settings &amp; Rates'!$B$9</x:f>
        <x:v>55</x:v>
      </x:c>
      <x:c r="AD260" s="18" t="n">
        <x:f>SUMIF('Attempt Log'!$B$2:$B$101,A260,'Attempt Log'!$K$2:$K$101)</x:f>
        <x:v>0</x:v>
      </x:c>
      <x:c r="AE260" s="18" t="n">
        <x:f>AD260-AC260</x:f>
        <x:v>-55</x:v>
      </x:c>
      <x:c r="AF260" t="n">
        <x:f>COUNTIF('Attempt Log'!$B$2:$B$101,A260)</x:f>
        <x:v>0</x:v>
      </x:c>
      <x:c r="AG260" t="n">
        <x:f>IFERROR(SUMIFS('Attempt Log'!$U$2:$U$101,'Attempt Log'!$B$2:$B$101,A260,'Attempt Log'!$N$2:$N$101,"Yes")/COUNTIFS('Attempt Log'!$B$2:$B$101,A260,'Attempt Log'!$N$2:$N$101,"Yes"),0)</x:f>
        <x:v>0</x:v>
      </x:c>
    </x:row>
  </x:sheetData>
  <x:conditionalFormatting sqref="AB2:AB260">
    <x:cfRule type="expression" dxfId="0" priority="1">
      <x:formula>AB2="Approved"</x:formula>
    </x:cfRule>
  </x:conditionalFormatting>
  <x:conditionalFormatting sqref="AE2:AE260">
    <x:cfRule type="cellIs" dxfId="1" priority="2" operator="greaterThan">
      <x:formula>0</x:formula>
    </x:cfRule>
  </x:conditionalFormatting>
  <x:dataValidations count="2">
    <x:dataValidation type="list" sqref="AA2:AA260">
      <x:formula1>Lists!$A$2:$A$8</x:formula1>
    </x:dataValidation>
    <x:dataValidation type="list" sqref="AB2:AB260">
      <x:formula1>Lists!$B$2:$B$5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263e5d852b480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28" hidden="0" customWidth="1"/>
    <x:col min="4" max="4" width="18" hidden="0" customWidth="1"/>
    <x:col min="5" max="5" width="22" hidden="0" customWidth="1"/>
    <x:col min="6" max="6" width="22" hidden="0" customWidth="1"/>
    <x:col min="7" max="7" width="12" hidden="0" customWidth="1"/>
    <x:col min="8" max="8" width="30" hidden="0" customWidth="1"/>
    <x:col min="9" max="9" width="20" hidden="0" customWidth="1"/>
    <x:col min="10" max="10" width="20" hidden="0" customWidth="1"/>
    <x:col min="11" max="11" width="14" hidden="0" customWidth="1"/>
    <x:col min="12" max="12" width="16" hidden="0" customWidth="1"/>
    <x:col min="13" max="13" width="48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6" hidden="0" customWidth="1"/>
    <x:col min="21" max="21" width="12" hidden="0" customWidth="1"/>
    <x:col min="22" max="22" width="28" hidden="0" customWidth="1"/>
    <x:col min="23" max="23" width="18" hidden="0" customWidth="1"/>
    <x:col min="24" max="24" width="60" hidden="0" customWidth="1"/>
  </x:cols>
  <x:sheetData>
    <x:row r="1">
      <x:c r="A1" s="6" t="str">
        <x:v>attempt_id</x:v>
      </x:c>
      <x:c r="B1" s="6" t="str">
        <x:v>asset_id</x:v>
      </x:c>
      <x:c r="C1" s="6" t="str">
        <x:v>batch_id</x:v>
      </x:c>
      <x:c r="D1" s="6" t="str">
        <x:v>operation</x:v>
      </x:c>
      <x:c r="E1" s="6" t="str">
        <x:v>provider</x:v>
      </x:c>
      <x:c r="F1" s="6" t="str">
        <x:v>model</x:v>
      </x:c>
      <x:c r="G1" s="6" t="str">
        <x:v>candidate_index</x:v>
      </x:c>
      <x:c r="H1" s="6" t="str">
        <x:v>task_id</x:v>
      </x:c>
      <x:c r="I1" s="6" t="str">
        <x:v>started_at</x:v>
      </x:c>
      <x:c r="J1" s="6" t="str">
        <x:v>completed_at</x:v>
      </x:c>
      <x:c r="K1" s="6" t="str">
        <x:v>credits_used</x:v>
      </x:c>
      <x:c r="L1" s="6" t="str">
        <x:v>status</x:v>
      </x:c>
      <x:c r="M1" s="6" t="str">
        <x:v>output_path</x:v>
      </x:c>
      <x:c r="N1" s="6" t="str">
        <x:v>selected</x:v>
      </x:c>
      <x:c r="O1" s="6" t="str">
        <x:v>silhouette</x:v>
      </x:c>
      <x:c r="P1" s="6" t="str">
        <x:v>style</x:v>
      </x:c>
      <x:c r="Q1" s="6" t="str">
        <x:v>geometry</x:v>
      </x:c>
      <x:c r="R1" s="6" t="str">
        <x:v>texture</x:v>
      </x:c>
      <x:c r="S1" s="6" t="str">
        <x:v>technical</x:v>
      </x:c>
      <x:c r="T1" s="6" t="str">
        <x:v>mobile_readability</x:v>
      </x:c>
      <x:c r="U1" s="6" t="str">
        <x:v>total_score</x:v>
      </x:c>
      <x:c r="V1" s="6" t="str">
        <x:v>rejection_reason</x:v>
      </x:c>
      <x:c r="W1" s="6" t="str">
        <x:v>reviewer</x:v>
      </x:c>
      <x:c r="X1" s="6" t="str">
        <x:v>notes</x:v>
      </x:c>
    </x:row>
    <x:row r="2">
      <x:c r="U2" t="n">
        <x:f>SUM(O2:T2)</x:f>
        <x:v>0</x:v>
      </x:c>
    </x:row>
    <x:row r="3">
      <x:c r="U3" t="n">
        <x:f>SUM(O3:T3)</x:f>
        <x:v>0</x:v>
      </x:c>
    </x:row>
    <x:row r="4">
      <x:c r="U4" t="n">
        <x:f>SUM(O4:T4)</x:f>
        <x:v>0</x:v>
      </x:c>
    </x:row>
    <x:row r="5">
      <x:c r="U5" t="n">
        <x:f>SUM(O5:T5)</x:f>
        <x:v>0</x:v>
      </x:c>
    </x:row>
    <x:row r="6">
      <x:c r="U6" t="n">
        <x:f>SUM(O6:T6)</x:f>
        <x:v>0</x:v>
      </x:c>
    </x:row>
    <x:row r="7">
      <x:c r="U7" t="n">
        <x:f>SUM(O7:T7)</x:f>
        <x:v>0</x:v>
      </x:c>
    </x:row>
    <x:row r="8">
      <x:c r="U8" t="n">
        <x:f>SUM(O8:T8)</x:f>
        <x:v>0</x:v>
      </x:c>
    </x:row>
    <x:row r="9">
      <x:c r="U9" t="n">
        <x:f>SUM(O9:T9)</x:f>
        <x:v>0</x:v>
      </x:c>
    </x:row>
    <x:row r="10">
      <x:c r="U10" t="n">
        <x:f>SUM(O10:T10)</x:f>
        <x:v>0</x:v>
      </x:c>
    </x:row>
    <x:row r="11">
      <x:c r="U11" t="n">
        <x:f>SUM(O11:T11)</x:f>
        <x:v>0</x:v>
      </x:c>
    </x:row>
    <x:row r="12">
      <x:c r="U12" t="n">
        <x:f>SUM(O12:T12)</x:f>
        <x:v>0</x:v>
      </x:c>
    </x:row>
    <x:row r="13">
      <x:c r="U13" t="n">
        <x:f>SUM(O13:T13)</x:f>
        <x:v>0</x:v>
      </x:c>
    </x:row>
    <x:row r="14">
      <x:c r="U14" t="n">
        <x:f>SUM(O14:T14)</x:f>
        <x:v>0</x:v>
      </x:c>
    </x:row>
    <x:row r="15">
      <x:c r="U15" t="n">
        <x:f>SUM(O15:T15)</x:f>
        <x:v>0</x:v>
      </x:c>
    </x:row>
    <x:row r="16">
      <x:c r="U16" t="n">
        <x:f>SUM(O16:T16)</x:f>
        <x:v>0</x:v>
      </x:c>
    </x:row>
    <x:row r="17">
      <x:c r="U17" t="n">
        <x:f>SUM(O17:T17)</x:f>
        <x:v>0</x:v>
      </x:c>
    </x:row>
    <x:row r="18">
      <x:c r="U18" t="n">
        <x:f>SUM(O18:T18)</x:f>
        <x:v>0</x:v>
      </x:c>
    </x:row>
    <x:row r="19">
      <x:c r="U19" t="n">
        <x:f>SUM(O19:T19)</x:f>
        <x:v>0</x:v>
      </x:c>
    </x:row>
    <x:row r="20">
      <x:c r="U20" t="n">
        <x:f>SUM(O20:T20)</x:f>
        <x:v>0</x:v>
      </x:c>
    </x:row>
    <x:row r="21">
      <x:c r="U21" t="n">
        <x:f>SUM(O21:T21)</x:f>
        <x:v>0</x:v>
      </x:c>
    </x:row>
    <x:row r="22">
      <x:c r="U22" t="n">
        <x:f>SUM(O22:T22)</x:f>
        <x:v>0</x:v>
      </x:c>
    </x:row>
    <x:row r="23">
      <x:c r="U23" t="n">
        <x:f>SUM(O23:T23)</x:f>
        <x:v>0</x:v>
      </x:c>
    </x:row>
    <x:row r="24">
      <x:c r="U24" t="n">
        <x:f>SUM(O24:T24)</x:f>
        <x:v>0</x:v>
      </x:c>
    </x:row>
    <x:row r="25">
      <x:c r="U25" t="n">
        <x:f>SUM(O25:T25)</x:f>
        <x:v>0</x:v>
      </x:c>
    </x:row>
    <x:row r="26">
      <x:c r="U26" t="n">
        <x:f>SUM(O26:T26)</x:f>
        <x:v>0</x:v>
      </x:c>
    </x:row>
    <x:row r="27">
      <x:c r="U27" t="n">
        <x:f>SUM(O27:T27)</x:f>
        <x:v>0</x:v>
      </x:c>
    </x:row>
    <x:row r="28">
      <x:c r="U28" t="n">
        <x:f>SUM(O28:T28)</x:f>
        <x:v>0</x:v>
      </x:c>
    </x:row>
    <x:row r="29">
      <x:c r="U29" t="n">
        <x:f>SUM(O29:T29)</x:f>
        <x:v>0</x:v>
      </x:c>
    </x:row>
    <x:row r="30">
      <x:c r="U30" t="n">
        <x:f>SUM(O30:T30)</x:f>
        <x:v>0</x:v>
      </x:c>
    </x:row>
    <x:row r="31">
      <x:c r="U31" t="n">
        <x:f>SUM(O31:T31)</x:f>
        <x:v>0</x:v>
      </x:c>
    </x:row>
    <x:row r="32">
      <x:c r="U32" t="n">
        <x:f>SUM(O32:T32)</x:f>
        <x:v>0</x:v>
      </x:c>
    </x:row>
    <x:row r="33">
      <x:c r="U33" t="n">
        <x:f>SUM(O33:T33)</x:f>
        <x:v>0</x:v>
      </x:c>
    </x:row>
    <x:row r="34">
      <x:c r="U34" t="n">
        <x:f>SUM(O34:T34)</x:f>
        <x:v>0</x:v>
      </x:c>
    </x:row>
    <x:row r="35">
      <x:c r="U35" t="n">
        <x:f>SUM(O35:T35)</x:f>
        <x:v>0</x:v>
      </x:c>
    </x:row>
    <x:row r="36">
      <x:c r="U36" t="n">
        <x:f>SUM(O36:T36)</x:f>
        <x:v>0</x:v>
      </x:c>
    </x:row>
    <x:row r="37">
      <x:c r="U37" t="n">
        <x:f>SUM(O37:T37)</x:f>
        <x:v>0</x:v>
      </x:c>
    </x:row>
    <x:row r="38">
      <x:c r="U38" t="n">
        <x:f>SUM(O38:T38)</x:f>
        <x:v>0</x:v>
      </x:c>
    </x:row>
    <x:row r="39">
      <x:c r="U39" t="n">
        <x:f>SUM(O39:T39)</x:f>
        <x:v>0</x:v>
      </x:c>
    </x:row>
    <x:row r="40">
      <x:c r="U40" t="n">
        <x:f>SUM(O40:T40)</x:f>
        <x:v>0</x:v>
      </x:c>
    </x:row>
    <x:row r="41">
      <x:c r="U41" t="n">
        <x:f>SUM(O41:T41)</x:f>
        <x:v>0</x:v>
      </x:c>
    </x:row>
    <x:row r="42">
      <x:c r="U42" t="n">
        <x:f>SUM(O42:T42)</x:f>
        <x:v>0</x:v>
      </x:c>
    </x:row>
    <x:row r="43">
      <x:c r="U43" t="n">
        <x:f>SUM(O43:T43)</x:f>
        <x:v>0</x:v>
      </x:c>
    </x:row>
    <x:row r="44">
      <x:c r="U44" t="n">
        <x:f>SUM(O44:T44)</x:f>
        <x:v>0</x:v>
      </x:c>
    </x:row>
    <x:row r="45">
      <x:c r="U45" t="n">
        <x:f>SUM(O45:T45)</x:f>
        <x:v>0</x:v>
      </x:c>
    </x:row>
    <x:row r="46">
      <x:c r="U46" t="n">
        <x:f>SUM(O46:T46)</x:f>
        <x:v>0</x:v>
      </x:c>
    </x:row>
    <x:row r="47">
      <x:c r="U47" t="n">
        <x:f>SUM(O47:T47)</x:f>
        <x:v>0</x:v>
      </x:c>
    </x:row>
    <x:row r="48">
      <x:c r="U48" t="n">
        <x:f>SUM(O48:T48)</x:f>
        <x:v>0</x:v>
      </x:c>
    </x:row>
    <x:row r="49">
      <x:c r="U49" t="n">
        <x:f>SUM(O49:T49)</x:f>
        <x:v>0</x:v>
      </x:c>
    </x:row>
    <x:row r="50">
      <x:c r="U50" t="n">
        <x:f>SUM(O50:T50)</x:f>
        <x:v>0</x:v>
      </x:c>
    </x:row>
    <x:row r="51">
      <x:c r="U51" t="n">
        <x:f>SUM(O51:T51)</x:f>
        <x:v>0</x:v>
      </x:c>
    </x:row>
    <x:row r="52">
      <x:c r="U52" t="n">
        <x:f>SUM(O52:T52)</x:f>
        <x:v>0</x:v>
      </x:c>
    </x:row>
    <x:row r="53">
      <x:c r="U53" t="n">
        <x:f>SUM(O53:T53)</x:f>
        <x:v>0</x:v>
      </x:c>
    </x:row>
    <x:row r="54">
      <x:c r="U54" t="n">
        <x:f>SUM(O54:T54)</x:f>
        <x:v>0</x:v>
      </x:c>
    </x:row>
    <x:row r="55">
      <x:c r="U55" t="n">
        <x:f>SUM(O55:T55)</x:f>
        <x:v>0</x:v>
      </x:c>
    </x:row>
    <x:row r="56">
      <x:c r="U56" t="n">
        <x:f>SUM(O56:T56)</x:f>
        <x:v>0</x:v>
      </x:c>
    </x:row>
    <x:row r="57">
      <x:c r="U57" t="n">
        <x:f>SUM(O57:T57)</x:f>
        <x:v>0</x:v>
      </x:c>
    </x:row>
    <x:row r="58">
      <x:c r="U58" t="n">
        <x:f>SUM(O58:T58)</x:f>
        <x:v>0</x:v>
      </x:c>
    </x:row>
    <x:row r="59">
      <x:c r="U59" t="n">
        <x:f>SUM(O59:T59)</x:f>
        <x:v>0</x:v>
      </x:c>
    </x:row>
    <x:row r="60">
      <x:c r="U60" t="n">
        <x:f>SUM(O60:T60)</x:f>
        <x:v>0</x:v>
      </x:c>
    </x:row>
    <x:row r="61">
      <x:c r="U61" t="n">
        <x:f>SUM(O61:T61)</x:f>
        <x:v>0</x:v>
      </x:c>
    </x:row>
    <x:row r="62">
      <x:c r="U62" t="n">
        <x:f>SUM(O62:T62)</x:f>
        <x:v>0</x:v>
      </x:c>
    </x:row>
    <x:row r="63">
      <x:c r="U63" t="n">
        <x:f>SUM(O63:T63)</x:f>
        <x:v>0</x:v>
      </x:c>
    </x:row>
    <x:row r="64">
      <x:c r="U64" t="n">
        <x:f>SUM(O64:T64)</x:f>
        <x:v>0</x:v>
      </x:c>
    </x:row>
    <x:row r="65">
      <x:c r="U65" t="n">
        <x:f>SUM(O65:T65)</x:f>
        <x:v>0</x:v>
      </x:c>
    </x:row>
    <x:row r="66">
      <x:c r="U66" t="n">
        <x:f>SUM(O66:T66)</x:f>
        <x:v>0</x:v>
      </x:c>
    </x:row>
    <x:row r="67">
      <x:c r="U67" t="n">
        <x:f>SUM(O67:T67)</x:f>
        <x:v>0</x:v>
      </x:c>
    </x:row>
    <x:row r="68">
      <x:c r="U68" t="n">
        <x:f>SUM(O68:T68)</x:f>
        <x:v>0</x:v>
      </x:c>
    </x:row>
    <x:row r="69">
      <x:c r="U69" t="n">
        <x:f>SUM(O69:T69)</x:f>
        <x:v>0</x:v>
      </x:c>
    </x:row>
    <x:row r="70">
      <x:c r="U70" t="n">
        <x:f>SUM(O70:T70)</x:f>
        <x:v>0</x:v>
      </x:c>
    </x:row>
    <x:row r="71">
      <x:c r="U71" t="n">
        <x:f>SUM(O71:T71)</x:f>
        <x:v>0</x:v>
      </x:c>
    </x:row>
    <x:row r="72">
      <x:c r="U72" t="n">
        <x:f>SUM(O72:T72)</x:f>
        <x:v>0</x:v>
      </x:c>
    </x:row>
    <x:row r="73">
      <x:c r="U73" t="n">
        <x:f>SUM(O73:T73)</x:f>
        <x:v>0</x:v>
      </x:c>
    </x:row>
    <x:row r="74">
      <x:c r="U74" t="n">
        <x:f>SUM(O74:T74)</x:f>
        <x:v>0</x:v>
      </x:c>
    </x:row>
    <x:row r="75">
      <x:c r="U75" t="n">
        <x:f>SUM(O75:T75)</x:f>
        <x:v>0</x:v>
      </x:c>
    </x:row>
    <x:row r="76">
      <x:c r="U76" t="n">
        <x:f>SUM(O76:T76)</x:f>
        <x:v>0</x:v>
      </x:c>
    </x:row>
    <x:row r="77">
      <x:c r="U77" t="n">
        <x:f>SUM(O77:T77)</x:f>
        <x:v>0</x:v>
      </x:c>
    </x:row>
    <x:row r="78">
      <x:c r="U78" t="n">
        <x:f>SUM(O78:T78)</x:f>
        <x:v>0</x:v>
      </x:c>
    </x:row>
    <x:row r="79">
      <x:c r="U79" t="n">
        <x:f>SUM(O79:T79)</x:f>
        <x:v>0</x:v>
      </x:c>
    </x:row>
    <x:row r="80">
      <x:c r="U80" t="n">
        <x:f>SUM(O80:T80)</x:f>
        <x:v>0</x:v>
      </x:c>
    </x:row>
    <x:row r="81">
      <x:c r="U81" t="n">
        <x:f>SUM(O81:T81)</x:f>
        <x:v>0</x:v>
      </x:c>
    </x:row>
    <x:row r="82">
      <x:c r="U82" t="n">
        <x:f>SUM(O82:T82)</x:f>
        <x:v>0</x:v>
      </x:c>
    </x:row>
    <x:row r="83">
      <x:c r="U83" t="n">
        <x:f>SUM(O83:T83)</x:f>
        <x:v>0</x:v>
      </x:c>
    </x:row>
    <x:row r="84">
      <x:c r="U84" t="n">
        <x:f>SUM(O84:T84)</x:f>
        <x:v>0</x:v>
      </x:c>
    </x:row>
    <x:row r="85">
      <x:c r="U85" t="n">
        <x:f>SUM(O85:T85)</x:f>
        <x:v>0</x:v>
      </x:c>
    </x:row>
    <x:row r="86">
      <x:c r="U86" t="n">
        <x:f>SUM(O86:T86)</x:f>
        <x:v>0</x:v>
      </x:c>
    </x:row>
    <x:row r="87">
      <x:c r="U87" t="n">
        <x:f>SUM(O87:T87)</x:f>
        <x:v>0</x:v>
      </x:c>
    </x:row>
    <x:row r="88">
      <x:c r="U88" t="n">
        <x:f>SUM(O88:T88)</x:f>
        <x:v>0</x:v>
      </x:c>
    </x:row>
    <x:row r="89">
      <x:c r="U89" t="n">
        <x:f>SUM(O89:T89)</x:f>
        <x:v>0</x:v>
      </x:c>
    </x:row>
    <x:row r="90">
      <x:c r="U90" t="n">
        <x:f>SUM(O90:T90)</x:f>
        <x:v>0</x:v>
      </x:c>
    </x:row>
    <x:row r="91">
      <x:c r="U91" t="n">
        <x:f>SUM(O91:T91)</x:f>
        <x:v>0</x:v>
      </x:c>
    </x:row>
    <x:row r="92">
      <x:c r="U92" t="n">
        <x:f>SUM(O92:T92)</x:f>
        <x:v>0</x:v>
      </x:c>
    </x:row>
    <x:row r="93">
      <x:c r="U93" t="n">
        <x:f>SUM(O93:T93)</x:f>
        <x:v>0</x:v>
      </x:c>
    </x:row>
    <x:row r="94">
      <x:c r="U94" t="n">
        <x:f>SUM(O94:T94)</x:f>
        <x:v>0</x:v>
      </x:c>
    </x:row>
    <x:row r="95">
      <x:c r="U95" t="n">
        <x:f>SUM(O95:T95)</x:f>
        <x:v>0</x:v>
      </x:c>
    </x:row>
    <x:row r="96">
      <x:c r="U96" t="n">
        <x:f>SUM(O96:T96)</x:f>
        <x:v>0</x:v>
      </x:c>
    </x:row>
    <x:row r="97">
      <x:c r="U97" t="n">
        <x:f>SUM(O97:T97)</x:f>
        <x:v>0</x:v>
      </x:c>
    </x:row>
    <x:row r="98">
      <x:c r="U98" t="n">
        <x:f>SUM(O98:T98)</x:f>
        <x:v>0</x:v>
      </x:c>
    </x:row>
    <x:row r="99">
      <x:c r="U99" t="n">
        <x:f>SUM(O99:T99)</x:f>
        <x:v>0</x:v>
      </x:c>
    </x:row>
    <x:row r="100">
      <x:c r="U100" t="n">
        <x:f>SUM(O100:T100)</x:f>
        <x:v>0</x:v>
      </x:c>
    </x:row>
    <x:row r="101">
      <x:c r="U101" t="n">
        <x:f>SUM(O101:T101)</x:f>
        <x:v>0</x:v>
      </x:c>
    </x:row>
  </x:sheetData>
  <x:conditionalFormatting sqref="U2:U101">
    <x:cfRule type="colorScale" priority="1">
      <x:colorScale>
        <x:cfvo type="min"/>
        <x:cfvo type="percentile" val="50"/>
        <x:cfvo type="max"/>
        <x:color rgb="FFF8D7DA"/>
        <x:color rgb="FFFDECC8"/>
        <x:color rgb="FFD9F2E6"/>
      </x:colorScale>
    </x:cfRule>
  </x:conditionalFormatting>
  <x:dataValidations count="5">
    <x:dataValidation type="list" sqref="D2:D101">
      <x:formula1>Lists!$C$2:$C$8</x:formula1>
    </x:dataValidation>
    <x:dataValidation type="list" sqref="E2:E101">
      <x:formula1>Lists!$F$2:$F$5</x:formula1>
    </x:dataValidation>
    <x:dataValidation type="list" sqref="L2:L101">
      <x:formula1>Lists!$D$2:$D$6</x:formula1>
    </x:dataValidation>
    <x:dataValidation type="list" sqref="N2:N101">
      <x:formula1>Lists!$E$2:$E$3</x:formula1>
    </x:dataValidation>
    <x:dataValidation type="list" sqref="V2:V101">
      <x:formula1>'Rejection Reasons'!$A$2:$A$14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4c0ff9bf06413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22" hidden="0" customWidth="1"/>
    <x:col min="5" max="5" width="10" hidden="0" customWidth="1"/>
    <x:col min="6" max="6" width="12" hidden="0" customWidth="1"/>
    <x:col min="7" max="7" width="20" hidden="0" customWidth="1"/>
    <x:col min="8" max="8" width="22" hidden="0" customWidth="1"/>
    <x:col min="9" max="9" width="52" hidden="0" customWidth="1"/>
    <x:col min="10" max="10" width="52" hidden="0" customWidth="1"/>
    <x:col min="11" max="11" width="18" hidden="0" customWidth="1"/>
    <x:col min="12" max="12" width="16" hidden="0" customWidth="1"/>
    <x:col min="13" max="13" width="16" hidden="0" customWidth="1"/>
    <x:col min="14" max="14" width="14" hidden="0" customWidth="1"/>
    <x:col min="15" max="15" width="14" hidden="0" customWidth="1"/>
  </x:cols>
  <x:sheetData>
    <x:row r="1">
      <x:c r="A1" s="6" t="str">
        <x:v>batch_id</x:v>
      </x:c>
      <x:c r="B1" s="6" t="str">
        <x:v>sequence</x:v>
      </x:c>
      <x:c r="C1" s="6" t="str">
        <x:v>batch_name</x:v>
      </x:c>
      <x:c r="D1" s="6" t="str">
        <x:v>phase</x:v>
      </x:c>
      <x:c r="E1" s="6" t="str">
        <x:v>priority</x:v>
      </x:c>
      <x:c r="F1" s="6" t="str">
        <x:v>asset_count</x:v>
      </x:c>
      <x:c r="G1" s="6" t="str">
        <x:v>manual_webapp_planned_credits</x:v>
      </x:c>
      <x:c r="H1" s="6" t="str">
        <x:v>api_meshy6_high_quality_planned_credits</x:v>
      </x:c>
      <x:c r="I1" s="6" t="str">
        <x:v>entry_gate</x:v>
      </x:c>
      <x:c r="J1" s="6" t="str">
        <x:v>exit_gate</x:v>
      </x:c>
      <x:c r="K1" s="6" t="str">
        <x:v>status</x:v>
      </x:c>
      <x:c r="L1" s="6" t="str">
        <x:v>actual_credits</x:v>
      </x:c>
      <x:c r="M1" s="6" t="str">
        <x:v>approved_assets</x:v>
      </x:c>
      <x:c r="N1" s="6" t="str">
        <x:v>approval_rate</x:v>
      </x:c>
      <x:c r="O1" s="6" t="str">
        <x:v>variance</x:v>
      </x:c>
    </x:row>
    <x:row r="2">
      <x:c r="A2" t="str">
        <x:v>B00_CALIBRATION</x:v>
      </x:c>
      <x:c r="B2" t="n">
        <x:v>1</x:v>
      </x:c>
      <x:c r="C2" t="str">
        <x:v>Calibração do pipeline</x:v>
      </x:c>
      <x:c r="D2" t="str">
        <x:v>Vertical Slice</x:v>
      </x:c>
      <x:c r="E2" t="str">
        <x:v>P0</x:v>
      </x:c>
      <x:c r="F2" t="n">
        <x:v>5</x:v>
      </x:c>
      <x:c r="G2" t="n">
        <x:v>405</x:v>
      </x:c>
      <x:c r="H2" t="n">
        <x:v>646</x:v>
      </x:c>
      <x:c r="I2" t="str">
        <x:v>Source prompts and Visual Bible available</x:v>
      </x:c>
      <x:c r="J2" t="str">
        <x:v>80% approved; blockers documented; Unity sample validated</x:v>
      </x:c>
      <x:c r="K2" t="str">
        <x:v>Not Started</x:v>
      </x:c>
      <x:c r="L2" t="n">
        <x:f>SUMIF('Asset Queue'!$J$2:$J$260,A2,'Asset Queue'!$AD$2:$AD$260)</x:f>
        <x:v>0</x:v>
      </x:c>
      <x:c r="M2" t="n">
        <x:f>COUNTIFS('Asset Queue'!$J$2:$J$260,A2,'Asset Queue'!$AB$2:$AB$260,"Approved")</x:f>
        <x:v>0</x:v>
      </x:c>
      <x:c r="N2" s="20" t="n">
        <x:f>IFERROR(M2/F2,0)</x:f>
        <x:v>0</x:v>
      </x:c>
      <x:c r="O2" t="n">
        <x:f>L2-G2</x:f>
        <x:v>-405</x:v>
      </x:c>
    </x:row>
    <x:row r="3">
      <x:c r="A3" t="str">
        <x:v>B01_HEROES</x:v>
      </x:c>
      <x:c r="B3" t="n">
        <x:v>2</x:v>
      </x:c>
      <x:c r="C3" t="str">
        <x:v>Heróis restantes</x:v>
      </x:c>
      <x:c r="D3" t="str">
        <x:v>Vertical Slice</x:v>
      </x:c>
      <x:c r="E3" t="str">
        <x:v>P0</x:v>
      </x:c>
      <x:c r="F3" t="n">
        <x:v>2</x:v>
      </x:c>
      <x:c r="G3" t="n">
        <x:v>200</x:v>
      </x:c>
      <x:c r="H3" t="n">
        <x:v>334</x:v>
      </x:c>
      <x:c r="I3" t="str">
        <x:v>Previous batch approved</x:v>
      </x:c>
      <x:c r="J3" t="str">
        <x:v>80% approved; blockers documented; Unity sample validated</x:v>
      </x:c>
      <x:c r="K3" t="str">
        <x:v>Not Started</x:v>
      </x:c>
      <x:c r="L3" t="n">
        <x:f>SUMIF('Asset Queue'!$J$2:$J$260,A3,'Asset Queue'!$AD$2:$AD$260)</x:f>
        <x:v>0</x:v>
      </x:c>
      <x:c r="M3" t="n">
        <x:f>COUNTIFS('Asset Queue'!$J$2:$J$260,A3,'Asset Queue'!$AB$2:$AB$260,"Approved")</x:f>
        <x:v>0</x:v>
      </x:c>
      <x:c r="N3" s="20" t="n">
        <x:f>IFERROR(M3/F3,0)</x:f>
        <x:v>0</x:v>
      </x:c>
      <x:c r="O3" t="n">
        <x:f>L3-G3</x:f>
        <x:v>-200</x:v>
      </x:c>
    </x:row>
    <x:row r="4">
      <x:c r="A4" t="str">
        <x:v>B02_GOBLIN_COMMONS</x:v>
      </x:c>
      <x:c r="B4" t="n">
        <x:v>3</x:v>
      </x:c>
      <x:c r="C4" t="str">
        <x:v>Goblins comuns</x:v>
      </x:c>
      <x:c r="D4" t="str">
        <x:v>Vertical Slice</x:v>
      </x:c>
      <x:c r="E4" t="str">
        <x:v>P0</x:v>
      </x:c>
      <x:c r="F4" t="n">
        <x:v>3</x:v>
      </x:c>
      <x:c r="G4" t="n">
        <x:v>240</x:v>
      </x:c>
      <x:c r="H4" t="n">
        <x:v>384</x:v>
      </x:c>
      <x:c r="I4" t="str">
        <x:v>Previous batch approved</x:v>
      </x:c>
      <x:c r="J4" t="str">
        <x:v>80% approved; blockers documented; Unity sample validated</x:v>
      </x:c>
      <x:c r="K4" t="str">
        <x:v>Not Started</x:v>
      </x:c>
      <x:c r="L4" t="n">
        <x:f>SUMIF('Asset Queue'!$J$2:$J$260,A4,'Asset Queue'!$AD$2:$AD$260)</x:f>
        <x:v>0</x:v>
      </x:c>
      <x:c r="M4" t="n">
        <x:f>COUNTIFS('Asset Queue'!$J$2:$J$260,A4,'Asset Queue'!$AB$2:$AB$260,"Approved")</x:f>
        <x:v>0</x:v>
      </x:c>
      <x:c r="N4" s="20" t="n">
        <x:f>IFERROR(M4/F4,0)</x:f>
        <x:v>0</x:v>
      </x:c>
      <x:c r="O4" t="n">
        <x:f>L4-G4</x:f>
        <x:v>-240</x:v>
      </x:c>
    </x:row>
    <x:row r="5">
      <x:c r="A5" t="str">
        <x:v>B03_GOBLIN_ELITES_BOSSES</x:v>
      </x:c>
      <x:c r="B5" t="n">
        <x:v>4</x:v>
      </x:c>
      <x:c r="C5" t="str">
        <x:v>Elites e chefes Goblins</x:v>
      </x:c>
      <x:c r="D5" t="str">
        <x:v>Vertical Slice</x:v>
      </x:c>
      <x:c r="E5" t="str">
        <x:v>P0</x:v>
      </x:c>
      <x:c r="F5" t="n">
        <x:v>5</x:v>
      </x:c>
      <x:c r="G5" t="n">
        <x:v>500</x:v>
      </x:c>
      <x:c r="H5" t="n">
        <x:v>835</x:v>
      </x:c>
      <x:c r="I5" t="str">
        <x:v>Previous batch approved</x:v>
      </x:c>
      <x:c r="J5" t="str">
        <x:v>80% approved; blockers documented; Unity sample validated</x:v>
      </x:c>
      <x:c r="K5" t="str">
        <x:v>Not Started</x:v>
      </x:c>
      <x:c r="L5" t="n">
        <x:f>SUMIF('Asset Queue'!$J$2:$J$260,A5,'Asset Queue'!$AD$2:$AD$260)</x:f>
        <x:v>0</x:v>
      </x:c>
      <x:c r="M5" t="n">
        <x:f>COUNTIFS('Asset Queue'!$J$2:$J$260,A5,'Asset Queue'!$AB$2:$AB$260,"Approved")</x:f>
        <x:v>0</x:v>
      </x:c>
      <x:c r="N5" s="20" t="n">
        <x:f>IFERROR(M5/F5,0)</x:f>
        <x:v>0</x:v>
      </x:c>
      <x:c r="O5" t="n">
        <x:f>L5-G5</x:f>
        <x:v>-500</x:v>
      </x:c>
    </x:row>
    <x:row r="6">
      <x:c r="A6" t="str">
        <x:v>B04_T1_WEAPONS_ACCESSORIES</x:v>
      </x:c>
      <x:c r="B6" t="n">
        <x:v>5</x:v>
      </x:c>
      <x:c r="C6" t="str">
        <x:v>Armas e acessórios T1</x:v>
      </x:c>
      <x:c r="D6" t="str">
        <x:v>Vertical Slice</x:v>
      </x:c>
      <x:c r="E6" t="str">
        <x:v>P0</x:v>
      </x:c>
      <x:c r="F6" t="n">
        <x:v>5</x:v>
      </x:c>
      <x:c r="G6" t="n">
        <x:v>375</x:v>
      </x:c>
      <x:c r="H6" t="n">
        <x:v>570</x:v>
      </x:c>
      <x:c r="I6" t="str">
        <x:v>Previous batch approved</x:v>
      </x:c>
      <x:c r="J6" t="str">
        <x:v>80% approved; blockers documented; Unity sample validated</x:v>
      </x:c>
      <x:c r="K6" t="str">
        <x:v>Not Started</x:v>
      </x:c>
      <x:c r="L6" t="n">
        <x:f>SUMIF('Asset Queue'!$J$2:$J$260,A6,'Asset Queue'!$AD$2:$AD$260)</x:f>
        <x:v>0</x:v>
      </x:c>
      <x:c r="M6" t="n">
        <x:f>COUNTIFS('Asset Queue'!$J$2:$J$260,A6,'Asset Queue'!$AB$2:$AB$260,"Approved")</x:f>
        <x:v>0</x:v>
      </x:c>
      <x:c r="N6" s="20" t="n">
        <x:f>IFERROR(M6/F6,0)</x:f>
        <x:v>0</x:v>
      </x:c>
      <x:c r="O6" t="n">
        <x:f>L6-G6</x:f>
        <x:v>-375</x:v>
      </x:c>
    </x:row>
    <x:row r="7">
      <x:c r="A7" t="str">
        <x:v>B05_T1_ARMOR</x:v>
      </x:c>
      <x:c r="B7" t="n">
        <x:v>6</x:v>
      </x:c>
      <x:c r="C7" t="str">
        <x:v>Armaduras T1</x:v>
      </x:c>
      <x:c r="D7" t="str">
        <x:v>Vertical Slice</x:v>
      </x:c>
      <x:c r="E7" t="str">
        <x:v>P0</x:v>
      </x:c>
      <x:c r="F7" t="n">
        <x:v>12</x:v>
      </x:c>
      <x:c r="G7" t="n">
        <x:v>900</x:v>
      </x:c>
      <x:c r="H7" t="n">
        <x:v>1476</x:v>
      </x:c>
      <x:c r="I7" t="str">
        <x:v>Previous batch approved</x:v>
      </x:c>
      <x:c r="J7" t="str">
        <x:v>80% approved; blockers documented; Unity sample validated</x:v>
      </x:c>
      <x:c r="K7" t="str">
        <x:v>Not Started</x:v>
      </x:c>
      <x:c r="L7" t="n">
        <x:f>SUMIF('Asset Queue'!$J$2:$J$260,A7,'Asset Queue'!$AD$2:$AD$260)</x:f>
        <x:v>0</x:v>
      </x:c>
      <x:c r="M7" t="n">
        <x:f>COUNTIFS('Asset Queue'!$J$2:$J$260,A7,'Asset Queue'!$AB$2:$AB$260,"Approved")</x:f>
        <x:v>0</x:v>
      </x:c>
      <x:c r="N7" s="20" t="n">
        <x:f>IFERROR(M7/F7,0)</x:f>
        <x:v>0</x:v>
      </x:c>
      <x:c r="O7" t="n">
        <x:f>L7-G7</x:f>
        <x:v>-900</x:v>
      </x:c>
    </x:row>
    <x:row r="8">
      <x:c r="A8" t="str">
        <x:v>B06_STATIONS_T1</x:v>
      </x:c>
      <x:c r="B8" t="n">
        <x:v>7</x:v>
      </x:c>
      <x:c r="C8" t="str">
        <x:v>Estações T1</x:v>
      </x:c>
      <x:c r="D8" t="str">
        <x:v>Vertical Slice</x:v>
      </x:c>
      <x:c r="E8" t="str">
        <x:v>P0</x:v>
      </x:c>
      <x:c r="F8" t="n">
        <x:v>4</x:v>
      </x:c>
      <x:c r="G8" t="n">
        <x:v>300</x:v>
      </x:c>
      <x:c r="H8" t="n">
        <x:v>492</x:v>
      </x:c>
      <x:c r="I8" t="str">
        <x:v>Previous batch approved</x:v>
      </x:c>
      <x:c r="J8" t="str">
        <x:v>80% approved; blockers documented; Unity sample validated</x:v>
      </x:c>
      <x:c r="K8" t="str">
        <x:v>Not Started</x:v>
      </x:c>
      <x:c r="L8" t="n">
        <x:f>SUMIF('Asset Queue'!$J$2:$J$260,A8,'Asset Queue'!$AD$2:$AD$260)</x:f>
        <x:v>0</x:v>
      </x:c>
      <x:c r="M8" t="n">
        <x:f>COUNTIFS('Asset Queue'!$J$2:$J$260,A8,'Asset Queue'!$AB$2:$AB$260,"Approved")</x:f>
        <x:v>0</x:v>
      </x:c>
      <x:c r="N8" s="20" t="n">
        <x:f>IFERROR(M8/F8,0)</x:f>
        <x:v>0</x:v>
      </x:c>
      <x:c r="O8" t="n">
        <x:f>L8-G8</x:f>
        <x:v>-300</x:v>
      </x:c>
    </x:row>
    <x:row r="9">
      <x:c r="A9" t="str">
        <x:v>B07_GOBLIN_ENV_CORE</x:v>
      </x:c>
      <x:c r="B9" t="n">
        <x:v>8</x:v>
      </x:c>
      <x:c r="C9" t="str">
        <x:v>Kit Goblin — núcleo</x:v>
      </x:c>
      <x:c r="D9" t="str">
        <x:v>Vertical Slice</x:v>
      </x:c>
      <x:c r="E9" t="str">
        <x:v>P0</x:v>
      </x:c>
      <x:c r="F9" t="n">
        <x:v>8</x:v>
      </x:c>
      <x:c r="G9" t="n">
        <x:v>600</x:v>
      </x:c>
      <x:c r="H9" t="n">
        <x:v>948</x:v>
      </x:c>
      <x:c r="I9" t="str">
        <x:v>Previous batch approved</x:v>
      </x:c>
      <x:c r="J9" t="str">
        <x:v>80% approved; blockers documented; Unity sample validated</x:v>
      </x:c>
      <x:c r="K9" t="str">
        <x:v>Not Started</x:v>
      </x:c>
      <x:c r="L9" t="n">
        <x:f>SUMIF('Asset Queue'!$J$2:$J$260,A9,'Asset Queue'!$AD$2:$AD$260)</x:f>
        <x:v>0</x:v>
      </x:c>
      <x:c r="M9" t="n">
        <x:f>COUNTIFS('Asset Queue'!$J$2:$J$260,A9,'Asset Queue'!$AB$2:$AB$260,"Approved")</x:f>
        <x:v>0</x:v>
      </x:c>
      <x:c r="N9" s="20" t="n">
        <x:f>IFERROR(M9/F9,0)</x:f>
        <x:v>0</x:v>
      </x:c>
      <x:c r="O9" t="n">
        <x:f>L9-G9</x:f>
        <x:v>-600</x:v>
      </x:c>
    </x:row>
    <x:row r="10">
      <x:c r="A10" t="str">
        <x:v>B08_EQUIPMENT_T2</x:v>
      </x:c>
      <x:c r="B10" t="n">
        <x:v>9</x:v>
      </x:c>
      <x:c r="C10" t="str">
        <x:v>Equipamentos T2</x:v>
      </x:c>
      <x:c r="D10" t="str">
        <x:v>MVP</x:v>
      </x:c>
      <x:c r="E10" t="str">
        <x:v>P1</x:v>
      </x:c>
      <x:c r="F10" t="n">
        <x:v>18</x:v>
      </x:c>
      <x:c r="G10" t="n">
        <x:v>990</x:v>
      </x:c>
      <x:c r="H10" t="n">
        <x:v>1620</x:v>
      </x:c>
      <x:c r="I10" t="str">
        <x:v>Previous batch approved</x:v>
      </x:c>
      <x:c r="J10" t="str">
        <x:v>80% approved; blockers documented; Unity sample validated</x:v>
      </x:c>
      <x:c r="K10" t="str">
        <x:v>Not Started</x:v>
      </x:c>
      <x:c r="L10" t="n">
        <x:f>SUMIF('Asset Queue'!$J$2:$J$260,A10,'Asset Queue'!$AD$2:$AD$260)</x:f>
        <x:v>0</x:v>
      </x:c>
      <x:c r="M10" t="n">
        <x:f>COUNTIFS('Asset Queue'!$J$2:$J$260,A10,'Asset Queue'!$AB$2:$AB$260,"Approved")</x:f>
        <x:v>0</x:v>
      </x:c>
      <x:c r="N10" s="20" t="n">
        <x:f>IFERROR(M10/F10,0)</x:f>
        <x:v>0</x:v>
      </x:c>
      <x:c r="O10" t="n">
        <x:f>L10-G10</x:f>
        <x:v>-990</x:v>
      </x:c>
    </x:row>
    <x:row r="11">
      <x:c r="A11" t="str">
        <x:v>B09_EQUIPMENT_T3</x:v>
      </x:c>
      <x:c r="B11" t="n">
        <x:v>10</x:v>
      </x:c>
      <x:c r="C11" t="str">
        <x:v>Equipamentos T3</x:v>
      </x:c>
      <x:c r="D11" t="str">
        <x:v>MVP</x:v>
      </x:c>
      <x:c r="E11" t="str">
        <x:v>P1</x:v>
      </x:c>
      <x:c r="F11" t="n">
        <x:v>18</x:v>
      </x:c>
      <x:c r="G11" t="n">
        <x:v>990</x:v>
      </x:c>
      <x:c r="H11" t="n">
        <x:v>1620</x:v>
      </x:c>
      <x:c r="I11" t="str">
        <x:v>Previous batch approved</x:v>
      </x:c>
      <x:c r="J11" t="str">
        <x:v>80% approved; blockers documented; Unity sample validated</x:v>
      </x:c>
      <x:c r="K11" t="str">
        <x:v>Not Started</x:v>
      </x:c>
      <x:c r="L11" t="n">
        <x:f>SUMIF('Asset Queue'!$J$2:$J$260,A11,'Asset Queue'!$AD$2:$AD$260)</x:f>
        <x:v>0</x:v>
      </x:c>
      <x:c r="M11" t="n">
        <x:f>COUNTIFS('Asset Queue'!$J$2:$J$260,A11,'Asset Queue'!$AB$2:$AB$260,"Approved")</x:f>
        <x:v>0</x:v>
      </x:c>
      <x:c r="N11" s="20" t="n">
        <x:f>IFERROR(M11/F11,0)</x:f>
        <x:v>0</x:v>
      </x:c>
      <x:c r="O11" t="n">
        <x:f>L11-G11</x:f>
        <x:v>-990</x:v>
      </x:c>
    </x:row>
    <x:row r="12">
      <x:c r="A12" t="str">
        <x:v>B10_EQUIPMENT_T4</x:v>
      </x:c>
      <x:c r="B12" t="n">
        <x:v>11</x:v>
      </x:c>
      <x:c r="C12" t="str">
        <x:v>Equipamentos T4</x:v>
      </x:c>
      <x:c r="D12" t="str">
        <x:v>Season 1</x:v>
      </x:c>
      <x:c r="E12" t="str">
        <x:v>P2</x:v>
      </x:c>
      <x:c r="F12" t="n">
        <x:v>18</x:v>
      </x:c>
      <x:c r="G12" t="n">
        <x:v>990</x:v>
      </x:c>
      <x:c r="H12" t="n">
        <x:v>1620</x:v>
      </x:c>
      <x:c r="I12" t="str">
        <x:v>Previous batch approved</x:v>
      </x:c>
      <x:c r="J12" t="str">
        <x:v>80% approved; blockers documented; Unity sample validated</x:v>
      </x:c>
      <x:c r="K12" t="str">
        <x:v>Not Started</x:v>
      </x:c>
      <x:c r="L12" t="n">
        <x:f>SUMIF('Asset Queue'!$J$2:$J$260,A12,'Asset Queue'!$AD$2:$AD$260)</x:f>
        <x:v>0</x:v>
      </x:c>
      <x:c r="M12" t="n">
        <x:f>COUNTIFS('Asset Queue'!$J$2:$J$260,A12,'Asset Queue'!$AB$2:$AB$260,"Approved")</x:f>
        <x:v>0</x:v>
      </x:c>
      <x:c r="N12" s="20" t="n">
        <x:f>IFERROR(M12/F12,0)</x:f>
        <x:v>0</x:v>
      </x:c>
      <x:c r="O12" t="n">
        <x:f>L12-G12</x:f>
        <x:v>-990</x:v>
      </x:c>
    </x:row>
    <x:row r="13">
      <x:c r="A13" t="str">
        <x:v>B11_EQUIPMENT_T5</x:v>
      </x:c>
      <x:c r="B13" t="n">
        <x:v>12</x:v>
      </x:c>
      <x:c r="C13" t="str">
        <x:v>Equipamentos T5</x:v>
      </x:c>
      <x:c r="D13" t="str">
        <x:v>Season 1</x:v>
      </x:c>
      <x:c r="E13" t="str">
        <x:v>P2</x:v>
      </x:c>
      <x:c r="F13" t="n">
        <x:v>18</x:v>
      </x:c>
      <x:c r="G13" t="n">
        <x:v>990</x:v>
      </x:c>
      <x:c r="H13" t="n">
        <x:v>1620</x:v>
      </x:c>
      <x:c r="I13" t="str">
        <x:v>Previous batch approved</x:v>
      </x:c>
      <x:c r="J13" t="str">
        <x:v>80% approved; blockers documented; Unity sample validated</x:v>
      </x:c>
      <x:c r="K13" t="str">
        <x:v>Not Started</x:v>
      </x:c>
      <x:c r="L13" t="n">
        <x:f>SUMIF('Asset Queue'!$J$2:$J$260,A13,'Asset Queue'!$AD$2:$AD$260)</x:f>
        <x:v>0</x:v>
      </x:c>
      <x:c r="M13" t="n">
        <x:f>COUNTIFS('Asset Queue'!$J$2:$J$260,A13,'Asset Queue'!$AB$2:$AB$260,"Approved")</x:f>
        <x:v>0</x:v>
      </x:c>
      <x:c r="N13" s="20" t="n">
        <x:f>IFERROR(M13/F13,0)</x:f>
        <x:v>0</x:v>
      </x:c>
      <x:c r="O13" t="n">
        <x:f>L13-G13</x:f>
        <x:v>-990</x:v>
      </x:c>
    </x:row>
    <x:row r="14">
      <x:c r="A14" t="str">
        <x:v>B12_EQUIPMENT_T6</x:v>
      </x:c>
      <x:c r="B14" t="n">
        <x:v>13</x:v>
      </x:c>
      <x:c r="C14" t="str">
        <x:v>Equipamentos T6</x:v>
      </x:c>
      <x:c r="D14" t="str">
        <x:v>Season 1</x:v>
      </x:c>
      <x:c r="E14" t="str">
        <x:v>P2</x:v>
      </x:c>
      <x:c r="F14" t="n">
        <x:v>18</x:v>
      </x:c>
      <x:c r="G14" t="n">
        <x:v>990</x:v>
      </x:c>
      <x:c r="H14" t="n">
        <x:v>1620</x:v>
      </x:c>
      <x:c r="I14" t="str">
        <x:v>Previous batch approved</x:v>
      </x:c>
      <x:c r="J14" t="str">
        <x:v>80% approved; blockers documented; Unity sample validated</x:v>
      </x:c>
      <x:c r="K14" t="str">
        <x:v>Not Started</x:v>
      </x:c>
      <x:c r="L14" t="n">
        <x:f>SUMIF('Asset Queue'!$J$2:$J$260,A14,'Asset Queue'!$AD$2:$AD$260)</x:f>
        <x:v>0</x:v>
      </x:c>
      <x:c r="M14" t="n">
        <x:f>COUNTIFS('Asset Queue'!$J$2:$J$260,A14,'Asset Queue'!$AB$2:$AB$260,"Approved")</x:f>
        <x:v>0</x:v>
      </x:c>
      <x:c r="N14" s="20" t="n">
        <x:f>IFERROR(M14/F14,0)</x:f>
        <x:v>0</x:v>
      </x:c>
      <x:c r="O14" t="n">
        <x:f>L14-G14</x:f>
        <x:v>-990</x:v>
      </x:c>
    </x:row>
    <x:row r="15">
      <x:c r="A15" t="str">
        <x:v>B13_EQUIPMENT_T7</x:v>
      </x:c>
      <x:c r="B15" t="n">
        <x:v>14</x:v>
      </x:c>
      <x:c r="C15" t="str">
        <x:v>Equipamentos T7</x:v>
      </x:c>
      <x:c r="D15" t="str">
        <x:v>Season 1</x:v>
      </x:c>
      <x:c r="E15" t="str">
        <x:v>P2</x:v>
      </x:c>
      <x:c r="F15" t="n">
        <x:v>18</x:v>
      </x:c>
      <x:c r="G15" t="n">
        <x:v>990</x:v>
      </x:c>
      <x:c r="H15" t="n">
        <x:v>1620</x:v>
      </x:c>
      <x:c r="I15" t="str">
        <x:v>Previous batch approved</x:v>
      </x:c>
      <x:c r="J15" t="str">
        <x:v>80% approved; blockers documented; Unity sample validated</x:v>
      </x:c>
      <x:c r="K15" t="str">
        <x:v>Not Started</x:v>
      </x:c>
      <x:c r="L15" t="n">
        <x:f>SUMIF('Asset Queue'!$J$2:$J$260,A15,'Asset Queue'!$AD$2:$AD$260)</x:f>
        <x:v>0</x:v>
      </x:c>
      <x:c r="M15" t="n">
        <x:f>COUNTIFS('Asset Queue'!$J$2:$J$260,A15,'Asset Queue'!$AB$2:$AB$260,"Approved")</x:f>
        <x:v>0</x:v>
      </x:c>
      <x:c r="N15" s="20" t="n">
        <x:f>IFERROR(M15/F15,0)</x:f>
        <x:v>0</x:v>
      </x:c>
      <x:c r="O15" t="n">
        <x:f>L15-G15</x:f>
        <x:v>-990</x:v>
      </x:c>
    </x:row>
    <x:row r="16">
      <x:c r="A16" t="str">
        <x:v>B14_EQUIPMENT_T8</x:v>
      </x:c>
      <x:c r="B16" t="n">
        <x:v>15</x:v>
      </x:c>
      <x:c r="C16" t="str">
        <x:v>Equipamentos T8</x:v>
      </x:c>
      <x:c r="D16" t="str">
        <x:v>Post-MVP</x:v>
      </x:c>
      <x:c r="E16" t="str">
        <x:v>P3</x:v>
      </x:c>
      <x:c r="F16" t="n">
        <x:v>18</x:v>
      </x:c>
      <x:c r="G16" t="n">
        <x:v>630</x:v>
      </x:c>
      <x:c r="H16" t="n">
        <x:v>1080</x:v>
      </x:c>
      <x:c r="I16" t="str">
        <x:v>Previous batch approved</x:v>
      </x:c>
      <x:c r="J16" t="str">
        <x:v>80% approved; blockers documented; Unity sample validated</x:v>
      </x:c>
      <x:c r="K16" t="str">
        <x:v>Not Started</x:v>
      </x:c>
      <x:c r="L16" t="n">
        <x:f>SUMIF('Asset Queue'!$J$2:$J$260,A16,'Asset Queue'!$AD$2:$AD$260)</x:f>
        <x:v>0</x:v>
      </x:c>
      <x:c r="M16" t="n">
        <x:f>COUNTIFS('Asset Queue'!$J$2:$J$260,A16,'Asset Queue'!$AB$2:$AB$260,"Approved")</x:f>
        <x:v>0</x:v>
      </x:c>
      <x:c r="N16" s="20" t="n">
        <x:f>IFERROR(M16/F16,0)</x:f>
        <x:v>0</x:v>
      </x:c>
      <x:c r="O16" t="n">
        <x:f>L16-G16</x:f>
        <x:v>-630</x:v>
      </x:c>
    </x:row>
    <x:row r="17">
      <x:c r="A17" t="str">
        <x:v>B15_EQUIPMENT_T9</x:v>
      </x:c>
      <x:c r="B17" t="n">
        <x:v>16</x:v>
      </x:c>
      <x:c r="C17" t="str">
        <x:v>Equipamentos T9</x:v>
      </x:c>
      <x:c r="D17" t="str">
        <x:v>Post-MVP</x:v>
      </x:c>
      <x:c r="E17" t="str">
        <x:v>P3</x:v>
      </x:c>
      <x:c r="F17" t="n">
        <x:v>18</x:v>
      </x:c>
      <x:c r="G17" t="n">
        <x:v>630</x:v>
      </x:c>
      <x:c r="H17" t="n">
        <x:v>1080</x:v>
      </x:c>
      <x:c r="I17" t="str">
        <x:v>Previous batch approved</x:v>
      </x:c>
      <x:c r="J17" t="str">
        <x:v>80% approved; blockers documented; Unity sample validated</x:v>
      </x:c>
      <x:c r="K17" t="str">
        <x:v>Not Started</x:v>
      </x:c>
      <x:c r="L17" t="n">
        <x:f>SUMIF('Asset Queue'!$J$2:$J$260,A17,'Asset Queue'!$AD$2:$AD$260)</x:f>
        <x:v>0</x:v>
      </x:c>
      <x:c r="M17" t="n">
        <x:f>COUNTIFS('Asset Queue'!$J$2:$J$260,A17,'Asset Queue'!$AB$2:$AB$260,"Approved")</x:f>
        <x:v>0</x:v>
      </x:c>
      <x:c r="N17" s="20" t="n">
        <x:f>IFERROR(M17/F17,0)</x:f>
        <x:v>0</x:v>
      </x:c>
      <x:c r="O17" t="n">
        <x:f>L17-G17</x:f>
        <x:v>-630</x:v>
      </x:c>
    </x:row>
    <x:row r="18">
      <x:c r="A18" t="str">
        <x:v>B16_STATIONS_T3</x:v>
      </x:c>
      <x:c r="B18" t="n">
        <x:v>17</x:v>
      </x:c>
      <x:c r="C18" t="str">
        <x:v>Estações T3</x:v>
      </x:c>
      <x:c r="D18" t="str">
        <x:v>MVP</x:v>
      </x:c>
      <x:c r="E18" t="str">
        <x:v>P1</x:v>
      </x:c>
      <x:c r="F18" t="n">
        <x:v>5</x:v>
      </x:c>
      <x:c r="G18" t="n">
        <x:v>275</x:v>
      </x:c>
      <x:c r="H18" t="n">
        <x:v>465</x:v>
      </x:c>
      <x:c r="I18" t="str">
        <x:v>Previous batch approved</x:v>
      </x:c>
      <x:c r="J18" t="str">
        <x:v>80% approved; blockers documented; Unity sample validated</x:v>
      </x:c>
      <x:c r="K18" t="str">
        <x:v>Not Started</x:v>
      </x:c>
      <x:c r="L18" t="n">
        <x:f>SUMIF('Asset Queue'!$J$2:$J$260,A18,'Asset Queue'!$AD$2:$AD$260)</x:f>
        <x:v>0</x:v>
      </x:c>
      <x:c r="M18" t="n">
        <x:f>COUNTIFS('Asset Queue'!$J$2:$J$260,A18,'Asset Queue'!$AB$2:$AB$260,"Approved")</x:f>
        <x:v>0</x:v>
      </x:c>
      <x:c r="N18" s="20" t="n">
        <x:f>IFERROR(M18/F18,0)</x:f>
        <x:v>0</x:v>
      </x:c>
      <x:c r="O18" t="n">
        <x:f>L18-G18</x:f>
        <x:v>-275</x:v>
      </x:c>
    </x:row>
    <x:row r="19">
      <x:c r="A19" t="str">
        <x:v>B17_STATIONS_T5</x:v>
      </x:c>
      <x:c r="B19" t="n">
        <x:v>18</x:v>
      </x:c>
      <x:c r="C19" t="str">
        <x:v>Estações T5</x:v>
      </x:c>
      <x:c r="D19" t="str">
        <x:v>Season 1</x:v>
      </x:c>
      <x:c r="E19" t="str">
        <x:v>P2</x:v>
      </x:c>
      <x:c r="F19" t="n">
        <x:v>5</x:v>
      </x:c>
      <x:c r="G19" t="n">
        <x:v>275</x:v>
      </x:c>
      <x:c r="H19" t="n">
        <x:v>465</x:v>
      </x:c>
      <x:c r="I19" t="str">
        <x:v>Previous batch approved</x:v>
      </x:c>
      <x:c r="J19" t="str">
        <x:v>80% approved; blockers documented; Unity sample validated</x:v>
      </x:c>
      <x:c r="K19" t="str">
        <x:v>Not Started</x:v>
      </x:c>
      <x:c r="L19" t="n">
        <x:f>SUMIF('Asset Queue'!$J$2:$J$260,A19,'Asset Queue'!$AD$2:$AD$260)</x:f>
        <x:v>0</x:v>
      </x:c>
      <x:c r="M19" t="n">
        <x:f>COUNTIFS('Asset Queue'!$J$2:$J$260,A19,'Asset Queue'!$AB$2:$AB$260,"Approved")</x:f>
        <x:v>0</x:v>
      </x:c>
      <x:c r="N19" s="20" t="n">
        <x:f>IFERROR(M19/F19,0)</x:f>
        <x:v>0</x:v>
      </x:c>
      <x:c r="O19" t="n">
        <x:f>L19-G19</x:f>
        <x:v>-275</x:v>
      </x:c>
    </x:row>
    <x:row r="20">
      <x:c r="A20" t="str">
        <x:v>B18_STATIONS_T7</x:v>
      </x:c>
      <x:c r="B20" t="n">
        <x:v>19</x:v>
      </x:c>
      <x:c r="C20" t="str">
        <x:v>Estações T7</x:v>
      </x:c>
      <x:c r="D20" t="str">
        <x:v>Season 1</x:v>
      </x:c>
      <x:c r="E20" t="str">
        <x:v>P2</x:v>
      </x:c>
      <x:c r="F20" t="n">
        <x:v>5</x:v>
      </x:c>
      <x:c r="G20" t="n">
        <x:v>275</x:v>
      </x:c>
      <x:c r="H20" t="n">
        <x:v>465</x:v>
      </x:c>
      <x:c r="I20" t="str">
        <x:v>Previous batch approved</x:v>
      </x:c>
      <x:c r="J20" t="str">
        <x:v>80% approved; blockers documented; Unity sample validated</x:v>
      </x:c>
      <x:c r="K20" t="str">
        <x:v>Not Started</x:v>
      </x:c>
      <x:c r="L20" t="n">
        <x:f>SUMIF('Asset Queue'!$J$2:$J$260,A20,'Asset Queue'!$AD$2:$AD$260)</x:f>
        <x:v>0</x:v>
      </x:c>
      <x:c r="M20" t="n">
        <x:f>COUNTIFS('Asset Queue'!$J$2:$J$260,A20,'Asset Queue'!$AB$2:$AB$260,"Approved")</x:f>
        <x:v>0</x:v>
      </x:c>
      <x:c r="N20" s="20" t="n">
        <x:f>IFERROR(M20/F20,0)</x:f>
        <x:v>0</x:v>
      </x:c>
      <x:c r="O20" t="n">
        <x:f>L20-G20</x:f>
        <x:v>-275</x:v>
      </x:c>
    </x:row>
    <x:row r="21">
      <x:c r="A21" t="str">
        <x:v>B19_STATIONS_T9</x:v>
      </x:c>
      <x:c r="B21" t="n">
        <x:v>20</x:v>
      </x:c>
      <x:c r="C21" t="str">
        <x:v>Estações T9</x:v>
      </x:c>
      <x:c r="D21" t="str">
        <x:v>Post-MVP</x:v>
      </x:c>
      <x:c r="E21" t="str">
        <x:v>P3</x:v>
      </x:c>
      <x:c r="F21" t="n">
        <x:v>5</x:v>
      </x:c>
      <x:c r="G21" t="n">
        <x:v>375</x:v>
      </x:c>
      <x:c r="H21" t="n">
        <x:v>615</x:v>
      </x:c>
      <x:c r="I21" t="str">
        <x:v>Previous batch approved</x:v>
      </x:c>
      <x:c r="J21" t="str">
        <x:v>80% approved; blockers documented; Unity sample validated</x:v>
      </x:c>
      <x:c r="K21" t="str">
        <x:v>Not Started</x:v>
      </x:c>
      <x:c r="L21" t="n">
        <x:f>SUMIF('Asset Queue'!$J$2:$J$260,A21,'Asset Queue'!$AD$2:$AD$260)</x:f>
        <x:v>0</x:v>
      </x:c>
      <x:c r="M21" t="n">
        <x:f>COUNTIFS('Asset Queue'!$J$2:$J$260,A21,'Asset Queue'!$AB$2:$AB$260,"Approved")</x:f>
        <x:v>0</x:v>
      </x:c>
      <x:c r="N21" s="20" t="n">
        <x:f>IFERROR(M21/F21,0)</x:f>
        <x:v>0</x:v>
      </x:c>
      <x:c r="O21" t="n">
        <x:f>L21-G21</x:f>
        <x:v>-375</x:v>
      </x:c>
    </x:row>
    <x:row r="22">
      <x:c r="A22" t="str">
        <x:v>B20_GOBLIN_ENV_PROPS</x:v>
      </x:c>
      <x:c r="B22" t="n">
        <x:v>21</x:v>
      </x:c>
      <x:c r="C22" t="str">
        <x:v>Kit Goblin — props</x:v>
      </x:c>
      <x:c r="D22" t="str">
        <x:v>Vertical Slice</x:v>
      </x:c>
      <x:c r="E22" t="str">
        <x:v>P0</x:v>
      </x:c>
      <x:c r="F22" t="n">
        <x:v>11</x:v>
      </x:c>
      <x:c r="G22" t="n">
        <x:v>825</x:v>
      </x:c>
      <x:c r="H22" t="n">
        <x:v>1299</x:v>
      </x:c>
      <x:c r="I22" t="str">
        <x:v>Previous batch approved</x:v>
      </x:c>
      <x:c r="J22" t="str">
        <x:v>80% approved; blockers documented; Unity sample validated</x:v>
      </x:c>
      <x:c r="K22" t="str">
        <x:v>Not Started</x:v>
      </x:c>
      <x:c r="L22" t="n">
        <x:f>SUMIF('Asset Queue'!$J$2:$J$260,A22,'Asset Queue'!$AD$2:$AD$260)</x:f>
        <x:v>0</x:v>
      </x:c>
      <x:c r="M22" t="n">
        <x:f>COUNTIFS('Asset Queue'!$J$2:$J$260,A22,'Asset Queue'!$AB$2:$AB$260,"Approved")</x:f>
        <x:v>0</x:v>
      </x:c>
      <x:c r="N22" s="20" t="n">
        <x:f>IFERROR(M22/F22,0)</x:f>
        <x:v>0</x:v>
      </x:c>
      <x:c r="O22" t="n">
        <x:f>L22-G22</x:f>
        <x:v>-825</x:v>
      </x:c>
    </x:row>
    <x:row r="23">
      <x:c r="A23" t="str">
        <x:v>B21_UNDEAD_ENV_CORE</x:v>
      </x:c>
      <x:c r="B23" t="n">
        <x:v>22</x:v>
      </x:c>
      <x:c r="C23" t="str">
        <x:v>Cripta — núcleo</x:v>
      </x:c>
      <x:c r="D23" t="str">
        <x:v>Season 1 - Arc 2</x:v>
      </x:c>
      <x:c r="E23" t="str">
        <x:v>P1</x:v>
      </x:c>
      <x:c r="F23" t="n">
        <x:v>6</x:v>
      </x:c>
      <x:c r="G23" t="n">
        <x:v>330</x:v>
      </x:c>
      <x:c r="H23" t="n">
        <x:v>549</x:v>
      </x:c>
      <x:c r="I23" t="str">
        <x:v>Previous batch approved</x:v>
      </x:c>
      <x:c r="J23" t="str">
        <x:v>80% approved; blockers documented; Unity sample validated</x:v>
      </x:c>
      <x:c r="K23" t="str">
        <x:v>Not Started</x:v>
      </x:c>
      <x:c r="L23" t="n">
        <x:f>SUMIF('Asset Queue'!$J$2:$J$260,A23,'Asset Queue'!$AD$2:$AD$260)</x:f>
        <x:v>0</x:v>
      </x:c>
      <x:c r="M23" t="n">
        <x:f>COUNTIFS('Asset Queue'!$J$2:$J$260,A23,'Asset Queue'!$AB$2:$AB$260,"Approved")</x:f>
        <x:v>0</x:v>
      </x:c>
      <x:c r="N23" s="20" t="n">
        <x:f>IFERROR(M23/F23,0)</x:f>
        <x:v>0</x:v>
      </x:c>
      <x:c r="O23" t="n">
        <x:f>L23-G23</x:f>
        <x:v>-330</x:v>
      </x:c>
    </x:row>
    <x:row r="24">
      <x:c r="A24" t="str">
        <x:v>B22_UNDEAD_ENV_PROPS</x:v>
      </x:c>
      <x:c r="B24" t="n">
        <x:v>23</x:v>
      </x:c>
      <x:c r="C24" t="str">
        <x:v>Cripta — props</x:v>
      </x:c>
      <x:c r="D24" t="str">
        <x:v>Season 1 - Arc 2</x:v>
      </x:c>
      <x:c r="E24" t="str">
        <x:v>P1</x:v>
      </x:c>
      <x:c r="F24" t="n">
        <x:v>14</x:v>
      </x:c>
      <x:c r="G24" t="n">
        <x:v>770</x:v>
      </x:c>
      <x:c r="H24" t="n">
        <x:v>1203</x:v>
      </x:c>
      <x:c r="I24" t="str">
        <x:v>Previous batch approved</x:v>
      </x:c>
      <x:c r="J24" t="str">
        <x:v>80% approved; blockers documented; Unity sample validated</x:v>
      </x:c>
      <x:c r="K24" t="str">
        <x:v>Not Started</x:v>
      </x:c>
      <x:c r="L24" t="n">
        <x:f>SUMIF('Asset Queue'!$J$2:$J$260,A24,'Asset Queue'!$AD$2:$AD$260)</x:f>
        <x:v>0</x:v>
      </x:c>
      <x:c r="M24" t="n">
        <x:f>COUNTIFS('Asset Queue'!$J$2:$J$260,A24,'Asset Queue'!$AB$2:$AB$260,"Approved")</x:f>
        <x:v>0</x:v>
      </x:c>
      <x:c r="N24" s="20" t="n">
        <x:f>IFERROR(M24/F24,0)</x:f>
        <x:v>0</x:v>
      </x:c>
      <x:c r="O24" t="n">
        <x:f>L24-G24</x:f>
        <x:v>-770</x:v>
      </x:c>
    </x:row>
    <x:row r="25">
      <x:c r="A25" t="str">
        <x:v>B23_INFERNAL_ENV_CORE</x:v>
      </x:c>
      <x:c r="B25" t="n">
        <x:v>24</x:v>
      </x:c>
      <x:c r="C25" t="str">
        <x:v>Fortaleza Infernal — núcleo</x:v>
      </x:c>
      <x:c r="D25" t="str">
        <x:v>Season 1 - Arc 3</x:v>
      </x:c>
      <x:c r="E25" t="str">
        <x:v>P1</x:v>
      </x:c>
      <x:c r="F25" t="n">
        <x:v>8</x:v>
      </x:c>
      <x:c r="G25" t="n">
        <x:v>440</x:v>
      </x:c>
      <x:c r="H25" t="n">
        <x:v>717</x:v>
      </x:c>
      <x:c r="I25" t="str">
        <x:v>Previous batch approved</x:v>
      </x:c>
      <x:c r="J25" t="str">
        <x:v>80% approved; blockers documented; Unity sample validated</x:v>
      </x:c>
      <x:c r="K25" t="str">
        <x:v>Not Started</x:v>
      </x:c>
      <x:c r="L25" t="n">
        <x:f>SUMIF('Asset Queue'!$J$2:$J$260,A25,'Asset Queue'!$AD$2:$AD$260)</x:f>
        <x:v>0</x:v>
      </x:c>
      <x:c r="M25" t="n">
        <x:f>COUNTIFS('Asset Queue'!$J$2:$J$260,A25,'Asset Queue'!$AB$2:$AB$260,"Approved")</x:f>
        <x:v>0</x:v>
      </x:c>
      <x:c r="N25" s="20" t="n">
        <x:f>IFERROR(M25/F25,0)</x:f>
        <x:v>0</x:v>
      </x:c>
      <x:c r="O25" t="n">
        <x:f>L25-G25</x:f>
        <x:v>-440</x:v>
      </x:c>
    </x:row>
    <x:row r="26">
      <x:c r="A26" t="str">
        <x:v>B24_INFERNAL_ENV_PROPS</x:v>
      </x:c>
      <x:c r="B26" t="n">
        <x:v>25</x:v>
      </x:c>
      <x:c r="C26" t="str">
        <x:v>Fortaleza Infernal — props</x:v>
      </x:c>
      <x:c r="D26" t="str">
        <x:v>Season 1 - Arc 3</x:v>
      </x:c>
      <x:c r="E26" t="str">
        <x:v>P1</x:v>
      </x:c>
      <x:c r="F26" t="n">
        <x:v>12</x:v>
      </x:c>
      <x:c r="G26" t="n">
        <x:v>660</x:v>
      </x:c>
      <x:c r="H26" t="n">
        <x:v>1062</x:v>
      </x:c>
      <x:c r="I26" t="str">
        <x:v>Previous batch approved</x:v>
      </x:c>
      <x:c r="J26" t="str">
        <x:v>80% approved; blockers documented; Unity sample validated</x:v>
      </x:c>
      <x:c r="K26" t="str">
        <x:v>Not Started</x:v>
      </x:c>
      <x:c r="L26" t="n">
        <x:f>SUMIF('Asset Queue'!$J$2:$J$260,A26,'Asset Queue'!$AD$2:$AD$260)</x:f>
        <x:v>0</x:v>
      </x:c>
      <x:c r="M26" t="n">
        <x:f>COUNTIFS('Asset Queue'!$J$2:$J$260,A26,'Asset Queue'!$AB$2:$AB$260,"Approved")</x:f>
        <x:v>0</x:v>
      </x:c>
      <x:c r="N26" s="20" t="n">
        <x:f>IFERROR(M26/F26,0)</x:f>
        <x:v>0</x:v>
      </x:c>
      <x:c r="O26" t="n">
        <x:f>L26-G26</x:f>
        <x:v>-660</x:v>
      </x:c>
    </x:row>
  </x:sheetData>
  <x:pageMargins left="0.7" right="0.7" top="0.75" bottom="0.75" header="0.3" footer="0.3"/>
  <x:tableParts count="1">
    <x:tablePart xmlns:r="http://schemas.openxmlformats.org/officeDocument/2006/relationships" r:id="Rbf7d31b20b3a48d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16" hidden="0" customWidth="1"/>
    <x:col min="4" max="4" width="70" hidden="0" customWidth="1"/>
    <x:col min="5" max="5" width="12" hidden="0" customWidth="1"/>
    <x:col min="6" max="6" width="10" hidden="0" customWidth="1"/>
    <x:col min="7" max="7" width="68" hidden="0" customWidth="1"/>
  </x:cols>
  <x:sheetData>
    <x:row r="1">
      <x:c r="A1" s="6" t="str">
        <x:v>prompt_id</x:v>
      </x:c>
      <x:c r="B1" s="6" t="str">
        <x:v>domain</x:v>
      </x:c>
      <x:c r="C1" s="6" t="str">
        <x:v>prompt_type</x:v>
      </x:c>
      <x:c r="D1" s="6" t="str">
        <x:v>path</x:v>
      </x:c>
      <x:c r="E1" s="6" t="str">
        <x:v>characters</x:v>
      </x:c>
      <x:c r="F1" s="6" t="str">
        <x:v>words</x:v>
      </x:c>
      <x:c r="G1" s="6" t="str">
        <x:v>sha256</x:v>
      </x:c>
    </x:row>
    <x:row r="2">
      <x:c r="A2" t="str">
        <x:v>c9ef92517af9</x:v>
      </x:c>
      <x:c r="B2" t="str">
        <x:v>Character</x:v>
      </x:c>
      <x:c r="C2" t="str">
        <x:v>Concept</x:v>
      </x:c>
      <x:c r="D2" t="str">
        <x:v>ConceptArt/boss_goblin_chieftain_001_concept_sheet.txt</x:v>
      </x:c>
      <x:c r="E2" t="n">
        <x:v>3294</x:v>
      </x:c>
      <x:c r="F2" t="n">
        <x:v>460</x:v>
      </x:c>
      <x:c r="G2" t="str">
        <x:v>255a0fbbc48775584ea65ec72c71e27ee425e3c79259bae19c4e99fde1af9ac0</x:v>
      </x:c>
    </x:row>
    <x:row r="3">
      <x:c r="A3" t="str">
        <x:v>892a26e435ea</x:v>
      </x:c>
      <x:c r="B3" t="str">
        <x:v>Character</x:v>
      </x:c>
      <x:c r="C3" t="str">
        <x:v>Concept</x:v>
      </x:c>
      <x:c r="D3" t="str">
        <x:v>ConceptArt/boss_goblin_king_001_concept_sheet.txt</x:v>
      </x:c>
      <x:c r="E3" t="n">
        <x:v>3701</x:v>
      </x:c>
      <x:c r="F3" t="n">
        <x:v>512</x:v>
      </x:c>
      <x:c r="G3" t="str">
        <x:v>ccb6b3583a567b217c671e4e6545d0fc41c15f6f2c84bb8f3f35c04072dab9d0</x:v>
      </x:c>
    </x:row>
    <x:row r="4">
      <x:c r="A4" t="str">
        <x:v>da928a4f5ba1</x:v>
      </x:c>
      <x:c r="B4" t="str">
        <x:v>Character</x:v>
      </x:c>
      <x:c r="C4" t="str">
        <x:v>Concept</x:v>
      </x:c>
      <x:c r="D4" t="str">
        <x:v>ConceptArt/enemy_goblin_archer_001_concept_sheet.txt</x:v>
      </x:c>
      <x:c r="E4" t="n">
        <x:v>3079</x:v>
      </x:c>
      <x:c r="F4" t="n">
        <x:v>422</x:v>
      </x:c>
      <x:c r="G4" t="str">
        <x:v>fc87050c35f868d6c569043ffecd4ca9cc973e2e8aef0e64fbaf59daf038381c</x:v>
      </x:c>
    </x:row>
    <x:row r="5">
      <x:c r="A5" t="str">
        <x:v>5c4d3aecb882</x:v>
      </x:c>
      <x:c r="B5" t="str">
        <x:v>Character</x:v>
      </x:c>
      <x:c r="C5" t="str">
        <x:v>Concept</x:v>
      </x:c>
      <x:c r="D5" t="str">
        <x:v>ConceptArt/enemy_goblin_high_shaman_001_concept_sheet.txt</x:v>
      </x:c>
      <x:c r="E5" t="n">
        <x:v>3418</x:v>
      </x:c>
      <x:c r="F5" t="n">
        <x:v>473</x:v>
      </x:c>
      <x:c r="G5" t="str">
        <x:v>8889044aafc16cfe517d8af92ba01650fa5dd11a5288e849e98897b3d29dee6f</x:v>
      </x:c>
    </x:row>
    <x:row r="6">
      <x:c r="A6" t="str">
        <x:v>a9d5ca9106b0</x:v>
      </x:c>
      <x:c r="B6" t="str">
        <x:v>Character</x:v>
      </x:c>
      <x:c r="C6" t="str">
        <x:v>Concept</x:v>
      </x:c>
      <x:c r="D6" t="str">
        <x:v>ConceptArt/enemy_goblin_ranger_001_concept_sheet.txt</x:v>
      </x:c>
      <x:c r="E6" t="n">
        <x:v>3138</x:v>
      </x:c>
      <x:c r="F6" t="n">
        <x:v>435</x:v>
      </x:c>
      <x:c r="G6" t="str">
        <x:v>f030598dd3d5f437cdf27a514bc9b1b3d12470759babf7d3139f43d4cbae2605</x:v>
      </x:c>
    </x:row>
    <x:row r="7">
      <x:c r="A7" t="str">
        <x:v>b5f81642961b</x:v>
      </x:c>
      <x:c r="B7" t="str">
        <x:v>Character</x:v>
      </x:c>
      <x:c r="C7" t="str">
        <x:v>Concept</x:v>
      </x:c>
      <x:c r="D7" t="str">
        <x:v>ConceptArt/enemy_goblin_scavenger_001_concept_sheet.txt</x:v>
      </x:c>
      <x:c r="E7" t="n">
        <x:v>3176</x:v>
      </x:c>
      <x:c r="F7" t="n">
        <x:v>443</x:v>
      </x:c>
      <x:c r="G7" t="str">
        <x:v>55745f52bc14e281fbe8c7cb224ce22231f551cba479d9665edf1f85b1bcff09</x:v>
      </x:c>
    </x:row>
    <x:row r="8">
      <x:c r="A8" t="str">
        <x:v>eb6d41ed5138</x:v>
      </x:c>
      <x:c r="B8" t="str">
        <x:v>Character</x:v>
      </x:c>
      <x:c r="C8" t="str">
        <x:v>Concept</x:v>
      </x:c>
      <x:c r="D8" t="str">
        <x:v>ConceptArt/enemy_goblin_shaman_001_concept_sheet.txt</x:v>
      </x:c>
      <x:c r="E8" t="n">
        <x:v>3204</x:v>
      </x:c>
      <x:c r="F8" t="n">
        <x:v>448</x:v>
      </x:c>
      <x:c r="G8" t="str">
        <x:v>dae9abff6daac0cde8d297413e799e9f9b1d664505468285ebf73c550e154175</x:v>
      </x:c>
    </x:row>
    <x:row r="9">
      <x:c r="A9" t="str">
        <x:v>0ef3f330d7d6</x:v>
      </x:c>
      <x:c r="B9" t="str">
        <x:v>Character</x:v>
      </x:c>
      <x:c r="C9" t="str">
        <x:v>Concept</x:v>
      </x:c>
      <x:c r="D9" t="str">
        <x:v>ConceptArt/enemy_goblin_warrior_001_concept_sheet.txt</x:v>
      </x:c>
      <x:c r="E9" t="n">
        <x:v>3140</x:v>
      </x:c>
      <x:c r="F9" t="n">
        <x:v>432</x:v>
      </x:c>
      <x:c r="G9" t="str">
        <x:v>6ae8b0225337bd1520a428fde379af810fe9c4683a483736c1d343512a0ab21d</x:v>
      </x:c>
    </x:row>
    <x:row r="10">
      <x:c r="A10" t="str">
        <x:v>21339c8ca3d8</x:v>
      </x:c>
      <x:c r="B10" t="str">
        <x:v>Character</x:v>
      </x:c>
      <x:c r="C10" t="str">
        <x:v>Concept</x:v>
      </x:c>
      <x:c r="D10" t="str">
        <x:v>ConceptArt/enemy_hobgoblin_knight_001_concept_sheet.txt</x:v>
      </x:c>
      <x:c r="E10" t="n">
        <x:v>3128</x:v>
      </x:c>
      <x:c r="F10" t="n">
        <x:v>426</x:v>
      </x:c>
      <x:c r="G10" t="str">
        <x:v>45599a2f2fac5066674265ff6481479dae8fca5dcd0b9f6d146c601035e5dc61</x:v>
      </x:c>
    </x:row>
    <x:row r="11">
      <x:c r="A11" t="str">
        <x:v>973290e0dba6</x:v>
      </x:c>
      <x:c r="B11" t="str">
        <x:v>Character</x:v>
      </x:c>
      <x:c r="C11" t="str">
        <x:v>Concept</x:v>
      </x:c>
      <x:c r="D11" t="str">
        <x:v>ConceptArt/hero_archer_001_concept_sheet.txt</x:v>
      </x:c>
      <x:c r="E11" t="n">
        <x:v>3317</x:v>
      </x:c>
      <x:c r="F11" t="n">
        <x:v>460</x:v>
      </x:c>
      <x:c r="G11" t="str">
        <x:v>b3d568317f734da7b6e7910c13aa0acecac9aff3c8369ee58da61ad3d4367530</x:v>
      </x:c>
    </x:row>
    <x:row r="12">
      <x:c r="A12" t="str">
        <x:v>335efabab84a</x:v>
      </x:c>
      <x:c r="B12" t="str">
        <x:v>Character</x:v>
      </x:c>
      <x:c r="C12" t="str">
        <x:v>Concept</x:v>
      </x:c>
      <x:c r="D12" t="str">
        <x:v>ConceptArt/hero_mage_001_concept_sheet.txt</x:v>
      </x:c>
      <x:c r="E12" t="n">
        <x:v>3323</x:v>
      </x:c>
      <x:c r="F12" t="n">
        <x:v>466</x:v>
      </x:c>
      <x:c r="G12" t="str">
        <x:v>3ba937cbf3ed75073eb6f889e9a0a7d90c6f00920e63df776d07333e12739994</x:v>
      </x:c>
    </x:row>
    <x:row r="13">
      <x:c r="A13" t="str">
        <x:v>a80d0aa304ce</x:v>
      </x:c>
      <x:c r="B13" t="str">
        <x:v>Character</x:v>
      </x:c>
      <x:c r="C13" t="str">
        <x:v>Concept</x:v>
      </x:c>
      <x:c r="D13" t="str">
        <x:v>ConceptArt/hero_paladin_001_concept_sheet.txt</x:v>
      </x:c>
      <x:c r="E13" t="n">
        <x:v>3367</x:v>
      </x:c>
      <x:c r="F13" t="n">
        <x:v>466</x:v>
      </x:c>
      <x:c r="G13" t="str">
        <x:v>624c0288182c098798eb4c2893bd807062bfd7a80a50ad9cad18522847bfc4a4</x:v>
      </x:c>
    </x:row>
    <x:row r="14">
      <x:c r="A14" t="str">
        <x:v>34c71ca21e7f</x:v>
      </x:c>
      <x:c r="B14" t="str">
        <x:v>Character</x:v>
      </x:c>
      <x:c r="C14" t="str">
        <x:v>Geometry</x:v>
      </x:c>
      <x:c r="D14" t="str">
        <x:v>Meshy/boss_goblin_chieftain_001_meshy_character.txt</x:v>
      </x:c>
      <x:c r="E14" t="n">
        <x:v>2741</x:v>
      </x:c>
      <x:c r="F14" t="n">
        <x:v>372</x:v>
      </x:c>
      <x:c r="G14" t="str">
        <x:v>dfe33a95101ffb40dc8d3a817e33f1a1ee94b5ef34c8e88d39bdb9a3ad1471c8</x:v>
      </x:c>
    </x:row>
    <x:row r="15">
      <x:c r="A15" t="str">
        <x:v>69640fdf0f94</x:v>
      </x:c>
      <x:c r="B15" t="str">
        <x:v>Character</x:v>
      </x:c>
      <x:c r="C15" t="str">
        <x:v>Geometry</x:v>
      </x:c>
      <x:c r="D15" t="str">
        <x:v>Meshy/boss_goblin_king_001_meshy_character.txt</x:v>
      </x:c>
      <x:c r="E15" t="n">
        <x:v>3012</x:v>
      </x:c>
      <x:c r="F15" t="n">
        <x:v>406</x:v>
      </x:c>
      <x:c r="G15" t="str">
        <x:v>9b40aea6ff2f1bfc8ee37a56f54e92fd99f6541746d82cc3972aefc1a32afe8d</x:v>
      </x:c>
    </x:row>
    <x:row r="16">
      <x:c r="A16" t="str">
        <x:v>8a24da671f01</x:v>
      </x:c>
      <x:c r="B16" t="str">
        <x:v>Character</x:v>
      </x:c>
      <x:c r="C16" t="str">
        <x:v>Geometry</x:v>
      </x:c>
      <x:c r="D16" t="str">
        <x:v>Meshy/enemy_goblin_archer_001_meshy_character.txt</x:v>
      </x:c>
      <x:c r="E16" t="n">
        <x:v>2597</x:v>
      </x:c>
      <x:c r="F16" t="n">
        <x:v>345</x:v>
      </x:c>
      <x:c r="G16" t="str">
        <x:v>c23b449533a377f691a678d7b179da922910e9873eb4ee856528062b51fff30b</x:v>
      </x:c>
    </x:row>
    <x:row r="17">
      <x:c r="A17" t="str">
        <x:v>fcc000c5099d</x:v>
      </x:c>
      <x:c r="B17" t="str">
        <x:v>Character</x:v>
      </x:c>
      <x:c r="C17" t="str">
        <x:v>Geometry</x:v>
      </x:c>
      <x:c r="D17" t="str">
        <x:v>Meshy/enemy_goblin_high_shaman_001_meshy_character.txt</x:v>
      </x:c>
      <x:c r="E17" t="n">
        <x:v>2875</x:v>
      </x:c>
      <x:c r="F17" t="n">
        <x:v>390</x:v>
      </x:c>
      <x:c r="G17" t="str">
        <x:v>c772da1ffc21e13bacae66d833b2f9673176b4e64fca693c1903e7248a5a2d58</x:v>
      </x:c>
    </x:row>
    <x:row r="18">
      <x:c r="A18" t="str">
        <x:v>dac784d43152</x:v>
      </x:c>
      <x:c r="B18" t="str">
        <x:v>Character</x:v>
      </x:c>
      <x:c r="C18" t="str">
        <x:v>Geometry</x:v>
      </x:c>
      <x:c r="D18" t="str">
        <x:v>Meshy/enemy_goblin_ranger_001_meshy_character.txt</x:v>
      </x:c>
      <x:c r="E18" t="n">
        <x:v>2633</x:v>
      </x:c>
      <x:c r="F18" t="n">
        <x:v>351</x:v>
      </x:c>
      <x:c r="G18" t="str">
        <x:v>8dc0d55a03e4d74981e3c1b02d4f1a13f32809d7eb65064a286393c280047624</x:v>
      </x:c>
    </x:row>
    <x:row r="19">
      <x:c r="A19" t="str">
        <x:v>78da97af6911</x:v>
      </x:c>
      <x:c r="B19" t="str">
        <x:v>Character</x:v>
      </x:c>
      <x:c r="C19" t="str">
        <x:v>Geometry</x:v>
      </x:c>
      <x:c r="D19" t="str">
        <x:v>Meshy/enemy_goblin_scavenger_001_meshy_character.txt</x:v>
      </x:c>
      <x:c r="E19" t="n">
        <x:v>2684</x:v>
      </x:c>
      <x:c r="F19" t="n">
        <x:v>354</x:v>
      </x:c>
      <x:c r="G19" t="str">
        <x:v>fe328824d4e28e62c822cb88f2fc6e357e68fd5c64d161bf45259ebf0a61e0ac</x:v>
      </x:c>
    </x:row>
    <x:row r="20">
      <x:c r="A20" t="str">
        <x:v>058df4b30e89</x:v>
      </x:c>
      <x:c r="B20" t="str">
        <x:v>Character</x:v>
      </x:c>
      <x:c r="C20" t="str">
        <x:v>Geometry</x:v>
      </x:c>
      <x:c r="D20" t="str">
        <x:v>Meshy/enemy_goblin_shaman_001_meshy_character.txt</x:v>
      </x:c>
      <x:c r="E20" t="n">
        <x:v>2708</x:v>
      </x:c>
      <x:c r="F20" t="n">
        <x:v>362</x:v>
      </x:c>
      <x:c r="G20" t="str">
        <x:v>eddfa4c08873428f9cb1194d9eedfff4e439d4cf2becc832ce7fc28f823d452e</x:v>
      </x:c>
    </x:row>
    <x:row r="21">
      <x:c r="A21" t="str">
        <x:v>dbbc2dd9d193</x:v>
      </x:c>
      <x:c r="B21" t="str">
        <x:v>Character</x:v>
      </x:c>
      <x:c r="C21" t="str">
        <x:v>Geometry</x:v>
      </x:c>
      <x:c r="D21" t="str">
        <x:v>Meshy/enemy_goblin_warrior_001_meshy_character.txt</x:v>
      </x:c>
      <x:c r="E21" t="n">
        <x:v>2649</x:v>
      </x:c>
      <x:c r="F21" t="n">
        <x:v>354</x:v>
      </x:c>
      <x:c r="G21" t="str">
        <x:v>812590aefb70594f884259d582dfa50679698c39829c434229dfc62d72bf2923</x:v>
      </x:c>
    </x:row>
    <x:row r="22">
      <x:c r="A22" t="str">
        <x:v>21d79c83cb33</x:v>
      </x:c>
      <x:c r="B22" t="str">
        <x:v>Character</x:v>
      </x:c>
      <x:c r="C22" t="str">
        <x:v>Geometry</x:v>
      </x:c>
      <x:c r="D22" t="str">
        <x:v>Meshy/enemy_hobgoblin_knight_001_meshy_character.txt</x:v>
      </x:c>
      <x:c r="E22" t="n">
        <x:v>2636</x:v>
      </x:c>
      <x:c r="F22" t="n">
        <x:v>345</x:v>
      </x:c>
      <x:c r="G22" t="str">
        <x:v>88d449778e1f74ba43fb1d383fec273895df37014acceca13e99b4973b1bba17</x:v>
      </x:c>
    </x:row>
    <x:row r="23">
      <x:c r="A23" t="str">
        <x:v>7561811c2481</x:v>
      </x:c>
      <x:c r="B23" t="str">
        <x:v>Character</x:v>
      </x:c>
      <x:c r="C23" t="str">
        <x:v>Geometry</x:v>
      </x:c>
      <x:c r="D23" t="str">
        <x:v>Meshy/hero_archer_001_meshy_character.txt</x:v>
      </x:c>
      <x:c r="E23" t="n">
        <x:v>2757</x:v>
      </x:c>
      <x:c r="F23" t="n">
        <x:v>365</x:v>
      </x:c>
      <x:c r="G23" t="str">
        <x:v>b21d751a28c0ed3c89946005c2f5264c6624292dbef4c1ceafd403e218858ff0</x:v>
      </x:c>
    </x:row>
    <x:row r="24">
      <x:c r="A24" t="str">
        <x:v>c198b0adb381</x:v>
      </x:c>
      <x:c r="B24" t="str">
        <x:v>Character</x:v>
      </x:c>
      <x:c r="C24" t="str">
        <x:v>Geometry</x:v>
      </x:c>
      <x:c r="D24" t="str">
        <x:v>Meshy/hero_mage_001_meshy_character.txt</x:v>
      </x:c>
      <x:c r="E24" t="n">
        <x:v>2764</x:v>
      </x:c>
      <x:c r="F24" t="n">
        <x:v>374</x:v>
      </x:c>
      <x:c r="G24" t="str">
        <x:v>8f2e2c7e73043dcc89d9152869a4721c2213c5d5d2c66ec92f8081a4b978038d</x:v>
      </x:c>
    </x:row>
    <x:row r="25">
      <x:c r="A25" t="str">
        <x:v>3fc2f5aa9bb3</x:v>
      </x:c>
      <x:c r="B25" t="str">
        <x:v>Character</x:v>
      </x:c>
      <x:c r="C25" t="str">
        <x:v>Geometry</x:v>
      </x:c>
      <x:c r="D25" t="str">
        <x:v>Meshy/hero_paladin_001_meshy_character.txt</x:v>
      </x:c>
      <x:c r="E25" t="n">
        <x:v>2804</x:v>
      </x:c>
      <x:c r="F25" t="n">
        <x:v>371</x:v>
      </x:c>
      <x:c r="G25" t="str">
        <x:v>c4a0e8c4c95091c9c814c4ca7d4ef907bc3641e6779ab3a8ed12a45e95e3ce43</x:v>
      </x:c>
    </x:row>
    <x:row r="26">
      <x:c r="A26" t="str">
        <x:v>6aa7cefe1f2d</x:v>
      </x:c>
      <x:c r="B26" t="str">
        <x:v>Character</x:v>
      </x:c>
      <x:c r="C26" t="str">
        <x:v>Texture</x:v>
      </x:c>
      <x:c r="D26" t="str">
        <x:v>Texture/boss_goblin_chieftain_001_texture.txt</x:v>
      </x:c>
      <x:c r="E26" t="n">
        <x:v>987</x:v>
      </x:c>
      <x:c r="F26" t="n">
        <x:v>134</x:v>
      </x:c>
      <x:c r="G26" t="str">
        <x:v>3dbf5bb7410ac20c21c74974fa8168fdccf5d8e3a080891cf4aa00b1c7aadfa3</x:v>
      </x:c>
    </x:row>
    <x:row r="27">
      <x:c r="A27" t="str">
        <x:v>bbb4c47e13e5</x:v>
      </x:c>
      <x:c r="B27" t="str">
        <x:v>Character</x:v>
      </x:c>
      <x:c r="C27" t="str">
        <x:v>Texture</x:v>
      </x:c>
      <x:c r="D27" t="str">
        <x:v>Texture/boss_goblin_king_001_texture.txt</x:v>
      </x:c>
      <x:c r="E27" t="n">
        <x:v>1114</x:v>
      </x:c>
      <x:c r="F27" t="n">
        <x:v>154</x:v>
      </x:c>
      <x:c r="G27" t="str">
        <x:v>039754bb81a018f7792d2e53a937609f8dd709bfb1d33826e9556b4704e8f717</x:v>
      </x:c>
    </x:row>
    <x:row r="28">
      <x:c r="A28" t="str">
        <x:v>25562610709b</x:v>
      </x:c>
      <x:c r="B28" t="str">
        <x:v>Character</x:v>
      </x:c>
      <x:c r="C28" t="str">
        <x:v>Texture</x:v>
      </x:c>
      <x:c r="D28" t="str">
        <x:v>Texture/enemy_goblin_archer_001_texture.txt</x:v>
      </x:c>
      <x:c r="E28" t="n">
        <x:v>903</x:v>
      </x:c>
      <x:c r="F28" t="n">
        <x:v>122</x:v>
      </x:c>
      <x:c r="G28" t="str">
        <x:v>83a5383d2507b0478d929f90f853b071dd35f595e096a53571f365da10629bc5</x:v>
      </x:c>
    </x:row>
    <x:row r="29">
      <x:c r="A29" t="str">
        <x:v>ba1efc4bdcf2</x:v>
      </x:c>
      <x:c r="B29" t="str">
        <x:v>Character</x:v>
      </x:c>
      <x:c r="C29" t="str">
        <x:v>Texture</x:v>
      </x:c>
      <x:c r="D29" t="str">
        <x:v>Texture/enemy_goblin_high_shaman_001_texture.txt</x:v>
      </x:c>
      <x:c r="E29" t="n">
        <x:v>1042</x:v>
      </x:c>
      <x:c r="F29" t="n">
        <x:v>143</x:v>
      </x:c>
      <x:c r="G29" t="str">
        <x:v>30bfc6f6673b2a7d5dabcf8af8692be7e5ab9058ebb0134f305909607c599c24</x:v>
      </x:c>
    </x:row>
    <x:row r="30">
      <x:c r="A30" t="str">
        <x:v>539c6abda160</x:v>
      </x:c>
      <x:c r="B30" t="str">
        <x:v>Character</x:v>
      </x:c>
      <x:c r="C30" t="str">
        <x:v>Texture</x:v>
      </x:c>
      <x:c r="D30" t="str">
        <x:v>Texture/enemy_goblin_ranger_001_texture.txt</x:v>
      </x:c>
      <x:c r="E30" t="n">
        <x:v>927</x:v>
      </x:c>
      <x:c r="F30" t="n">
        <x:v>125</x:v>
      </x:c>
      <x:c r="G30" t="str">
        <x:v>39ad93854a9c74add95da9da1dcc49b994d0e925384540432ac093395485b050</x:v>
      </x:c>
    </x:row>
    <x:row r="31">
      <x:c r="A31" t="str">
        <x:v>05e6c6a769d4</x:v>
      </x:c>
      <x:c r="B31" t="str">
        <x:v>Character</x:v>
      </x:c>
      <x:c r="C31" t="str">
        <x:v>Texture</x:v>
      </x:c>
      <x:c r="D31" t="str">
        <x:v>Texture/enemy_goblin_scavenger_001_texture.txt</x:v>
      </x:c>
      <x:c r="E31" t="n">
        <x:v>944</x:v>
      </x:c>
      <x:c r="F31" t="n">
        <x:v>129</x:v>
      </x:c>
      <x:c r="G31" t="str">
        <x:v>281c02cfa9df92c21e129f167c6a003d06ac02e7e77709d7a3a91ca718f49a95</x:v>
      </x:c>
    </x:row>
    <x:row r="32">
      <x:c r="A32" t="str">
        <x:v>bdaa8c8a6bbd</x:v>
      </x:c>
      <x:c r="B32" t="str">
        <x:v>Character</x:v>
      </x:c>
      <x:c r="C32" t="str">
        <x:v>Texture</x:v>
      </x:c>
      <x:c r="D32" t="str">
        <x:v>Texture/enemy_goblin_shaman_001_texture.txt</x:v>
      </x:c>
      <x:c r="E32" t="n">
        <x:v>960</x:v>
      </x:c>
      <x:c r="F32" t="n">
        <x:v>135</x:v>
      </x:c>
      <x:c r="G32" t="str">
        <x:v>0ca198d85f1d5d4d3984db8e2705229047fe4a3726276245d81562be2461f6ca</x:v>
      </x:c>
    </x:row>
    <x:row r="33">
      <x:c r="A33" t="str">
        <x:v>6f1fbe72fb72</x:v>
      </x:c>
      <x:c r="B33" t="str">
        <x:v>Character</x:v>
      </x:c>
      <x:c r="C33" t="str">
        <x:v>Texture</x:v>
      </x:c>
      <x:c r="D33" t="str">
        <x:v>Texture/enemy_goblin_warrior_001_texture.txt</x:v>
      </x:c>
      <x:c r="E33" t="n">
        <x:v>918</x:v>
      </x:c>
      <x:c r="F33" t="n">
        <x:v>126</x:v>
      </x:c>
      <x:c r="G33" t="str">
        <x:v>81abd841c2436638ccc4103b19514f57e4a51b4ac9e2f32992ea637114194845</x:v>
      </x:c>
    </x:row>
    <x:row r="34">
      <x:c r="A34" t="str">
        <x:v>e5051fe2c6be</x:v>
      </x:c>
      <x:c r="B34" t="str">
        <x:v>Character</x:v>
      </x:c>
      <x:c r="C34" t="str">
        <x:v>Texture</x:v>
      </x:c>
      <x:c r="D34" t="str">
        <x:v>Texture/enemy_hobgoblin_knight_001_texture.txt</x:v>
      </x:c>
      <x:c r="E34" t="n">
        <x:v>956</x:v>
      </x:c>
      <x:c r="F34" t="n">
        <x:v>126</x:v>
      </x:c>
      <x:c r="G34" t="str">
        <x:v>40a23610b1b69b48cfbe3709074a359fc8ea3f68a54c0b04bad83b70e801fa65</x:v>
      </x:c>
    </x:row>
    <x:row r="35">
      <x:c r="A35" t="str">
        <x:v>3766b1fdfd96</x:v>
      </x:c>
      <x:c r="B35" t="str">
        <x:v>Character</x:v>
      </x:c>
      <x:c r="C35" t="str">
        <x:v>Texture</x:v>
      </x:c>
      <x:c r="D35" t="str">
        <x:v>Texture/hero_archer_001_texture.txt</x:v>
      </x:c>
      <x:c r="E35" t="n">
        <x:v>1013</x:v>
      </x:c>
      <x:c r="F35" t="n">
        <x:v>139</x:v>
      </x:c>
      <x:c r="G35" t="str">
        <x:v>891450399bc4880e99fc271fe044f4a330af5bad5d90f9380ac4aff81ff91b17</x:v>
      </x:c>
    </x:row>
    <x:row r="36">
      <x:c r="A36" t="str">
        <x:v>2c95c4b04cd2</x:v>
      </x:c>
      <x:c r="B36" t="str">
        <x:v>Character</x:v>
      </x:c>
      <x:c r="C36" t="str">
        <x:v>Texture</x:v>
      </x:c>
      <x:c r="D36" t="str">
        <x:v>Texture/hero_mage_001_texture.txt</x:v>
      </x:c>
      <x:c r="E36" t="n">
        <x:v>1017</x:v>
      </x:c>
      <x:c r="F36" t="n">
        <x:v>140</x:v>
      </x:c>
      <x:c r="G36" t="str">
        <x:v>c2a7e720da88e1df66fc14ec3ce0a14d4850821e196f0106cad3cc3036f1e965</x:v>
      </x:c>
    </x:row>
    <x:row r="37">
      <x:c r="A37" t="str">
        <x:v>65742ab6d6c6</x:v>
      </x:c>
      <x:c r="B37" t="str">
        <x:v>Character</x:v>
      </x:c>
      <x:c r="C37" t="str">
        <x:v>Texture</x:v>
      </x:c>
      <x:c r="D37" t="str">
        <x:v>Texture/hero_paladin_001_texture.txt</x:v>
      </x:c>
      <x:c r="E37" t="n">
        <x:v>1049</x:v>
      </x:c>
      <x:c r="F37" t="n">
        <x:v>149</x:v>
      </x:c>
      <x:c r="G37" t="str">
        <x:v>0465ec33d8bf5a2a00df1432d83aca87b48083c11ed8459df3410512b52ce80b</x:v>
      </x:c>
    </x:row>
    <x:row r="38">
      <x:c r="A38" t="str">
        <x:v>fe181296ffd1</x:v>
      </x:c>
      <x:c r="B38" t="str">
        <x:v>Equipment</x:v>
      </x:c>
      <x:c r="C38" t="str">
        <x:v>Concept</x:v>
      </x:c>
      <x:c r="D38" t="str">
        <x:v>ConceptArt/equipment_amulet_t01_base_concept_sheet.txt</x:v>
      </x:c>
      <x:c r="E38" t="n">
        <x:v>1820</x:v>
      </x:c>
      <x:c r="F38" t="n">
        <x:v>235</x:v>
      </x:c>
      <x:c r="G38" t="str">
        <x:v>bffea1c88cefcb92c7f9dd08e84b7b9c450796914cf44f25183b40609e8bcffd</x:v>
      </x:c>
    </x:row>
    <x:row r="39">
      <x:c r="A39" t="str">
        <x:v>902d74a69f22</x:v>
      </x:c>
      <x:c r="B39" t="str">
        <x:v>Equipment</x:v>
      </x:c>
      <x:c r="C39" t="str">
        <x:v>Concept</x:v>
      </x:c>
      <x:c r="D39" t="str">
        <x:v>ConceptArt/equipment_amulet_t02_base_concept_sheet.txt</x:v>
      </x:c>
      <x:c r="E39" t="n">
        <x:v>1830</x:v>
      </x:c>
      <x:c r="F39" t="n">
        <x:v>233</x:v>
      </x:c>
      <x:c r="G39" t="str">
        <x:v>bf33e18f9ce4c29f9e3358c21af8979510086291a046c913167f3bc8f4759e18</x:v>
      </x:c>
    </x:row>
    <x:row r="40">
      <x:c r="A40" t="str">
        <x:v>769883e35956</x:v>
      </x:c>
      <x:c r="B40" t="str">
        <x:v>Equipment</x:v>
      </x:c>
      <x:c r="C40" t="str">
        <x:v>Concept</x:v>
      </x:c>
      <x:c r="D40" t="str">
        <x:v>ConceptArt/equipment_amulet_t03_base_concept_sheet.txt</x:v>
      </x:c>
      <x:c r="E40" t="n">
        <x:v>1844</x:v>
      </x:c>
      <x:c r="F40" t="n">
        <x:v>237</x:v>
      </x:c>
      <x:c r="G40" t="str">
        <x:v>2c9f36c0d26b6993d5c4e04dc7dd012ed4f5057da38e29da06374e08bb07895a</x:v>
      </x:c>
    </x:row>
    <x:row r="41">
      <x:c r="A41" t="str">
        <x:v>f4e0b8df8e4f</x:v>
      </x:c>
      <x:c r="B41" t="str">
        <x:v>Equipment</x:v>
      </x:c>
      <x:c r="C41" t="str">
        <x:v>Concept</x:v>
      </x:c>
      <x:c r="D41" t="str">
        <x:v>ConceptArt/equipment_amulet_t04_base_concept_sheet.txt</x:v>
      </x:c>
      <x:c r="E41" t="n">
        <x:v>1789</x:v>
      </x:c>
      <x:c r="F41" t="n">
        <x:v>228</x:v>
      </x:c>
      <x:c r="G41" t="str">
        <x:v>e6abd6aec2434b29b694c6af4823f67c9f1804d3f595645ae981ea71927938a8</x:v>
      </x:c>
    </x:row>
    <x:row r="42">
      <x:c r="A42" t="str">
        <x:v>8512d800bf3f</x:v>
      </x:c>
      <x:c r="B42" t="str">
        <x:v>Equipment</x:v>
      </x:c>
      <x:c r="C42" t="str">
        <x:v>Concept</x:v>
      </x:c>
      <x:c r="D42" t="str">
        <x:v>ConceptArt/equipment_amulet_t05_base_concept_sheet.txt</x:v>
      </x:c>
      <x:c r="E42" t="n">
        <x:v>1844</x:v>
      </x:c>
      <x:c r="F42" t="n">
        <x:v>236</x:v>
      </x:c>
      <x:c r="G42" t="str">
        <x:v>d92f029c33c2bfa99235e5f7fd5cb9244e5d99084c5f3f2e081daa6e380b1b6d</x:v>
      </x:c>
    </x:row>
    <x:row r="43">
      <x:c r="A43" t="str">
        <x:v>9d2bca72173d</x:v>
      </x:c>
      <x:c r="B43" t="str">
        <x:v>Equipment</x:v>
      </x:c>
      <x:c r="C43" t="str">
        <x:v>Concept</x:v>
      </x:c>
      <x:c r="D43" t="str">
        <x:v>ConceptArt/equipment_amulet_t06_base_concept_sheet.txt</x:v>
      </x:c>
      <x:c r="E43" t="n">
        <x:v>1839</x:v>
      </x:c>
      <x:c r="F43" t="n">
        <x:v>235</x:v>
      </x:c>
      <x:c r="G43" t="str">
        <x:v>cd58eb8581a04961389de7eb2562a37cb6df97eccda36e2cb242243eaec2dac7</x:v>
      </x:c>
    </x:row>
    <x:row r="44">
      <x:c r="A44" t="str">
        <x:v>29fa77f41e87</x:v>
      </x:c>
      <x:c r="B44" t="str">
        <x:v>Equipment</x:v>
      </x:c>
      <x:c r="C44" t="str">
        <x:v>Concept</x:v>
      </x:c>
      <x:c r="D44" t="str">
        <x:v>ConceptArt/equipment_amulet_t07_base_concept_sheet.txt</x:v>
      </x:c>
      <x:c r="E44" t="n">
        <x:v>1852</x:v>
      </x:c>
      <x:c r="F44" t="n">
        <x:v>238</x:v>
      </x:c>
      <x:c r="G44" t="str">
        <x:v>82282fe5505e53c903b58a715f14484fd7483cb73ba09dd8ba35bc9c385f678e</x:v>
      </x:c>
    </x:row>
    <x:row r="45">
      <x:c r="A45" t="str">
        <x:v>2a548e866b64</x:v>
      </x:c>
      <x:c r="B45" t="str">
        <x:v>Equipment</x:v>
      </x:c>
      <x:c r="C45" t="str">
        <x:v>Concept</x:v>
      </x:c>
      <x:c r="D45" t="str">
        <x:v>ConceptArt/equipment_amulet_t08_base_concept_sheet.txt</x:v>
      </x:c>
      <x:c r="E45" t="n">
        <x:v>1828</x:v>
      </x:c>
      <x:c r="F45" t="n">
        <x:v>235</x:v>
      </x:c>
      <x:c r="G45" t="str">
        <x:v>db900170494dca8ac7e9903d4644aff02089934386f9ea3d01f1c897336e4631</x:v>
      </x:c>
    </x:row>
    <x:row r="46">
      <x:c r="A46" t="str">
        <x:v>4acb33575925</x:v>
      </x:c>
      <x:c r="B46" t="str">
        <x:v>Equipment</x:v>
      </x:c>
      <x:c r="C46" t="str">
        <x:v>Concept</x:v>
      </x:c>
      <x:c r="D46" t="str">
        <x:v>ConceptArt/equipment_amulet_t09_base_concept_sheet.txt</x:v>
      </x:c>
      <x:c r="E46" t="n">
        <x:v>1860</x:v>
      </x:c>
      <x:c r="F46" t="n">
        <x:v>239</x:v>
      </x:c>
      <x:c r="G46" t="str">
        <x:v>37f82d7e1cc7c996236c477ecf1bc826481f2d8637b62e5357dc576c02a8649b</x:v>
      </x:c>
    </x:row>
    <x:row r="47">
      <x:c r="A47" t="str">
        <x:v>653f9b06af76</x:v>
      </x:c>
      <x:c r="B47" t="str">
        <x:v>Equipment</x:v>
      </x:c>
      <x:c r="C47" t="str">
        <x:v>Concept</x:v>
      </x:c>
      <x:c r="D47" t="str">
        <x:v>ConceptArt/equipment_cloth_boots_t01_base_concept_sheet.txt</x:v>
      </x:c>
      <x:c r="E47" t="n">
        <x:v>1802</x:v>
      </x:c>
      <x:c r="F47" t="n">
        <x:v>232</x:v>
      </x:c>
      <x:c r="G47" t="str">
        <x:v>b3aa14486fd4f32caf456ca3b5d1da6000587175a9955c86cb1f4d45b0e4d9f3</x:v>
      </x:c>
    </x:row>
    <x:row r="48">
      <x:c r="A48" t="str">
        <x:v>614bd8d738bb</x:v>
      </x:c>
      <x:c r="B48" t="str">
        <x:v>Equipment</x:v>
      </x:c>
      <x:c r="C48" t="str">
        <x:v>Concept</x:v>
      </x:c>
      <x:c r="D48" t="str">
        <x:v>ConceptArt/equipment_cloth_boots_t02_base_concept_sheet.txt</x:v>
      </x:c>
      <x:c r="E48" t="n">
        <x:v>1814</x:v>
      </x:c>
      <x:c r="F48" t="n">
        <x:v>231</x:v>
      </x:c>
      <x:c r="G48" t="str">
        <x:v>d621e02f957456c782d8fe0a7be888c4ed4ca95c8d749d152328c51e1ef817af</x:v>
      </x:c>
    </x:row>
    <x:row r="49">
      <x:c r="A49" t="str">
        <x:v>da91007da7e2</x:v>
      </x:c>
      <x:c r="B49" t="str">
        <x:v>Equipment</x:v>
      </x:c>
      <x:c r="C49" t="str">
        <x:v>Concept</x:v>
      </x:c>
      <x:c r="D49" t="str">
        <x:v>ConceptArt/equipment_cloth_boots_t03_base_concept_sheet.txt</x:v>
      </x:c>
      <x:c r="E49" t="n">
        <x:v>1817</x:v>
      </x:c>
      <x:c r="F49" t="n">
        <x:v>234</x:v>
      </x:c>
      <x:c r="G49" t="str">
        <x:v>806d4ef6c12c5d6ff368ca1bf58662abd963a04e0ebb376eafc092de7fa307df</x:v>
      </x:c>
    </x:row>
    <x:row r="50">
      <x:c r="A50" t="str">
        <x:v>3b40c527b702</x:v>
      </x:c>
      <x:c r="B50" t="str">
        <x:v>Equipment</x:v>
      </x:c>
      <x:c r="C50" t="str">
        <x:v>Concept</x:v>
      </x:c>
      <x:c r="D50" t="str">
        <x:v>ConceptArt/equipment_cloth_boots_t04_base_concept_sheet.txt</x:v>
      </x:c>
      <x:c r="E50" t="n">
        <x:v>1759</x:v>
      </x:c>
      <x:c r="F50" t="n">
        <x:v>223</x:v>
      </x:c>
      <x:c r="G50" t="str">
        <x:v>3fe23c3017807084b72220fb20887a17a5c665f5d5455d9abf61b76d71adff2e</x:v>
      </x:c>
    </x:row>
    <x:row r="51">
      <x:c r="A51" t="str">
        <x:v>34ca21a50af8</x:v>
      </x:c>
      <x:c r="B51" t="str">
        <x:v>Equipment</x:v>
      </x:c>
      <x:c r="C51" t="str">
        <x:v>Concept</x:v>
      </x:c>
      <x:c r="D51" t="str">
        <x:v>ConceptArt/equipment_cloth_boots_t05_base_concept_sheet.txt</x:v>
      </x:c>
      <x:c r="E51" t="n">
        <x:v>1815</x:v>
      </x:c>
      <x:c r="F51" t="n">
        <x:v>232</x:v>
      </x:c>
      <x:c r="G51" t="str">
        <x:v>0baafd670bdf55d689dc21af79da10176229d545e6576277e438ddcb22497815</x:v>
      </x:c>
    </x:row>
    <x:row r="52">
      <x:c r="A52" t="str">
        <x:v>1c4af6a3e12c</x:v>
      </x:c>
      <x:c r="B52" t="str">
        <x:v>Equipment</x:v>
      </x:c>
      <x:c r="C52" t="str">
        <x:v>Concept</x:v>
      </x:c>
      <x:c r="D52" t="str">
        <x:v>ConceptArt/equipment_cloth_boots_t06_base_concept_sheet.txt</x:v>
      </x:c>
      <x:c r="E52" t="n">
        <x:v>1806</x:v>
      </x:c>
      <x:c r="F52" t="n">
        <x:v>231</x:v>
      </x:c>
      <x:c r="G52" t="str">
        <x:v>11671a13c4169bf6425becb4097733dfdf589dd87a37018658bfcd5679d288ee</x:v>
      </x:c>
    </x:row>
    <x:row r="53">
      <x:c r="A53" t="str">
        <x:v>0ce4fe480d9b</x:v>
      </x:c>
      <x:c r="B53" t="str">
        <x:v>Equipment</x:v>
      </x:c>
      <x:c r="C53" t="str">
        <x:v>Concept</x:v>
      </x:c>
      <x:c r="D53" t="str">
        <x:v>ConceptArt/equipment_cloth_boots_t07_base_concept_sheet.txt</x:v>
      </x:c>
      <x:c r="E53" t="n">
        <x:v>1823</x:v>
      </x:c>
      <x:c r="F53" t="n">
        <x:v>234</x:v>
      </x:c>
      <x:c r="G53" t="str">
        <x:v>9da1f48f212a1b5f1b6c8c4c3b80e1ed0930ddd658e0be25a670bc8a63e7a51b</x:v>
      </x:c>
    </x:row>
    <x:row r="54">
      <x:c r="A54" t="str">
        <x:v>5d9d2c224deb</x:v>
      </x:c>
      <x:c r="B54" t="str">
        <x:v>Equipment</x:v>
      </x:c>
      <x:c r="C54" t="str">
        <x:v>Concept</x:v>
      </x:c>
      <x:c r="D54" t="str">
        <x:v>ConceptArt/equipment_cloth_boots_t08_base_concept_sheet.txt</x:v>
      </x:c>
      <x:c r="E54" t="n">
        <x:v>1801</x:v>
      </x:c>
      <x:c r="F54" t="n">
        <x:v>231</x:v>
      </x:c>
      <x:c r="G54" t="str">
        <x:v>b686074ff8b4210ca9a9157b0ceb5f38ad008b23bd334a2c80533ead28918f9f</x:v>
      </x:c>
    </x:row>
    <x:row r="55">
      <x:c r="A55" t="str">
        <x:v>0aac572b2801</x:v>
      </x:c>
      <x:c r="B55" t="str">
        <x:v>Equipment</x:v>
      </x:c>
      <x:c r="C55" t="str">
        <x:v>Concept</x:v>
      </x:c>
      <x:c r="D55" t="str">
        <x:v>ConceptArt/equipment_cloth_boots_t09_base_concept_sheet.txt</x:v>
      </x:c>
      <x:c r="E55" t="n">
        <x:v>1827</x:v>
      </x:c>
      <x:c r="F55" t="n">
        <x:v>234</x:v>
      </x:c>
      <x:c r="G55" t="str">
        <x:v>ea9c336e34bfab13786a084dfdbd99ee346b1174f4787b42642549b33b0cfeb2</x:v>
      </x:c>
    </x:row>
    <x:row r="56">
      <x:c r="A56" t="str">
        <x:v>60ce0110ef51</x:v>
      </x:c>
      <x:c r="B56" t="str">
        <x:v>Equipment</x:v>
      </x:c>
      <x:c r="C56" t="str">
        <x:v>Concept</x:v>
      </x:c>
      <x:c r="D56" t="str">
        <x:v>ConceptArt/equipment_cloth_gloves_t01_base_concept_sheet.txt</x:v>
      </x:c>
      <x:c r="E56" t="n">
        <x:v>1819</x:v>
      </x:c>
      <x:c r="F56" t="n">
        <x:v>233</x:v>
      </x:c>
      <x:c r="G56" t="str">
        <x:v>06e6464751df38a7fc798e797749280c1c015f3f8c2c598802fb454fa3324d8f</x:v>
      </x:c>
    </x:row>
    <x:row r="57">
      <x:c r="A57" t="str">
        <x:v>268bbda2e8e5</x:v>
      </x:c>
      <x:c r="B57" t="str">
        <x:v>Equipment</x:v>
      </x:c>
      <x:c r="C57" t="str">
        <x:v>Concept</x:v>
      </x:c>
      <x:c r="D57" t="str">
        <x:v>ConceptArt/equipment_cloth_gloves_t02_base_concept_sheet.txt</x:v>
      </x:c>
      <x:c r="E57" t="n">
        <x:v>1831</x:v>
      </x:c>
      <x:c r="F57" t="n">
        <x:v>232</x:v>
      </x:c>
      <x:c r="G57" t="str">
        <x:v>c7b66573bb64d914cbe8a35746227a15ce6d11770d08025e533c74ee2496d54e</x:v>
      </x:c>
    </x:row>
    <x:row r="58">
      <x:c r="A58" t="str">
        <x:v>1c7df98d5a70</x:v>
      </x:c>
      <x:c r="B58" t="str">
        <x:v>Equipment</x:v>
      </x:c>
      <x:c r="C58" t="str">
        <x:v>Concept</x:v>
      </x:c>
      <x:c r="D58" t="str">
        <x:v>ConceptArt/equipment_cloth_gloves_t03_base_concept_sheet.txt</x:v>
      </x:c>
      <x:c r="E58" t="n">
        <x:v>1834</x:v>
      </x:c>
      <x:c r="F58" t="n">
        <x:v>235</x:v>
      </x:c>
      <x:c r="G58" t="str">
        <x:v>c7aed9fe7f0c17ca3d2d81a546dbf2be63d59e4ea88447bdf90c29521bc020b7</x:v>
      </x:c>
    </x:row>
    <x:row r="59">
      <x:c r="A59" t="str">
        <x:v>783b7010e9e4</x:v>
      </x:c>
      <x:c r="B59" t="str">
        <x:v>Equipment</x:v>
      </x:c>
      <x:c r="C59" t="str">
        <x:v>Concept</x:v>
      </x:c>
      <x:c r="D59" t="str">
        <x:v>ConceptArt/equipment_cloth_gloves_t04_base_concept_sheet.txt</x:v>
      </x:c>
      <x:c r="E59" t="n">
        <x:v>1776</x:v>
      </x:c>
      <x:c r="F59" t="n">
        <x:v>224</x:v>
      </x:c>
      <x:c r="G59" t="str">
        <x:v>d58f002995b06ea8c348f34348ad738a858d8df0db1af1348c79c2ce5fa094ea</x:v>
      </x:c>
    </x:row>
    <x:row r="60">
      <x:c r="A60" t="str">
        <x:v>09b7e3505546</x:v>
      </x:c>
      <x:c r="B60" t="str">
        <x:v>Equipment</x:v>
      </x:c>
      <x:c r="C60" t="str">
        <x:v>Concept</x:v>
      </x:c>
      <x:c r="D60" t="str">
        <x:v>ConceptArt/equipment_cloth_gloves_t05_base_concept_sheet.txt</x:v>
      </x:c>
      <x:c r="E60" t="n">
        <x:v>1832</x:v>
      </x:c>
      <x:c r="F60" t="n">
        <x:v>233</x:v>
      </x:c>
      <x:c r="G60" t="str">
        <x:v>e336ba3a87df000c493b2381d13539ef20eb5ab9a6fb1a47ad75f01d3106bac4</x:v>
      </x:c>
    </x:row>
    <x:row r="61">
      <x:c r="A61" t="str">
        <x:v>d695f22981b4</x:v>
      </x:c>
      <x:c r="B61" t="str">
        <x:v>Equipment</x:v>
      </x:c>
      <x:c r="C61" t="str">
        <x:v>Concept</x:v>
      </x:c>
      <x:c r="D61" t="str">
        <x:v>ConceptArt/equipment_cloth_gloves_t06_base_concept_sheet.txt</x:v>
      </x:c>
      <x:c r="E61" t="n">
        <x:v>1823</x:v>
      </x:c>
      <x:c r="F61" t="n">
        <x:v>232</x:v>
      </x:c>
      <x:c r="G61" t="str">
        <x:v>6ec5cecb79b9873859ab78293421026a9cd9ec9971886eaa3e1aefcbe5a18791</x:v>
      </x:c>
    </x:row>
    <x:row r="62">
      <x:c r="A62" t="str">
        <x:v>7b16a9bfb46f</x:v>
      </x:c>
      <x:c r="B62" t="str">
        <x:v>Equipment</x:v>
      </x:c>
      <x:c r="C62" t="str">
        <x:v>Concept</x:v>
      </x:c>
      <x:c r="D62" t="str">
        <x:v>ConceptArt/equipment_cloth_gloves_t07_base_concept_sheet.txt</x:v>
      </x:c>
      <x:c r="E62" t="n">
        <x:v>1840</x:v>
      </x:c>
      <x:c r="F62" t="n">
        <x:v>235</x:v>
      </x:c>
      <x:c r="G62" t="str">
        <x:v>582c675c6aebe3fea69b6faecc46a0fdcbff766fe737ed373ecf642fb9747450</x:v>
      </x:c>
    </x:row>
    <x:row r="63">
      <x:c r="A63" t="str">
        <x:v>e19b03edc98a</x:v>
      </x:c>
      <x:c r="B63" t="str">
        <x:v>Equipment</x:v>
      </x:c>
      <x:c r="C63" t="str">
        <x:v>Concept</x:v>
      </x:c>
      <x:c r="D63" t="str">
        <x:v>ConceptArt/equipment_cloth_gloves_t08_base_concept_sheet.txt</x:v>
      </x:c>
      <x:c r="E63" t="n">
        <x:v>1818</x:v>
      </x:c>
      <x:c r="F63" t="n">
        <x:v>232</x:v>
      </x:c>
      <x:c r="G63" t="str">
        <x:v>98143edfe37d7f8cba7853b156f4263b7da7aafb72f8c4667c806f9097e1806b</x:v>
      </x:c>
    </x:row>
    <x:row r="64">
      <x:c r="A64" t="str">
        <x:v>fb19f86b535b</x:v>
      </x:c>
      <x:c r="B64" t="str">
        <x:v>Equipment</x:v>
      </x:c>
      <x:c r="C64" t="str">
        <x:v>Concept</x:v>
      </x:c>
      <x:c r="D64" t="str">
        <x:v>ConceptArt/equipment_cloth_gloves_t09_base_concept_sheet.txt</x:v>
      </x:c>
      <x:c r="E64" t="n">
        <x:v>1844</x:v>
      </x:c>
      <x:c r="F64" t="n">
        <x:v>235</x:v>
      </x:c>
      <x:c r="G64" t="str">
        <x:v>ebae1b86fd8ebeefd3dcbf032632234ce15bec45b1213603cff3f807e987c8c1</x:v>
      </x:c>
    </x:row>
    <x:row r="65">
      <x:c r="A65" t="str">
        <x:v>928f57474225</x:v>
      </x:c>
      <x:c r="B65" t="str">
        <x:v>Equipment</x:v>
      </x:c>
      <x:c r="C65" t="str">
        <x:v>Concept</x:v>
      </x:c>
      <x:c r="D65" t="str">
        <x:v>ConceptArt/equipment_cloth_hood_t01_base_concept_sheet.txt</x:v>
      </x:c>
      <x:c r="E65" t="n">
        <x:v>1827</x:v>
      </x:c>
      <x:c r="F65" t="n">
        <x:v>236</x:v>
      </x:c>
      <x:c r="G65" t="str">
        <x:v>97e8050984c44d9391cb430c17506bdcde0135280fcbdabf111b458f838d786b</x:v>
      </x:c>
    </x:row>
    <x:row r="66">
      <x:c r="A66" t="str">
        <x:v>1c17c381d66b</x:v>
      </x:c>
      <x:c r="B66" t="str">
        <x:v>Equipment</x:v>
      </x:c>
      <x:c r="C66" t="str">
        <x:v>Concept</x:v>
      </x:c>
      <x:c r="D66" t="str">
        <x:v>ConceptArt/equipment_cloth_hood_t02_base_concept_sheet.txt</x:v>
      </x:c>
      <x:c r="E66" t="n">
        <x:v>1839</x:v>
      </x:c>
      <x:c r="F66" t="n">
        <x:v>235</x:v>
      </x:c>
      <x:c r="G66" t="str">
        <x:v>5d8944475c7db899a1a613f860cf1aaf25a088e514c2495c004c1d6aef1c9927</x:v>
      </x:c>
    </x:row>
    <x:row r="67">
      <x:c r="A67" t="str">
        <x:v>57bb8c41cf19</x:v>
      </x:c>
      <x:c r="B67" t="str">
        <x:v>Equipment</x:v>
      </x:c>
      <x:c r="C67" t="str">
        <x:v>Concept</x:v>
      </x:c>
      <x:c r="D67" t="str">
        <x:v>ConceptArt/equipment_cloth_hood_t03_base_concept_sheet.txt</x:v>
      </x:c>
      <x:c r="E67" t="n">
        <x:v>1842</x:v>
      </x:c>
      <x:c r="F67" t="n">
        <x:v>238</x:v>
      </x:c>
      <x:c r="G67" t="str">
        <x:v>1c193c5c7be97921eab5bac5002c8a841229e86d40a604dfba1e5fdf30f20d57</x:v>
      </x:c>
    </x:row>
    <x:row r="68">
      <x:c r="A68" t="str">
        <x:v>e689b60a94bc</x:v>
      </x:c>
      <x:c r="B68" t="str">
        <x:v>Equipment</x:v>
      </x:c>
      <x:c r="C68" t="str">
        <x:v>Concept</x:v>
      </x:c>
      <x:c r="D68" t="str">
        <x:v>ConceptArt/equipment_cloth_hood_t04_base_concept_sheet.txt</x:v>
      </x:c>
      <x:c r="E68" t="n">
        <x:v>1784</x:v>
      </x:c>
      <x:c r="F68" t="n">
        <x:v>227</x:v>
      </x:c>
      <x:c r="G68" t="str">
        <x:v>8baf79f599d0f42385f209364390c00d238b0e6c5877b50c54f88174bd1ea2fe</x:v>
      </x:c>
    </x:row>
    <x:row r="69">
      <x:c r="A69" t="str">
        <x:v>c79e6b57445f</x:v>
      </x:c>
      <x:c r="B69" t="str">
        <x:v>Equipment</x:v>
      </x:c>
      <x:c r="C69" t="str">
        <x:v>Concept</x:v>
      </x:c>
      <x:c r="D69" t="str">
        <x:v>ConceptArt/equipment_cloth_hood_t05_base_concept_sheet.txt</x:v>
      </x:c>
      <x:c r="E69" t="n">
        <x:v>1840</x:v>
      </x:c>
      <x:c r="F69" t="n">
        <x:v>236</x:v>
      </x:c>
      <x:c r="G69" t="str">
        <x:v>75f057a61f7b0d5c21430d4c7ef53b96fffe766c4276d8f02c53ad4ad3f305e0</x:v>
      </x:c>
    </x:row>
    <x:row r="70">
      <x:c r="A70" t="str">
        <x:v>5e51117b70eb</x:v>
      </x:c>
      <x:c r="B70" t="str">
        <x:v>Equipment</x:v>
      </x:c>
      <x:c r="C70" t="str">
        <x:v>Concept</x:v>
      </x:c>
      <x:c r="D70" t="str">
        <x:v>ConceptArt/equipment_cloth_hood_t06_base_concept_sheet.txt</x:v>
      </x:c>
      <x:c r="E70" t="n">
        <x:v>1831</x:v>
      </x:c>
      <x:c r="F70" t="n">
        <x:v>235</x:v>
      </x:c>
      <x:c r="G70" t="str">
        <x:v>71bc8a0b90db72680f7f5b305941162e7bd09b24dfea49e158325387a55b8783</x:v>
      </x:c>
    </x:row>
    <x:row r="71">
      <x:c r="A71" t="str">
        <x:v>9c3bafd09d62</x:v>
      </x:c>
      <x:c r="B71" t="str">
        <x:v>Equipment</x:v>
      </x:c>
      <x:c r="C71" t="str">
        <x:v>Concept</x:v>
      </x:c>
      <x:c r="D71" t="str">
        <x:v>ConceptArt/equipment_cloth_hood_t07_base_concept_sheet.txt</x:v>
      </x:c>
      <x:c r="E71" t="n">
        <x:v>1848</x:v>
      </x:c>
      <x:c r="F71" t="n">
        <x:v>238</x:v>
      </x:c>
      <x:c r="G71" t="str">
        <x:v>8a23a2ccb4629eb5ff32ce2a761b4b77f27b44156a06b677ee45493e37957028</x:v>
      </x:c>
    </x:row>
    <x:row r="72">
      <x:c r="A72" t="str">
        <x:v>4ce51038a190</x:v>
      </x:c>
      <x:c r="B72" t="str">
        <x:v>Equipment</x:v>
      </x:c>
      <x:c r="C72" t="str">
        <x:v>Concept</x:v>
      </x:c>
      <x:c r="D72" t="str">
        <x:v>ConceptArt/equipment_cloth_hood_t08_base_concept_sheet.txt</x:v>
      </x:c>
      <x:c r="E72" t="n">
        <x:v>1826</x:v>
      </x:c>
      <x:c r="F72" t="n">
        <x:v>235</x:v>
      </x:c>
      <x:c r="G72" t="str">
        <x:v>ce4c51a610b493d27bd41db2083f6356f544b55ce3ceaea31553a2551018de35</x:v>
      </x:c>
    </x:row>
    <x:row r="73">
      <x:c r="A73" t="str">
        <x:v>7f70ba90666c</x:v>
      </x:c>
      <x:c r="B73" t="str">
        <x:v>Equipment</x:v>
      </x:c>
      <x:c r="C73" t="str">
        <x:v>Concept</x:v>
      </x:c>
      <x:c r="D73" t="str">
        <x:v>ConceptArt/equipment_cloth_hood_t09_base_concept_sheet.txt</x:v>
      </x:c>
      <x:c r="E73" t="n">
        <x:v>1852</x:v>
      </x:c>
      <x:c r="F73" t="n">
        <x:v>238</x:v>
      </x:c>
      <x:c r="G73" t="str">
        <x:v>3cfe7a3f2a0399dd4471eae8c21743d1adfd99a0b31e2f064d0c84869294f212</x:v>
      </x:c>
    </x:row>
    <x:row r="74">
      <x:c r="A74" t="str">
        <x:v>111dee4d2b2c</x:v>
      </x:c>
      <x:c r="B74" t="str">
        <x:v>Equipment</x:v>
      </x:c>
      <x:c r="C74" t="str">
        <x:v>Concept</x:v>
      </x:c>
      <x:c r="D74" t="str">
        <x:v>ConceptArt/equipment_cloth_robe_t01_base_concept_sheet.txt</x:v>
      </x:c>
      <x:c r="E74" t="n">
        <x:v>1832</x:v>
      </x:c>
      <x:c r="F74" t="n">
        <x:v>236</x:v>
      </x:c>
      <x:c r="G74" t="str">
        <x:v>9d7506ea9ecb24b513f445bd01c198af04b1740d478dec8d04fef1d495bf9489</x:v>
      </x:c>
    </x:row>
    <x:row r="75">
      <x:c r="A75" t="str">
        <x:v>62ca4827154e</x:v>
      </x:c>
      <x:c r="B75" t="str">
        <x:v>Equipment</x:v>
      </x:c>
      <x:c r="C75" t="str">
        <x:v>Concept</x:v>
      </x:c>
      <x:c r="D75" t="str">
        <x:v>ConceptArt/equipment_cloth_robe_t02_base_concept_sheet.txt</x:v>
      </x:c>
      <x:c r="E75" t="n">
        <x:v>1844</x:v>
      </x:c>
      <x:c r="F75" t="n">
        <x:v>235</x:v>
      </x:c>
      <x:c r="G75" t="str">
        <x:v>92c93777308f25127162f9cbb2d899cc5f6212bf933669e1f7ee236b3b794468</x:v>
      </x:c>
    </x:row>
    <x:row r="76">
      <x:c r="A76" t="str">
        <x:v>8f5f1a4d436d</x:v>
      </x:c>
      <x:c r="B76" t="str">
        <x:v>Equipment</x:v>
      </x:c>
      <x:c r="C76" t="str">
        <x:v>Concept</x:v>
      </x:c>
      <x:c r="D76" t="str">
        <x:v>ConceptArt/equipment_cloth_robe_t03_base_concept_sheet.txt</x:v>
      </x:c>
      <x:c r="E76" t="n">
        <x:v>1847</x:v>
      </x:c>
      <x:c r="F76" t="n">
        <x:v>238</x:v>
      </x:c>
      <x:c r="G76" t="str">
        <x:v>e2d1c737f8d4a9a4d8c816febd8075b69908be5def4988bf238bd0c8bd7dd900</x:v>
      </x:c>
    </x:row>
    <x:row r="77">
      <x:c r="A77" t="str">
        <x:v>9addba9d5123</x:v>
      </x:c>
      <x:c r="B77" t="str">
        <x:v>Equipment</x:v>
      </x:c>
      <x:c r="C77" t="str">
        <x:v>Concept</x:v>
      </x:c>
      <x:c r="D77" t="str">
        <x:v>ConceptArt/equipment_cloth_robe_t04_base_concept_sheet.txt</x:v>
      </x:c>
      <x:c r="E77" t="n">
        <x:v>1789</x:v>
      </x:c>
      <x:c r="F77" t="n">
        <x:v>227</x:v>
      </x:c>
      <x:c r="G77" t="str">
        <x:v>2cc037b50ddaaf086de53175107c214af27ba26f28d4e2d483ecf0aca6009e60</x:v>
      </x:c>
    </x:row>
    <x:row r="78">
      <x:c r="A78" t="str">
        <x:v>d4007bb0c84f</x:v>
      </x:c>
      <x:c r="B78" t="str">
        <x:v>Equipment</x:v>
      </x:c>
      <x:c r="C78" t="str">
        <x:v>Concept</x:v>
      </x:c>
      <x:c r="D78" t="str">
        <x:v>ConceptArt/equipment_cloth_robe_t05_base_concept_sheet.txt</x:v>
      </x:c>
      <x:c r="E78" t="n">
        <x:v>1845</x:v>
      </x:c>
      <x:c r="F78" t="n">
        <x:v>236</x:v>
      </x:c>
      <x:c r="G78" t="str">
        <x:v>9326ec69fad0b302aa2da7356709850ea08aa791b096f5edab99c0adc7e78151</x:v>
      </x:c>
    </x:row>
    <x:row r="79">
      <x:c r="A79" t="str">
        <x:v>f0c8266c5120</x:v>
      </x:c>
      <x:c r="B79" t="str">
        <x:v>Equipment</x:v>
      </x:c>
      <x:c r="C79" t="str">
        <x:v>Concept</x:v>
      </x:c>
      <x:c r="D79" t="str">
        <x:v>ConceptArt/equipment_cloth_robe_t06_base_concept_sheet.txt</x:v>
      </x:c>
      <x:c r="E79" t="n">
        <x:v>1836</x:v>
      </x:c>
      <x:c r="F79" t="n">
        <x:v>235</x:v>
      </x:c>
      <x:c r="G79" t="str">
        <x:v>791be618af41acdc0baccda99bd222231d441609b95e1ce6213ea5c8d0dcc41e</x:v>
      </x:c>
    </x:row>
    <x:row r="80">
      <x:c r="A80" t="str">
        <x:v>51d528baaa8a</x:v>
      </x:c>
      <x:c r="B80" t="str">
        <x:v>Equipment</x:v>
      </x:c>
      <x:c r="C80" t="str">
        <x:v>Concept</x:v>
      </x:c>
      <x:c r="D80" t="str">
        <x:v>ConceptArt/equipment_cloth_robe_t07_base_concept_sheet.txt</x:v>
      </x:c>
      <x:c r="E80" t="n">
        <x:v>1853</x:v>
      </x:c>
      <x:c r="F80" t="n">
        <x:v>238</x:v>
      </x:c>
      <x:c r="G80" t="str">
        <x:v>d149f7e2d38f0bb56101fbed10e0e10219b195a366292cdf402196c56f43baaa</x:v>
      </x:c>
    </x:row>
    <x:row r="81">
      <x:c r="A81" t="str">
        <x:v>2743ae46281a</x:v>
      </x:c>
      <x:c r="B81" t="str">
        <x:v>Equipment</x:v>
      </x:c>
      <x:c r="C81" t="str">
        <x:v>Concept</x:v>
      </x:c>
      <x:c r="D81" t="str">
        <x:v>ConceptArt/equipment_cloth_robe_t08_base_concept_sheet.txt</x:v>
      </x:c>
      <x:c r="E81" t="n">
        <x:v>1831</x:v>
      </x:c>
      <x:c r="F81" t="n">
        <x:v>235</x:v>
      </x:c>
      <x:c r="G81" t="str">
        <x:v>3cc399c6da6530592f4bd175c871eae653adeaff9ae77a6f10814292044f25d1</x:v>
      </x:c>
    </x:row>
    <x:row r="82">
      <x:c r="A82" t="str">
        <x:v>81a26b6abda0</x:v>
      </x:c>
      <x:c r="B82" t="str">
        <x:v>Equipment</x:v>
      </x:c>
      <x:c r="C82" t="str">
        <x:v>Concept</x:v>
      </x:c>
      <x:c r="D82" t="str">
        <x:v>ConceptArt/equipment_cloth_robe_t09_base_concept_sheet.txt</x:v>
      </x:c>
      <x:c r="E82" t="n">
        <x:v>1857</x:v>
      </x:c>
      <x:c r="F82" t="n">
        <x:v>238</x:v>
      </x:c>
      <x:c r="G82" t="str">
        <x:v>6c7ff8215f8d28367d18db6a7ddf32493f37510fa594f88ce46ba4258bac14a4</x:v>
      </x:c>
    </x:row>
    <x:row r="83">
      <x:c r="A83" t="str">
        <x:v>8bbaec53a7f1</x:v>
      </x:c>
      <x:c r="B83" t="str">
        <x:v>Equipment</x:v>
      </x:c>
      <x:c r="C83" t="str">
        <x:v>Concept</x:v>
      </x:c>
      <x:c r="D83" t="str">
        <x:v>ConceptArt/equipment_heavy_boots_t01_base_concept_sheet.txt</x:v>
      </x:c>
      <x:c r="E83" t="n">
        <x:v>1787</x:v>
      </x:c>
      <x:c r="F83" t="n">
        <x:v>229</x:v>
      </x:c>
      <x:c r="G83" t="str">
        <x:v>86348ff9b6f16f2af8e0c976745f024393702626a8db1e0f42936740ad8096d0</x:v>
      </x:c>
    </x:row>
    <x:row r="84">
      <x:c r="A84" t="str">
        <x:v>e52cc61aa531</x:v>
      </x:c>
      <x:c r="B84" t="str">
        <x:v>Equipment</x:v>
      </x:c>
      <x:c r="C84" t="str">
        <x:v>Concept</x:v>
      </x:c>
      <x:c r="D84" t="str">
        <x:v>ConceptArt/equipment_heavy_boots_t02_base_concept_sheet.txt</x:v>
      </x:c>
      <x:c r="E84" t="n">
        <x:v>1794</x:v>
      </x:c>
      <x:c r="F84" t="n">
        <x:v>227</x:v>
      </x:c>
      <x:c r="G84" t="str">
        <x:v>1fc1d648497cf5a71f11092c9fc5b5b74035f2b9dd67639fdd64eee00aa831ff</x:v>
      </x:c>
    </x:row>
    <x:row r="85">
      <x:c r="A85" t="str">
        <x:v>20cee19a925d</x:v>
      </x:c>
      <x:c r="B85" t="str">
        <x:v>Equipment</x:v>
      </x:c>
      <x:c r="C85" t="str">
        <x:v>Concept</x:v>
      </x:c>
      <x:c r="D85" t="str">
        <x:v>ConceptArt/equipment_heavy_boots_t03_base_concept_sheet.txt</x:v>
      </x:c>
      <x:c r="E85" t="n">
        <x:v>1806</x:v>
      </x:c>
      <x:c r="F85" t="n">
        <x:v>230</x:v>
      </x:c>
      <x:c r="G85" t="str">
        <x:v>f7ba1fde480bb1fff843962598723640b055a24e2b3f66820bbdea44ec41de73</x:v>
      </x:c>
    </x:row>
    <x:row r="86">
      <x:c r="A86" t="str">
        <x:v>6c74af7e9d07</x:v>
      </x:c>
      <x:c r="B86" t="str">
        <x:v>Equipment</x:v>
      </x:c>
      <x:c r="C86" t="str">
        <x:v>Concept</x:v>
      </x:c>
      <x:c r="D86" t="str">
        <x:v>ConceptArt/equipment_heavy_boots_t04_base_concept_sheet.txt</x:v>
      </x:c>
      <x:c r="E86" t="n">
        <x:v>1779</x:v>
      </x:c>
      <x:c r="F86" t="n">
        <x:v>225</x:v>
      </x:c>
      <x:c r="G86" t="str">
        <x:v>b1f778cbf6e13515d66db54817b482bfa17363ed63244556eae36a8e01610e6b</x:v>
      </x:c>
    </x:row>
    <x:row r="87">
      <x:c r="A87" t="str">
        <x:v>c12b153b7a53</x:v>
      </x:c>
      <x:c r="B87" t="str">
        <x:v>Equipment</x:v>
      </x:c>
      <x:c r="C87" t="str">
        <x:v>Concept</x:v>
      </x:c>
      <x:c r="D87" t="str">
        <x:v>ConceptArt/equipment_heavy_boots_t05_base_concept_sheet.txt</x:v>
      </x:c>
      <x:c r="E87" t="n">
        <x:v>1804</x:v>
      </x:c>
      <x:c r="F87" t="n">
        <x:v>229</x:v>
      </x:c>
      <x:c r="G87" t="str">
        <x:v>ef88af0e3cadaa896372a5902cc84901737c5c64db4a4b0943d88dd20d4dbde2</x:v>
      </x:c>
    </x:row>
    <x:row r="88">
      <x:c r="A88" t="str">
        <x:v>00b135989b30</x:v>
      </x:c>
      <x:c r="B88" t="str">
        <x:v>Equipment</x:v>
      </x:c>
      <x:c r="C88" t="str">
        <x:v>Concept</x:v>
      </x:c>
      <x:c r="D88" t="str">
        <x:v>ConceptArt/equipment_heavy_boots_t06_base_concept_sheet.txt</x:v>
      </x:c>
      <x:c r="E88" t="n">
        <x:v>1794</x:v>
      </x:c>
      <x:c r="F88" t="n">
        <x:v>228</x:v>
      </x:c>
      <x:c r="G88" t="str">
        <x:v>9a0f5faa86fcf525c380babae99c0ff844094204e4e26f6a7d89cacdd46f9d8d</x:v>
      </x:c>
    </x:row>
    <x:row r="89">
      <x:c r="A89" t="str">
        <x:v>d040c643ba70</x:v>
      </x:c>
      <x:c r="B89" t="str">
        <x:v>Equipment</x:v>
      </x:c>
      <x:c r="C89" t="str">
        <x:v>Concept</x:v>
      </x:c>
      <x:c r="D89" t="str">
        <x:v>ConceptArt/equipment_heavy_boots_t07_base_concept_sheet.txt</x:v>
      </x:c>
      <x:c r="E89" t="n">
        <x:v>1811</x:v>
      </x:c>
      <x:c r="F89" t="n">
        <x:v>230</x:v>
      </x:c>
      <x:c r="G89" t="str">
        <x:v>ccb64ae344267094420692005b58991b9508706999f1d3c2257cae576ff63b9c</x:v>
      </x:c>
    </x:row>
    <x:row r="90">
      <x:c r="A90" t="str">
        <x:v>dba4791c5cd8</x:v>
      </x:c>
      <x:c r="B90" t="str">
        <x:v>Equipment</x:v>
      </x:c>
      <x:c r="C90" t="str">
        <x:v>Concept</x:v>
      </x:c>
      <x:c r="D90" t="str">
        <x:v>ConceptArt/equipment_heavy_boots_t08_base_concept_sheet.txt</x:v>
      </x:c>
      <x:c r="E90" t="n">
        <x:v>1796</x:v>
      </x:c>
      <x:c r="F90" t="n">
        <x:v>229</x:v>
      </x:c>
      <x:c r="G90" t="str">
        <x:v>cf5d6484884de3df3c36122fcc8396fd050fb4cf281a8fa626b5783ca6bac60b</x:v>
      </x:c>
    </x:row>
    <x:row r="91">
      <x:c r="A91" t="str">
        <x:v>a6e9f2c0ec5b</x:v>
      </x:c>
      <x:c r="B91" t="str">
        <x:v>Equipment</x:v>
      </x:c>
      <x:c r="C91" t="str">
        <x:v>Concept</x:v>
      </x:c>
      <x:c r="D91" t="str">
        <x:v>ConceptArt/equipment_heavy_boots_t09_base_concept_sheet.txt</x:v>
      </x:c>
      <x:c r="E91" t="n">
        <x:v>1819</x:v>
      </x:c>
      <x:c r="F91" t="n">
        <x:v>232</x:v>
      </x:c>
      <x:c r="G91" t="str">
        <x:v>08330fdff9d8d8c190017f6fbd3bda1b26c0037b96cc45f623cd3c36239c9ec6</x:v>
      </x:c>
    </x:row>
    <x:row r="92">
      <x:c r="A92" t="str">
        <x:v>a78df028292a</x:v>
      </x:c>
      <x:c r="B92" t="str">
        <x:v>Equipment</x:v>
      </x:c>
      <x:c r="C92" t="str">
        <x:v>Concept</x:v>
      </x:c>
      <x:c r="D92" t="str">
        <x:v>ConceptArt/equipment_heavy_chest_t01_base_concept_sheet.txt</x:v>
      </x:c>
      <x:c r="E92" t="n">
        <x:v>1820</x:v>
      </x:c>
      <x:c r="F92" t="n">
        <x:v>231</x:v>
      </x:c>
      <x:c r="G92" t="str">
        <x:v>41077bda8d489a0f17ee1afc47a1fb8df2a5d8ca683221078da7cd400dacdf60</x:v>
      </x:c>
    </x:row>
    <x:row r="93">
      <x:c r="A93" t="str">
        <x:v>38b1bfae9060</x:v>
      </x:c>
      <x:c r="B93" t="str">
        <x:v>Equipment</x:v>
      </x:c>
      <x:c r="C93" t="str">
        <x:v>Concept</x:v>
      </x:c>
      <x:c r="D93" t="str">
        <x:v>ConceptArt/equipment_heavy_chest_t02_base_concept_sheet.txt</x:v>
      </x:c>
      <x:c r="E93" t="n">
        <x:v>1827</x:v>
      </x:c>
      <x:c r="F93" t="n">
        <x:v>229</x:v>
      </x:c>
      <x:c r="G93" t="str">
        <x:v>01df215f7d1ac817c207f460aa5e49f788757287bb88226554765600852f9708</x:v>
      </x:c>
    </x:row>
    <x:row r="94">
      <x:c r="A94" t="str">
        <x:v>43b66bd20ea3</x:v>
      </x:c>
      <x:c r="B94" t="str">
        <x:v>Equipment</x:v>
      </x:c>
      <x:c r="C94" t="str">
        <x:v>Concept</x:v>
      </x:c>
      <x:c r="D94" t="str">
        <x:v>ConceptArt/equipment_heavy_chest_t03_base_concept_sheet.txt</x:v>
      </x:c>
      <x:c r="E94" t="n">
        <x:v>1839</x:v>
      </x:c>
      <x:c r="F94" t="n">
        <x:v>232</x:v>
      </x:c>
      <x:c r="G94" t="str">
        <x:v>3555d5efd287ef0f9705f6473365bc0040467a1b25400e7d05168e7f5a40d2b0</x:v>
      </x:c>
    </x:row>
    <x:row r="95">
      <x:c r="A95" t="str">
        <x:v>8f8a0c34e4c9</x:v>
      </x:c>
      <x:c r="B95" t="str">
        <x:v>Equipment</x:v>
      </x:c>
      <x:c r="C95" t="str">
        <x:v>Concept</x:v>
      </x:c>
      <x:c r="D95" t="str">
        <x:v>ConceptArt/equipment_heavy_chest_t04_base_concept_sheet.txt</x:v>
      </x:c>
      <x:c r="E95" t="n">
        <x:v>1812</x:v>
      </x:c>
      <x:c r="F95" t="n">
        <x:v>227</x:v>
      </x:c>
      <x:c r="G95" t="str">
        <x:v>6344f63483b8f381e9da015befca2d20bde6df62325725fb2bff8d228731d15f</x:v>
      </x:c>
    </x:row>
    <x:row r="96">
      <x:c r="A96" t="str">
        <x:v>2a58f7d8d90a</x:v>
      </x:c>
      <x:c r="B96" t="str">
        <x:v>Equipment</x:v>
      </x:c>
      <x:c r="C96" t="str">
        <x:v>Concept</x:v>
      </x:c>
      <x:c r="D96" t="str">
        <x:v>ConceptArt/equipment_heavy_chest_t05_base_concept_sheet.txt</x:v>
      </x:c>
      <x:c r="E96" t="n">
        <x:v>1837</x:v>
      </x:c>
      <x:c r="F96" t="n">
        <x:v>231</x:v>
      </x:c>
      <x:c r="G96" t="str">
        <x:v>85f3a870562959c8de758dcdeeab5695d53112935e42c5bfdb42a3a93aa09789</x:v>
      </x:c>
    </x:row>
    <x:row r="97">
      <x:c r="A97" t="str">
        <x:v>a336863551d3</x:v>
      </x:c>
      <x:c r="B97" t="str">
        <x:v>Equipment</x:v>
      </x:c>
      <x:c r="C97" t="str">
        <x:v>Concept</x:v>
      </x:c>
      <x:c r="D97" t="str">
        <x:v>ConceptArt/equipment_heavy_chest_t06_base_concept_sheet.txt</x:v>
      </x:c>
      <x:c r="E97" t="n">
        <x:v>1827</x:v>
      </x:c>
      <x:c r="F97" t="n">
        <x:v>230</x:v>
      </x:c>
      <x:c r="G97" t="str">
        <x:v>8060bbe467e46f3d04c254e866c8824f0d7a412e11e91131e08199a7acfeba05</x:v>
      </x:c>
    </x:row>
    <x:row r="98">
      <x:c r="A98" t="str">
        <x:v>f9d91c66d18e</x:v>
      </x:c>
      <x:c r="B98" t="str">
        <x:v>Equipment</x:v>
      </x:c>
      <x:c r="C98" t="str">
        <x:v>Concept</x:v>
      </x:c>
      <x:c r="D98" t="str">
        <x:v>ConceptArt/equipment_heavy_chest_t07_base_concept_sheet.txt</x:v>
      </x:c>
      <x:c r="E98" t="n">
        <x:v>1844</x:v>
      </x:c>
      <x:c r="F98" t="n">
        <x:v>232</x:v>
      </x:c>
      <x:c r="G98" t="str">
        <x:v>41b7d04af74f93d729d84e7c86c8b334262868857689f60da417121d5f82ce5f</x:v>
      </x:c>
    </x:row>
    <x:row r="99">
      <x:c r="A99" t="str">
        <x:v>58707d02ec27</x:v>
      </x:c>
      <x:c r="B99" t="str">
        <x:v>Equipment</x:v>
      </x:c>
      <x:c r="C99" t="str">
        <x:v>Concept</x:v>
      </x:c>
      <x:c r="D99" t="str">
        <x:v>ConceptArt/equipment_heavy_chest_t08_base_concept_sheet.txt</x:v>
      </x:c>
      <x:c r="E99" t="n">
        <x:v>1829</x:v>
      </x:c>
      <x:c r="F99" t="n">
        <x:v>231</x:v>
      </x:c>
      <x:c r="G99" t="str">
        <x:v>85ebf823af7e711f967648d397760637c7863be01199a60326e3eed6fbf2fa98</x:v>
      </x:c>
    </x:row>
    <x:row r="100">
      <x:c r="A100" t="str">
        <x:v>2618a76cb36a</x:v>
      </x:c>
      <x:c r="B100" t="str">
        <x:v>Equipment</x:v>
      </x:c>
      <x:c r="C100" t="str">
        <x:v>Concept</x:v>
      </x:c>
      <x:c r="D100" t="str">
        <x:v>ConceptArt/equipment_heavy_chest_t09_base_concept_sheet.txt</x:v>
      </x:c>
      <x:c r="E100" t="n">
        <x:v>1852</x:v>
      </x:c>
      <x:c r="F100" t="n">
        <x:v>234</x:v>
      </x:c>
      <x:c r="G100" t="str">
        <x:v>d6f377ccafac097636b155ca8ceacaa70ba6cac43475689b788bbbb86105182a</x:v>
      </x:c>
    </x:row>
    <x:row r="101">
      <x:c r="A101" t="str">
        <x:v>f9c68bc6b7d2</x:v>
      </x:c>
      <x:c r="B101" t="str">
        <x:v>Equipment</x:v>
      </x:c>
      <x:c r="C101" t="str">
        <x:v>Concept</x:v>
      </x:c>
      <x:c r="D101" t="str">
        <x:v>ConceptArt/equipment_heavy_gloves_t01_base_concept_sheet.txt</x:v>
      </x:c>
      <x:c r="E101" t="n">
        <x:v>1817</x:v>
      </x:c>
      <x:c r="F101" t="n">
        <x:v>230</x:v>
      </x:c>
      <x:c r="G101" t="str">
        <x:v>aa76e713a82e47983b03b1d848343567080195b775d3ceeacf75d22751362d62</x:v>
      </x:c>
    </x:row>
    <x:row r="102">
      <x:c r="A102" t="str">
        <x:v>fa7cdb6d1fcc</x:v>
      </x:c>
      <x:c r="B102" t="str">
        <x:v>Equipment</x:v>
      </x:c>
      <x:c r="C102" t="str">
        <x:v>Concept</x:v>
      </x:c>
      <x:c r="D102" t="str">
        <x:v>ConceptArt/equipment_heavy_gloves_t02_base_concept_sheet.txt</x:v>
      </x:c>
      <x:c r="E102" t="n">
        <x:v>1824</x:v>
      </x:c>
      <x:c r="F102" t="n">
        <x:v>228</x:v>
      </x:c>
      <x:c r="G102" t="str">
        <x:v>bcb8e7862419bf854f2c9ee5c4d6053c95e447ad0e770d45c42090a888b248fb</x:v>
      </x:c>
    </x:row>
    <x:row r="103">
      <x:c r="A103" t="str">
        <x:v>7c830afbbd4b</x:v>
      </x:c>
      <x:c r="B103" t="str">
        <x:v>Equipment</x:v>
      </x:c>
      <x:c r="C103" t="str">
        <x:v>Concept</x:v>
      </x:c>
      <x:c r="D103" t="str">
        <x:v>ConceptArt/equipment_heavy_gloves_t03_base_concept_sheet.txt</x:v>
      </x:c>
      <x:c r="E103" t="n">
        <x:v>1836</x:v>
      </x:c>
      <x:c r="F103" t="n">
        <x:v>231</x:v>
      </x:c>
      <x:c r="G103" t="str">
        <x:v>52d10f8fcd6afc17a8ed3a7b69ed3a818e1ee117b9b5233f48a589365de300ac</x:v>
      </x:c>
    </x:row>
    <x:row r="104">
      <x:c r="A104" t="str">
        <x:v>67ca5611bdf8</x:v>
      </x:c>
      <x:c r="B104" t="str">
        <x:v>Equipment</x:v>
      </x:c>
      <x:c r="C104" t="str">
        <x:v>Concept</x:v>
      </x:c>
      <x:c r="D104" t="str">
        <x:v>ConceptArt/equipment_heavy_gloves_t04_base_concept_sheet.txt</x:v>
      </x:c>
      <x:c r="E104" t="n">
        <x:v>1809</x:v>
      </x:c>
      <x:c r="F104" t="n">
        <x:v>226</x:v>
      </x:c>
      <x:c r="G104" t="str">
        <x:v>5b9514356902f88546e82f04114632774267d526daf916cb6aeec7d4222aa00b</x:v>
      </x:c>
    </x:row>
    <x:row r="105">
      <x:c r="A105" t="str">
        <x:v>9abcc9f0220e</x:v>
      </x:c>
      <x:c r="B105" t="str">
        <x:v>Equipment</x:v>
      </x:c>
      <x:c r="C105" t="str">
        <x:v>Concept</x:v>
      </x:c>
      <x:c r="D105" t="str">
        <x:v>ConceptArt/equipment_heavy_gloves_t05_base_concept_sheet.txt</x:v>
      </x:c>
      <x:c r="E105" t="n">
        <x:v>1834</x:v>
      </x:c>
      <x:c r="F105" t="n">
        <x:v>230</x:v>
      </x:c>
      <x:c r="G105" t="str">
        <x:v>a31ce05631c17982a7d8a774edf3a84080349c604b8d6d239a483084544fac3e</x:v>
      </x:c>
    </x:row>
    <x:row r="106">
      <x:c r="A106" t="str">
        <x:v>4099ea48dcf0</x:v>
      </x:c>
      <x:c r="B106" t="str">
        <x:v>Equipment</x:v>
      </x:c>
      <x:c r="C106" t="str">
        <x:v>Concept</x:v>
      </x:c>
      <x:c r="D106" t="str">
        <x:v>ConceptArt/equipment_heavy_gloves_t06_base_concept_sheet.txt</x:v>
      </x:c>
      <x:c r="E106" t="n">
        <x:v>1824</x:v>
      </x:c>
      <x:c r="F106" t="n">
        <x:v>229</x:v>
      </x:c>
      <x:c r="G106" t="str">
        <x:v>b95bd97d27784ce42ecd513548508e12d63bbd24ae4ded08667f0e8c7b255f09</x:v>
      </x:c>
    </x:row>
    <x:row r="107">
      <x:c r="A107" t="str">
        <x:v>519cf96f00e8</x:v>
      </x:c>
      <x:c r="B107" t="str">
        <x:v>Equipment</x:v>
      </x:c>
      <x:c r="C107" t="str">
        <x:v>Concept</x:v>
      </x:c>
      <x:c r="D107" t="str">
        <x:v>ConceptArt/equipment_heavy_gloves_t07_base_concept_sheet.txt</x:v>
      </x:c>
      <x:c r="E107" t="n">
        <x:v>1841</x:v>
      </x:c>
      <x:c r="F107" t="n">
        <x:v>231</x:v>
      </x:c>
      <x:c r="G107" t="str">
        <x:v>67acdca821c34c2af848dc86dd775e89269e257ca2b9d5dc74aa2b531b6167fb</x:v>
      </x:c>
    </x:row>
    <x:row r="108">
      <x:c r="A108" t="str">
        <x:v>78f30252c1e7</x:v>
      </x:c>
      <x:c r="B108" t="str">
        <x:v>Equipment</x:v>
      </x:c>
      <x:c r="C108" t="str">
        <x:v>Concept</x:v>
      </x:c>
      <x:c r="D108" t="str">
        <x:v>ConceptArt/equipment_heavy_gloves_t08_base_concept_sheet.txt</x:v>
      </x:c>
      <x:c r="E108" t="n">
        <x:v>1826</x:v>
      </x:c>
      <x:c r="F108" t="n">
        <x:v>230</x:v>
      </x:c>
      <x:c r="G108" t="str">
        <x:v>c9cebc1ab98037cfc62acbe80d9f4553f1a73f93b3da3cd27236ba716fd40522</x:v>
      </x:c>
    </x:row>
    <x:row r="109">
      <x:c r="A109" t="str">
        <x:v>8ef3b59b5af3</x:v>
      </x:c>
      <x:c r="B109" t="str">
        <x:v>Equipment</x:v>
      </x:c>
      <x:c r="C109" t="str">
        <x:v>Concept</x:v>
      </x:c>
      <x:c r="D109" t="str">
        <x:v>ConceptArt/equipment_heavy_gloves_t09_base_concept_sheet.txt</x:v>
      </x:c>
      <x:c r="E109" t="n">
        <x:v>1849</x:v>
      </x:c>
      <x:c r="F109" t="n">
        <x:v>233</x:v>
      </x:c>
      <x:c r="G109" t="str">
        <x:v>befd6871825a0144812d0bda4d691d9ed4a85705944bb8f72d0d47edb821eb78</x:v>
      </x:c>
    </x:row>
    <x:row r="110">
      <x:c r="A110" t="str">
        <x:v>4a4bc7186a68</x:v>
      </x:c>
      <x:c r="B110" t="str">
        <x:v>Equipment</x:v>
      </x:c>
      <x:c r="C110" t="str">
        <x:v>Concept</x:v>
      </x:c>
      <x:c r="D110" t="str">
        <x:v>ConceptArt/equipment_heavy_helmet_t01_base_concept_sheet.txt</x:v>
      </x:c>
      <x:c r="E110" t="n">
        <x:v>1799</x:v>
      </x:c>
      <x:c r="F110" t="n">
        <x:v>230</x:v>
      </x:c>
      <x:c r="G110" t="str">
        <x:v>a1091f2aeafd80ff5c51ef64042d973181edcf73a0b2f4877dd055b9aa5e5ca7</x:v>
      </x:c>
    </x:row>
    <x:row r="111">
      <x:c r="A111" t="str">
        <x:v>a58ce2c3f774</x:v>
      </x:c>
      <x:c r="B111" t="str">
        <x:v>Equipment</x:v>
      </x:c>
      <x:c r="C111" t="str">
        <x:v>Concept</x:v>
      </x:c>
      <x:c r="D111" t="str">
        <x:v>ConceptArt/equipment_heavy_helmet_t02_base_concept_sheet.txt</x:v>
      </x:c>
      <x:c r="E111" t="n">
        <x:v>1806</x:v>
      </x:c>
      <x:c r="F111" t="n">
        <x:v>228</x:v>
      </x:c>
      <x:c r="G111" t="str">
        <x:v>ae038f68f913d43211ef1179c87be179e3d85d4fa6ed02e768ba115e3cde0eac</x:v>
      </x:c>
    </x:row>
    <x:row r="112">
      <x:c r="A112" t="str">
        <x:v>f7b0917d1639</x:v>
      </x:c>
      <x:c r="B112" t="str">
        <x:v>Equipment</x:v>
      </x:c>
      <x:c r="C112" t="str">
        <x:v>Concept</x:v>
      </x:c>
      <x:c r="D112" t="str">
        <x:v>ConceptArt/equipment_heavy_helmet_t03_base_concept_sheet.txt</x:v>
      </x:c>
      <x:c r="E112" t="n">
        <x:v>1818</x:v>
      </x:c>
      <x:c r="F112" t="n">
        <x:v>231</x:v>
      </x:c>
      <x:c r="G112" t="str">
        <x:v>c0ed01c766c09f03728a09130b05b4a180375d32238e69a10795dd889a70ca06</x:v>
      </x:c>
    </x:row>
    <x:row r="113">
      <x:c r="A113" t="str">
        <x:v>86dcee7ae377</x:v>
      </x:c>
      <x:c r="B113" t="str">
        <x:v>Equipment</x:v>
      </x:c>
      <x:c r="C113" t="str">
        <x:v>Concept</x:v>
      </x:c>
      <x:c r="D113" t="str">
        <x:v>ConceptArt/equipment_heavy_helmet_t04_base_concept_sheet.txt</x:v>
      </x:c>
      <x:c r="E113" t="n">
        <x:v>1791</x:v>
      </x:c>
      <x:c r="F113" t="n">
        <x:v>226</x:v>
      </x:c>
      <x:c r="G113" t="str">
        <x:v>e8cb02bd650d8b3b5e2403500e3adbf7c864b1291e982e8a9d00d583f224894f</x:v>
      </x:c>
    </x:row>
    <x:row r="114">
      <x:c r="A114" t="str">
        <x:v>1912d6d4e7dc</x:v>
      </x:c>
      <x:c r="B114" t="str">
        <x:v>Equipment</x:v>
      </x:c>
      <x:c r="C114" t="str">
        <x:v>Concept</x:v>
      </x:c>
      <x:c r="D114" t="str">
        <x:v>ConceptArt/equipment_heavy_helmet_t05_base_concept_sheet.txt</x:v>
      </x:c>
      <x:c r="E114" t="n">
        <x:v>1816</x:v>
      </x:c>
      <x:c r="F114" t="n">
        <x:v>230</x:v>
      </x:c>
      <x:c r="G114" t="str">
        <x:v>6178049e2d71c3aa2b72dae44fb6a1905a002820aba1f6880c55d197393b8628</x:v>
      </x:c>
    </x:row>
    <x:row r="115">
      <x:c r="A115" t="str">
        <x:v>0e38ea8b9763</x:v>
      </x:c>
      <x:c r="B115" t="str">
        <x:v>Equipment</x:v>
      </x:c>
      <x:c r="C115" t="str">
        <x:v>Concept</x:v>
      </x:c>
      <x:c r="D115" t="str">
        <x:v>ConceptArt/equipment_heavy_helmet_t06_base_concept_sheet.txt</x:v>
      </x:c>
      <x:c r="E115" t="n">
        <x:v>1806</x:v>
      </x:c>
      <x:c r="F115" t="n">
        <x:v>229</x:v>
      </x:c>
      <x:c r="G115" t="str">
        <x:v>4cab0b847b9afd62ae28e1b26d20b2c94f3c0f749e4a3f0c5806cc946ff3e81c</x:v>
      </x:c>
    </x:row>
    <x:row r="116">
      <x:c r="A116" t="str">
        <x:v>ebe8fde33a19</x:v>
      </x:c>
      <x:c r="B116" t="str">
        <x:v>Equipment</x:v>
      </x:c>
      <x:c r="C116" t="str">
        <x:v>Concept</x:v>
      </x:c>
      <x:c r="D116" t="str">
        <x:v>ConceptArt/equipment_heavy_helmet_t07_base_concept_sheet.txt</x:v>
      </x:c>
      <x:c r="E116" t="n">
        <x:v>1823</x:v>
      </x:c>
      <x:c r="F116" t="n">
        <x:v>231</x:v>
      </x:c>
      <x:c r="G116" t="str">
        <x:v>5f22b4ec63b79e530407d8a3b3cbb63b998512bc9cba0da2a57f89e5e279f66d</x:v>
      </x:c>
    </x:row>
    <x:row r="117">
      <x:c r="A117" t="str">
        <x:v>5ca525af5fda</x:v>
      </x:c>
      <x:c r="B117" t="str">
        <x:v>Equipment</x:v>
      </x:c>
      <x:c r="C117" t="str">
        <x:v>Concept</x:v>
      </x:c>
      <x:c r="D117" t="str">
        <x:v>ConceptArt/equipment_heavy_helmet_t08_base_concept_sheet.txt</x:v>
      </x:c>
      <x:c r="E117" t="n">
        <x:v>1808</x:v>
      </x:c>
      <x:c r="F117" t="n">
        <x:v>230</x:v>
      </x:c>
      <x:c r="G117" t="str">
        <x:v>68c703cedc1e4d1df706356b802bf07a72a99ef3ca7133a55f5964edda5185bc</x:v>
      </x:c>
    </x:row>
    <x:row r="118">
      <x:c r="A118" t="str">
        <x:v>23578d2b7e39</x:v>
      </x:c>
      <x:c r="B118" t="str">
        <x:v>Equipment</x:v>
      </x:c>
      <x:c r="C118" t="str">
        <x:v>Concept</x:v>
      </x:c>
      <x:c r="D118" t="str">
        <x:v>ConceptArt/equipment_heavy_helmet_t09_base_concept_sheet.txt</x:v>
      </x:c>
      <x:c r="E118" t="n">
        <x:v>1831</x:v>
      </x:c>
      <x:c r="F118" t="n">
        <x:v>233</x:v>
      </x:c>
      <x:c r="G118" t="str">
        <x:v>54729434759d6b1ea3d424a27c867c21bdb83a41ce5e3161269122b51899baf2</x:v>
      </x:c>
    </x:row>
    <x:row r="119">
      <x:c r="A119" t="str">
        <x:v>ad162c1234bf</x:v>
      </x:c>
      <x:c r="B119" t="str">
        <x:v>Equipment</x:v>
      </x:c>
      <x:c r="C119" t="str">
        <x:v>Concept</x:v>
      </x:c>
      <x:c r="D119" t="str">
        <x:v>ConceptArt/equipment_light_boots_t01_base_concept_sheet.txt</x:v>
      </x:c>
      <x:c r="E119" t="n">
        <x:v>1786</x:v>
      </x:c>
      <x:c r="F119" t="n">
        <x:v>229</x:v>
      </x:c>
      <x:c r="G119" t="str">
        <x:v>462d2495498b0894e50ee495db3047d48a31e7047de920162cfa8b9a357d503b</x:v>
      </x:c>
    </x:row>
    <x:row r="120">
      <x:c r="A120" t="str">
        <x:v>869fb816f900</x:v>
      </x:c>
      <x:c r="B120" t="str">
        <x:v>Equipment</x:v>
      </x:c>
      <x:c r="C120" t="str">
        <x:v>Concept</x:v>
      </x:c>
      <x:c r="D120" t="str">
        <x:v>ConceptArt/equipment_light_boots_t02_base_concept_sheet.txt</x:v>
      </x:c>
      <x:c r="E120" t="n">
        <x:v>1795</x:v>
      </x:c>
      <x:c r="F120" t="n">
        <x:v>228</x:v>
      </x:c>
      <x:c r="G120" t="str">
        <x:v>07f5d40e4199a220aa15cb5f495be16162a654bdd2f6eaca02276975982cc2ed</x:v>
      </x:c>
    </x:row>
    <x:row r="121">
      <x:c r="A121" t="str">
        <x:v>0a9503f67f73</x:v>
      </x:c>
      <x:c r="B121" t="str">
        <x:v>Equipment</x:v>
      </x:c>
      <x:c r="C121" t="str">
        <x:v>Concept</x:v>
      </x:c>
      <x:c r="D121" t="str">
        <x:v>ConceptArt/equipment_light_boots_t03_base_concept_sheet.txt</x:v>
      </x:c>
      <x:c r="E121" t="n">
        <x:v>1796</x:v>
      </x:c>
      <x:c r="F121" t="n">
        <x:v>230</x:v>
      </x:c>
      <x:c r="G121" t="str">
        <x:v>8713643723f298bf3abdaee8f26ae532c0cef66dbc0548f136db3a5a03ac06f0</x:v>
      </x:c>
    </x:row>
    <x:row r="122">
      <x:c r="A122" t="str">
        <x:v>2bc759817fb3</x:v>
      </x:c>
      <x:c r="B122" t="str">
        <x:v>Equipment</x:v>
      </x:c>
      <x:c r="C122" t="str">
        <x:v>Concept</x:v>
      </x:c>
      <x:c r="D122" t="str">
        <x:v>ConceptArt/equipment_light_boots_t04_base_concept_sheet.txt</x:v>
      </x:c>
      <x:c r="E122" t="n">
        <x:v>1766</x:v>
      </x:c>
      <x:c r="F122" t="n">
        <x:v>223</x:v>
      </x:c>
      <x:c r="G122" t="str">
        <x:v>e08a8b3709e4c529224478f7f6b941b820be333eb42f07eee416bef5e6c89062</x:v>
      </x:c>
    </x:row>
    <x:row r="123">
      <x:c r="A123" t="str">
        <x:v>f69f3505ff26</x:v>
      </x:c>
      <x:c r="B123" t="str">
        <x:v>Equipment</x:v>
      </x:c>
      <x:c r="C123" t="str">
        <x:v>Concept</x:v>
      </x:c>
      <x:c r="D123" t="str">
        <x:v>ConceptArt/equipment_light_boots_t05_base_concept_sheet.txt</x:v>
      </x:c>
      <x:c r="E123" t="n">
        <x:v>1792</x:v>
      </x:c>
      <x:c r="F123" t="n">
        <x:v>228</x:v>
      </x:c>
      <x:c r="G123" t="str">
        <x:v>e28be5df32ed809a3474671ef1f70e7860ab0ee13917b076b0e11952aeebadbd</x:v>
      </x:c>
    </x:row>
    <x:row r="124">
      <x:c r="A124" t="str">
        <x:v>57922e93bab0</x:v>
      </x:c>
      <x:c r="B124" t="str">
        <x:v>Equipment</x:v>
      </x:c>
      <x:c r="C124" t="str">
        <x:v>Concept</x:v>
      </x:c>
      <x:c r="D124" t="str">
        <x:v>ConceptArt/equipment_light_boots_t06_base_concept_sheet.txt</x:v>
      </x:c>
      <x:c r="E124" t="n">
        <x:v>1778</x:v>
      </x:c>
      <x:c r="F124" t="n">
        <x:v>227</x:v>
      </x:c>
      <x:c r="G124" t="str">
        <x:v>0ecb17a309c58f181475739443514675927f534f02586b372fc075ed1e374b04</x:v>
      </x:c>
    </x:row>
    <x:row r="125">
      <x:c r="A125" t="str">
        <x:v>c094e400596c</x:v>
      </x:c>
      <x:c r="B125" t="str">
        <x:v>Equipment</x:v>
      </x:c>
      <x:c r="C125" t="str">
        <x:v>Concept</x:v>
      </x:c>
      <x:c r="D125" t="str">
        <x:v>ConceptArt/equipment_light_boots_t07_base_concept_sheet.txt</x:v>
      </x:c>
      <x:c r="E125" t="n">
        <x:v>1799</x:v>
      </x:c>
      <x:c r="F125" t="n">
        <x:v>229</x:v>
      </x:c>
      <x:c r="G125" t="str">
        <x:v>4bad324eb44981705299a6658399ed96de1e8cc1a3eecb678671a5bc517ea9a0</x:v>
      </x:c>
    </x:row>
    <x:row r="126">
      <x:c r="A126" t="str">
        <x:v>ee5b39c189e3</x:v>
      </x:c>
      <x:c r="B126" t="str">
        <x:v>Equipment</x:v>
      </x:c>
      <x:c r="C126" t="str">
        <x:v>Concept</x:v>
      </x:c>
      <x:c r="D126" t="str">
        <x:v>ConceptArt/equipment_light_boots_t08_base_concept_sheet.txt</x:v>
      </x:c>
      <x:c r="E126" t="n">
        <x:v>1786</x:v>
      </x:c>
      <x:c r="F126" t="n">
        <x:v>228</x:v>
      </x:c>
      <x:c r="G126" t="str">
        <x:v>01ddba9c3f7813f3d90519854ebf905f2a10dc446816a919c495f4cb074d6c56</x:v>
      </x:c>
    </x:row>
    <x:row r="127">
      <x:c r="A127" t="str">
        <x:v>800a16440f7c</x:v>
      </x:c>
      <x:c r="B127" t="str">
        <x:v>Equipment</x:v>
      </x:c>
      <x:c r="C127" t="str">
        <x:v>Concept</x:v>
      </x:c>
      <x:c r="D127" t="str">
        <x:v>ConceptArt/equipment_light_boots_t09_base_concept_sheet.txt</x:v>
      </x:c>
      <x:c r="E127" t="n">
        <x:v>1803</x:v>
      </x:c>
      <x:c r="F127" t="n">
        <x:v>230</x:v>
      </x:c>
      <x:c r="G127" t="str">
        <x:v>c9c042265b581fe3ea24b5a4375b213df9b4abd20a46ff3d4186cbf42e6a1d44</x:v>
      </x:c>
    </x:row>
    <x:row r="128">
      <x:c r="A128" t="str">
        <x:v>24ba2cc5f516</x:v>
      </x:c>
      <x:c r="B128" t="str">
        <x:v>Equipment</x:v>
      </x:c>
      <x:c r="C128" t="str">
        <x:v>Concept</x:v>
      </x:c>
      <x:c r="D128" t="str">
        <x:v>ConceptArt/equipment_light_chest_t01_base_concept_sheet.txt</x:v>
      </x:c>
      <x:c r="E128" t="n">
        <x:v>1809</x:v>
      </x:c>
      <x:c r="F128" t="n">
        <x:v>230</x:v>
      </x:c>
      <x:c r="G128" t="str">
        <x:v>594ee01f1d3dfaef5a276cee031b240d79ef8be2e750a7068827c33a41ef2c02</x:v>
      </x:c>
    </x:row>
    <x:row r="129">
      <x:c r="A129" t="str">
        <x:v>4260318759c4</x:v>
      </x:c>
      <x:c r="B129" t="str">
        <x:v>Equipment</x:v>
      </x:c>
      <x:c r="C129" t="str">
        <x:v>Concept</x:v>
      </x:c>
      <x:c r="D129" t="str">
        <x:v>ConceptArt/equipment_light_chest_t02_base_concept_sheet.txt</x:v>
      </x:c>
      <x:c r="E129" t="n">
        <x:v>1818</x:v>
      </x:c>
      <x:c r="F129" t="n">
        <x:v>229</x:v>
      </x:c>
      <x:c r="G129" t="str">
        <x:v>702536e80192a65c7828599f082e89af8984f6ca78b359b4b547618eb8caee2f</x:v>
      </x:c>
    </x:row>
    <x:row r="130">
      <x:c r="A130" t="str">
        <x:v>30967aa52858</x:v>
      </x:c>
      <x:c r="B130" t="str">
        <x:v>Equipment</x:v>
      </x:c>
      <x:c r="C130" t="str">
        <x:v>Concept</x:v>
      </x:c>
      <x:c r="D130" t="str">
        <x:v>ConceptArt/equipment_light_chest_t03_base_concept_sheet.txt</x:v>
      </x:c>
      <x:c r="E130" t="n">
        <x:v>1819</x:v>
      </x:c>
      <x:c r="F130" t="n">
        <x:v>231</x:v>
      </x:c>
      <x:c r="G130" t="str">
        <x:v>5d7e2f01fe292c62d2efca4a6220d75ad0b262d0ebda715619dfaa1627323465</x:v>
      </x:c>
    </x:row>
    <x:row r="131">
      <x:c r="A131" t="str">
        <x:v>88297d369fc2</x:v>
      </x:c>
      <x:c r="B131" t="str">
        <x:v>Equipment</x:v>
      </x:c>
      <x:c r="C131" t="str">
        <x:v>Concept</x:v>
      </x:c>
      <x:c r="D131" t="str">
        <x:v>ConceptArt/equipment_light_chest_t04_base_concept_sheet.txt</x:v>
      </x:c>
      <x:c r="E131" t="n">
        <x:v>1789</x:v>
      </x:c>
      <x:c r="F131" t="n">
        <x:v>224</x:v>
      </x:c>
      <x:c r="G131" t="str">
        <x:v>2df18bbdbf28a4d10f39e0ac9cb2b2e27c7de09a6e9293665841a839b5224de9</x:v>
      </x:c>
    </x:row>
    <x:row r="132">
      <x:c r="A132" t="str">
        <x:v>1c2560af2cc0</x:v>
      </x:c>
      <x:c r="B132" t="str">
        <x:v>Equipment</x:v>
      </x:c>
      <x:c r="C132" t="str">
        <x:v>Concept</x:v>
      </x:c>
      <x:c r="D132" t="str">
        <x:v>ConceptArt/equipment_light_chest_t05_base_concept_sheet.txt</x:v>
      </x:c>
      <x:c r="E132" t="n">
        <x:v>1815</x:v>
      </x:c>
      <x:c r="F132" t="n">
        <x:v>229</x:v>
      </x:c>
      <x:c r="G132" t="str">
        <x:v>9c2f7b6edfb1b6ba1ec87d539dbe2f6577d1b0708857851851405e8028af3459</x:v>
      </x:c>
    </x:row>
    <x:row r="133">
      <x:c r="A133" t="str">
        <x:v>46447909a9ee</x:v>
      </x:c>
      <x:c r="B133" t="str">
        <x:v>Equipment</x:v>
      </x:c>
      <x:c r="C133" t="str">
        <x:v>Concept</x:v>
      </x:c>
      <x:c r="D133" t="str">
        <x:v>ConceptArt/equipment_light_chest_t06_base_concept_sheet.txt</x:v>
      </x:c>
      <x:c r="E133" t="n">
        <x:v>1801</x:v>
      </x:c>
      <x:c r="F133" t="n">
        <x:v>228</x:v>
      </x:c>
      <x:c r="G133" t="str">
        <x:v>3cf73261faa38c059fedad5e5385c86a8a7b2194689f7b1ca1e62fd23f314d58</x:v>
      </x:c>
    </x:row>
    <x:row r="134">
      <x:c r="A134" t="str">
        <x:v>4aae55732fe1</x:v>
      </x:c>
      <x:c r="B134" t="str">
        <x:v>Equipment</x:v>
      </x:c>
      <x:c r="C134" t="str">
        <x:v>Concept</x:v>
      </x:c>
      <x:c r="D134" t="str">
        <x:v>ConceptArt/equipment_light_chest_t07_base_concept_sheet.txt</x:v>
      </x:c>
      <x:c r="E134" t="n">
        <x:v>1822</x:v>
      </x:c>
      <x:c r="F134" t="n">
        <x:v>230</x:v>
      </x:c>
      <x:c r="G134" t="str">
        <x:v>3dcf024aa30d9fe09618b47293dc8b7bc3d5a20812f4b1bc782524b9c131b1b1</x:v>
      </x:c>
    </x:row>
    <x:row r="135">
      <x:c r="A135" t="str">
        <x:v>a150447743cb</x:v>
      </x:c>
      <x:c r="B135" t="str">
        <x:v>Equipment</x:v>
      </x:c>
      <x:c r="C135" t="str">
        <x:v>Concept</x:v>
      </x:c>
      <x:c r="D135" t="str">
        <x:v>ConceptArt/equipment_light_chest_t08_base_concept_sheet.txt</x:v>
      </x:c>
      <x:c r="E135" t="n">
        <x:v>1809</x:v>
      </x:c>
      <x:c r="F135" t="n">
        <x:v>229</x:v>
      </x:c>
      <x:c r="G135" t="str">
        <x:v>dafa12c26926c51520891513847f820c7aa0789584e1b8f5dc1fc57635da5ee7</x:v>
      </x:c>
    </x:row>
    <x:row r="136">
      <x:c r="A136" t="str">
        <x:v>948aa1b816c4</x:v>
      </x:c>
      <x:c r="B136" t="str">
        <x:v>Equipment</x:v>
      </x:c>
      <x:c r="C136" t="str">
        <x:v>Concept</x:v>
      </x:c>
      <x:c r="D136" t="str">
        <x:v>ConceptArt/equipment_light_chest_t09_base_concept_sheet.txt</x:v>
      </x:c>
      <x:c r="E136" t="n">
        <x:v>1826</x:v>
      </x:c>
      <x:c r="F136" t="n">
        <x:v>231</x:v>
      </x:c>
      <x:c r="G136" t="str">
        <x:v>7a06a12a1b16991c4fa969bcf7e2ddf37c39e0866c4cfa975f5265bc2e694c26</x:v>
      </x:c>
    </x:row>
    <x:row r="137">
      <x:c r="A137" t="str">
        <x:v>a7db739a52bf</x:v>
      </x:c>
      <x:c r="B137" t="str">
        <x:v>Equipment</x:v>
      </x:c>
      <x:c r="C137" t="str">
        <x:v>Concept</x:v>
      </x:c>
      <x:c r="D137" t="str">
        <x:v>ConceptArt/equipment_light_gloves_t01_base_concept_sheet.txt</x:v>
      </x:c>
      <x:c r="E137" t="n">
        <x:v>1798</x:v>
      </x:c>
      <x:c r="F137" t="n">
        <x:v>229</x:v>
      </x:c>
      <x:c r="G137" t="str">
        <x:v>3318ab26bb641957bf0c74db861c7adc40c01f00e85094878931c2d6e041bc9e</x:v>
      </x:c>
    </x:row>
    <x:row r="138">
      <x:c r="A138" t="str">
        <x:v>d88dda1da5f5</x:v>
      </x:c>
      <x:c r="B138" t="str">
        <x:v>Equipment</x:v>
      </x:c>
      <x:c r="C138" t="str">
        <x:v>Concept</x:v>
      </x:c>
      <x:c r="D138" t="str">
        <x:v>ConceptArt/equipment_light_gloves_t02_base_concept_sheet.txt</x:v>
      </x:c>
      <x:c r="E138" t="n">
        <x:v>1807</x:v>
      </x:c>
      <x:c r="F138" t="n">
        <x:v>228</x:v>
      </x:c>
      <x:c r="G138" t="str">
        <x:v>810bdd9adebc115728ef08ea740b16cf95778022c111fd3a11db7743fc8d18ba</x:v>
      </x:c>
    </x:row>
    <x:row r="139">
      <x:c r="A139" t="str">
        <x:v>c9db90a0f062</x:v>
      </x:c>
      <x:c r="B139" t="str">
        <x:v>Equipment</x:v>
      </x:c>
      <x:c r="C139" t="str">
        <x:v>Concept</x:v>
      </x:c>
      <x:c r="D139" t="str">
        <x:v>ConceptArt/equipment_light_gloves_t03_base_concept_sheet.txt</x:v>
      </x:c>
      <x:c r="E139" t="n">
        <x:v>1808</x:v>
      </x:c>
      <x:c r="F139" t="n">
        <x:v>230</x:v>
      </x:c>
      <x:c r="G139" t="str">
        <x:v>c23ea5adcc2b9864d7b7136a54912eef3348fc0abd18f15de90a998436cc8ffb</x:v>
      </x:c>
    </x:row>
    <x:row r="140">
      <x:c r="A140" t="str">
        <x:v>5f367f139802</x:v>
      </x:c>
      <x:c r="B140" t="str">
        <x:v>Equipment</x:v>
      </x:c>
      <x:c r="C140" t="str">
        <x:v>Concept</x:v>
      </x:c>
      <x:c r="D140" t="str">
        <x:v>ConceptArt/equipment_light_gloves_t04_base_concept_sheet.txt</x:v>
      </x:c>
      <x:c r="E140" t="n">
        <x:v>1778</x:v>
      </x:c>
      <x:c r="F140" t="n">
        <x:v>223</x:v>
      </x:c>
      <x:c r="G140" t="str">
        <x:v>b41ebba971f1e96a3969b0aebe8e211aa7273eaf90924da7483dafeeed27c426</x:v>
      </x:c>
    </x:row>
    <x:row r="141">
      <x:c r="A141" t="str">
        <x:v>2dde67534c6e</x:v>
      </x:c>
      <x:c r="B141" t="str">
        <x:v>Equipment</x:v>
      </x:c>
      <x:c r="C141" t="str">
        <x:v>Concept</x:v>
      </x:c>
      <x:c r="D141" t="str">
        <x:v>ConceptArt/equipment_light_gloves_t05_base_concept_sheet.txt</x:v>
      </x:c>
      <x:c r="E141" t="n">
        <x:v>1804</x:v>
      </x:c>
      <x:c r="F141" t="n">
        <x:v>228</x:v>
      </x:c>
      <x:c r="G141" t="str">
        <x:v>0046238315910932414bafd760795c3d010234b3d6bbfc743a4ac41e463e737d</x:v>
      </x:c>
    </x:row>
    <x:row r="142">
      <x:c r="A142" t="str">
        <x:v>346ed63d1fea</x:v>
      </x:c>
      <x:c r="B142" t="str">
        <x:v>Equipment</x:v>
      </x:c>
      <x:c r="C142" t="str">
        <x:v>Concept</x:v>
      </x:c>
      <x:c r="D142" t="str">
        <x:v>ConceptArt/equipment_light_gloves_t06_base_concept_sheet.txt</x:v>
      </x:c>
      <x:c r="E142" t="n">
        <x:v>1790</x:v>
      </x:c>
      <x:c r="F142" t="n">
        <x:v>227</x:v>
      </x:c>
      <x:c r="G142" t="str">
        <x:v>9b49f9d54e8677833d36eaed9c18224587f36b7b6468308d1d107b0147f9f117</x:v>
      </x:c>
    </x:row>
    <x:row r="143">
      <x:c r="A143" t="str">
        <x:v>6779210b5c37</x:v>
      </x:c>
      <x:c r="B143" t="str">
        <x:v>Equipment</x:v>
      </x:c>
      <x:c r="C143" t="str">
        <x:v>Concept</x:v>
      </x:c>
      <x:c r="D143" t="str">
        <x:v>ConceptArt/equipment_light_gloves_t07_base_concept_sheet.txt</x:v>
      </x:c>
      <x:c r="E143" t="n">
        <x:v>1811</x:v>
      </x:c>
      <x:c r="F143" t="n">
        <x:v>229</x:v>
      </x:c>
      <x:c r="G143" t="str">
        <x:v>d1b45f6171b6c29a904cf0b91f23ecdc6eef83efb78a57ad86b5181576a73e6e</x:v>
      </x:c>
    </x:row>
    <x:row r="144">
      <x:c r="A144" t="str">
        <x:v>9b04da4f6279</x:v>
      </x:c>
      <x:c r="B144" t="str">
        <x:v>Equipment</x:v>
      </x:c>
      <x:c r="C144" t="str">
        <x:v>Concept</x:v>
      </x:c>
      <x:c r="D144" t="str">
        <x:v>ConceptArt/equipment_light_gloves_t08_base_concept_sheet.txt</x:v>
      </x:c>
      <x:c r="E144" t="n">
        <x:v>1798</x:v>
      </x:c>
      <x:c r="F144" t="n">
        <x:v>228</x:v>
      </x:c>
      <x:c r="G144" t="str">
        <x:v>37cac7c9932016e04ef88caa63fad022ecd354b19301e882a1b9db9362bbbcb0</x:v>
      </x:c>
    </x:row>
    <x:row r="145">
      <x:c r="A145" t="str">
        <x:v>2aefc3351bbd</x:v>
      </x:c>
      <x:c r="B145" t="str">
        <x:v>Equipment</x:v>
      </x:c>
      <x:c r="C145" t="str">
        <x:v>Concept</x:v>
      </x:c>
      <x:c r="D145" t="str">
        <x:v>ConceptArt/equipment_light_gloves_t09_base_concept_sheet.txt</x:v>
      </x:c>
      <x:c r="E145" t="n">
        <x:v>1815</x:v>
      </x:c>
      <x:c r="F145" t="n">
        <x:v>230</x:v>
      </x:c>
      <x:c r="G145" t="str">
        <x:v>8c3e163d0ff1758e890cbeaa61014a603d2cab90e825b723ab575f5da14d7670</x:v>
      </x:c>
    </x:row>
    <x:row r="146">
      <x:c r="A146" t="str">
        <x:v>ccc3f27f007c</x:v>
      </x:c>
      <x:c r="B146" t="str">
        <x:v>Equipment</x:v>
      </x:c>
      <x:c r="C146" t="str">
        <x:v>Concept</x:v>
      </x:c>
      <x:c r="D146" t="str">
        <x:v>ConceptArt/equipment_light_hood_t01_base_concept_sheet.txt</x:v>
      </x:c>
      <x:c r="E146" t="n">
        <x:v>1796</x:v>
      </x:c>
      <x:c r="F146" t="n">
        <x:v>230</x:v>
      </x:c>
      <x:c r="G146" t="str">
        <x:v>3060288939829bba2f832199ccf1a4f925bc93379114d1106a5658b3917a267b</x:v>
      </x:c>
    </x:row>
    <x:row r="147">
      <x:c r="A147" t="str">
        <x:v>1e25154c5f6f</x:v>
      </x:c>
      <x:c r="B147" t="str">
        <x:v>Equipment</x:v>
      </x:c>
      <x:c r="C147" t="str">
        <x:v>Concept</x:v>
      </x:c>
      <x:c r="D147" t="str">
        <x:v>ConceptArt/equipment_light_hood_t02_base_concept_sheet.txt</x:v>
      </x:c>
      <x:c r="E147" t="n">
        <x:v>1805</x:v>
      </x:c>
      <x:c r="F147" t="n">
        <x:v>229</x:v>
      </x:c>
      <x:c r="G147" t="str">
        <x:v>2034fdb73778ad1ba41d733372fcfd02a04b817f824777e03f6b0e8e7c2f6b59</x:v>
      </x:c>
    </x:row>
    <x:row r="148">
      <x:c r="A148" t="str">
        <x:v>ba5235fea7f3</x:v>
      </x:c>
      <x:c r="B148" t="str">
        <x:v>Equipment</x:v>
      </x:c>
      <x:c r="C148" t="str">
        <x:v>Concept</x:v>
      </x:c>
      <x:c r="D148" t="str">
        <x:v>ConceptArt/equipment_light_hood_t03_base_concept_sheet.txt</x:v>
      </x:c>
      <x:c r="E148" t="n">
        <x:v>1806</x:v>
      </x:c>
      <x:c r="F148" t="n">
        <x:v>231</x:v>
      </x:c>
      <x:c r="G148" t="str">
        <x:v>525e2b1a678006f8c022e4cb2982ea1a8b957b6637ec43d40cd04dbe1a6142d9</x:v>
      </x:c>
    </x:row>
    <x:row r="149">
      <x:c r="A149" t="str">
        <x:v>b5db451924a7</x:v>
      </x:c>
      <x:c r="B149" t="str">
        <x:v>Equipment</x:v>
      </x:c>
      <x:c r="C149" t="str">
        <x:v>Concept</x:v>
      </x:c>
      <x:c r="D149" t="str">
        <x:v>ConceptArt/equipment_light_hood_t04_base_concept_sheet.txt</x:v>
      </x:c>
      <x:c r="E149" t="n">
        <x:v>1776</x:v>
      </x:c>
      <x:c r="F149" t="n">
        <x:v>224</x:v>
      </x:c>
      <x:c r="G149" t="str">
        <x:v>a8b3d520a7c670952408a64e1a133aac6ac2dfcc68f51b73443b4aafcd170b2a</x:v>
      </x:c>
    </x:row>
    <x:row r="150">
      <x:c r="A150" t="str">
        <x:v>baf9af4c8285</x:v>
      </x:c>
      <x:c r="B150" t="str">
        <x:v>Equipment</x:v>
      </x:c>
      <x:c r="C150" t="str">
        <x:v>Concept</x:v>
      </x:c>
      <x:c r="D150" t="str">
        <x:v>ConceptArt/equipment_light_hood_t05_base_concept_sheet.txt</x:v>
      </x:c>
      <x:c r="E150" t="n">
        <x:v>1802</x:v>
      </x:c>
      <x:c r="F150" t="n">
        <x:v>229</x:v>
      </x:c>
      <x:c r="G150" t="str">
        <x:v>3f1c8fa86954e346c401b19a76cbad25e845764ca6b6bb1b414ff4474175fe49</x:v>
      </x:c>
    </x:row>
    <x:row r="151">
      <x:c r="A151" t="str">
        <x:v>b341db2419f9</x:v>
      </x:c>
      <x:c r="B151" t="str">
        <x:v>Equipment</x:v>
      </x:c>
      <x:c r="C151" t="str">
        <x:v>Concept</x:v>
      </x:c>
      <x:c r="D151" t="str">
        <x:v>ConceptArt/equipment_light_hood_t06_base_concept_sheet.txt</x:v>
      </x:c>
      <x:c r="E151" t="n">
        <x:v>1788</x:v>
      </x:c>
      <x:c r="F151" t="n">
        <x:v>228</x:v>
      </x:c>
      <x:c r="G151" t="str">
        <x:v>6af1707bf5d09412fd96333346426716c90094c72ed49079dc5c36f90e5489ee</x:v>
      </x:c>
    </x:row>
    <x:row r="152">
      <x:c r="A152" t="str">
        <x:v>aa842f4db836</x:v>
      </x:c>
      <x:c r="B152" t="str">
        <x:v>Equipment</x:v>
      </x:c>
      <x:c r="C152" t="str">
        <x:v>Concept</x:v>
      </x:c>
      <x:c r="D152" t="str">
        <x:v>ConceptArt/equipment_light_hood_t07_base_concept_sheet.txt</x:v>
      </x:c>
      <x:c r="E152" t="n">
        <x:v>1809</x:v>
      </x:c>
      <x:c r="F152" t="n">
        <x:v>230</x:v>
      </x:c>
      <x:c r="G152" t="str">
        <x:v>e4e181c85f7390703446af9bc8f7897f37b8e36f6739b1625a5a2384e6137fd7</x:v>
      </x:c>
    </x:row>
    <x:row r="153">
      <x:c r="A153" t="str">
        <x:v>3a1a7d971893</x:v>
      </x:c>
      <x:c r="B153" t="str">
        <x:v>Equipment</x:v>
      </x:c>
      <x:c r="C153" t="str">
        <x:v>Concept</x:v>
      </x:c>
      <x:c r="D153" t="str">
        <x:v>ConceptArt/equipment_light_hood_t08_base_concept_sheet.txt</x:v>
      </x:c>
      <x:c r="E153" t="n">
        <x:v>1796</x:v>
      </x:c>
      <x:c r="F153" t="n">
        <x:v>229</x:v>
      </x:c>
      <x:c r="G153" t="str">
        <x:v>12c20901a09f618c0f313c58126e3ee88d8bda3a930929abb3e65cfc86ece185</x:v>
      </x:c>
    </x:row>
    <x:row r="154">
      <x:c r="A154" t="str">
        <x:v>755e8a8c403c</x:v>
      </x:c>
      <x:c r="B154" t="str">
        <x:v>Equipment</x:v>
      </x:c>
      <x:c r="C154" t="str">
        <x:v>Concept</x:v>
      </x:c>
      <x:c r="D154" t="str">
        <x:v>ConceptArt/equipment_light_hood_t09_base_concept_sheet.txt</x:v>
      </x:c>
      <x:c r="E154" t="n">
        <x:v>1813</x:v>
      </x:c>
      <x:c r="F154" t="n">
        <x:v>231</x:v>
      </x:c>
      <x:c r="G154" t="str">
        <x:v>df90ebe27bd908f14f5eca2d27294e64f1ca1b16a33c44a681b54eba8baaab24</x:v>
      </x:c>
    </x:row>
    <x:row r="155">
      <x:c r="A155" t="str">
        <x:v>f228b85d24fe</x:v>
      </x:c>
      <x:c r="B155" t="str">
        <x:v>Equipment</x:v>
      </x:c>
      <x:c r="C155" t="str">
        <x:v>Concept</x:v>
      </x:c>
      <x:c r="D155" t="str">
        <x:v>ConceptArt/equipment_longbow_t01_base_concept_sheet.txt</x:v>
      </x:c>
      <x:c r="E155" t="n">
        <x:v>1776</x:v>
      </x:c>
      <x:c r="F155" t="n">
        <x:v>227</x:v>
      </x:c>
      <x:c r="G155" t="str">
        <x:v>5a52858d3e0ff7745a1921608885a31b44587e3ef7f066ca12d37c254eb236d1</x:v>
      </x:c>
    </x:row>
    <x:row r="156">
      <x:c r="A156" t="str">
        <x:v>ca0ae51a7778</x:v>
      </x:c>
      <x:c r="B156" t="str">
        <x:v>Equipment</x:v>
      </x:c>
      <x:c r="C156" t="str">
        <x:v>Concept</x:v>
      </x:c>
      <x:c r="D156" t="str">
        <x:v>ConceptArt/equipment_longbow_t02_base_concept_sheet.txt</x:v>
      </x:c>
      <x:c r="E156" t="n">
        <x:v>1773</x:v>
      </x:c>
      <x:c r="F156" t="n">
        <x:v>226</x:v>
      </x:c>
      <x:c r="G156" t="str">
        <x:v>d329272bb3185c3ddf17041a10c808add7a9a477fc9b041c03200e88d7481103</x:v>
      </x:c>
    </x:row>
    <x:row r="157">
      <x:c r="A157" t="str">
        <x:v>c1c9cfc3cd68</x:v>
      </x:c>
      <x:c r="B157" t="str">
        <x:v>Equipment</x:v>
      </x:c>
      <x:c r="C157" t="str">
        <x:v>Concept</x:v>
      </x:c>
      <x:c r="D157" t="str">
        <x:v>ConceptArt/equipment_longbow_t03_base_concept_sheet.txt</x:v>
      </x:c>
      <x:c r="E157" t="n">
        <x:v>1797</x:v>
      </x:c>
      <x:c r="F157" t="n">
        <x:v>229</x:v>
      </x:c>
      <x:c r="G157" t="str">
        <x:v>e690f526c4e73baf501ab37070442fd28d66c8a7d81f919c90ebdb2bc641edbf</x:v>
      </x:c>
    </x:row>
    <x:row r="158">
      <x:c r="A158" t="str">
        <x:v>049184170e8e</x:v>
      </x:c>
      <x:c r="B158" t="str">
        <x:v>Equipment</x:v>
      </x:c>
      <x:c r="C158" t="str">
        <x:v>Concept</x:v>
      </x:c>
      <x:c r="D158" t="str">
        <x:v>ConceptArt/equipment_longbow_t04_base_concept_sheet.txt</x:v>
      </x:c>
      <x:c r="E158" t="n">
        <x:v>1772</x:v>
      </x:c>
      <x:c r="F158" t="n">
        <x:v>225</x:v>
      </x:c>
      <x:c r="G158" t="str">
        <x:v>5f0cc3aea15427379993bc071f99b33afb3002dcdf20b32bc1730ab4c9210e26</x:v>
      </x:c>
    </x:row>
    <x:row r="159">
      <x:c r="A159" t="str">
        <x:v>447cceeae991</x:v>
      </x:c>
      <x:c r="B159" t="str">
        <x:v>Equipment</x:v>
      </x:c>
      <x:c r="C159" t="str">
        <x:v>Concept</x:v>
      </x:c>
      <x:c r="D159" t="str">
        <x:v>ConceptArt/equipment_longbow_t05_base_concept_sheet.txt</x:v>
      </x:c>
      <x:c r="E159" t="n">
        <x:v>1797</x:v>
      </x:c>
      <x:c r="F159" t="n">
        <x:v>229</x:v>
      </x:c>
      <x:c r="G159" t="str">
        <x:v>6c426f12d47f27d03f8fc3b8a104253bb0a732e97e4732e1235d6016a1683006</x:v>
      </x:c>
    </x:row>
    <x:row r="160">
      <x:c r="A160" t="str">
        <x:v>35430df68bfa</x:v>
      </x:c>
      <x:c r="B160" t="str">
        <x:v>Equipment</x:v>
      </x:c>
      <x:c r="C160" t="str">
        <x:v>Concept</x:v>
      </x:c>
      <x:c r="D160" t="str">
        <x:v>ConceptArt/equipment_longbow_t06_base_concept_sheet.txt</x:v>
      </x:c>
      <x:c r="E160" t="n">
        <x:v>1804</x:v>
      </x:c>
      <x:c r="F160" t="n">
        <x:v>231</x:v>
      </x:c>
      <x:c r="G160" t="str">
        <x:v>09554529552c0e684b38ed01f7f9bd47bd1370339318fed5753b6239860720b7</x:v>
      </x:c>
    </x:row>
    <x:row r="161">
      <x:c r="A161" t="str">
        <x:v>b08cf75ce855</x:v>
      </x:c>
      <x:c r="B161" t="str">
        <x:v>Equipment</x:v>
      </x:c>
      <x:c r="C161" t="str">
        <x:v>Concept</x:v>
      </x:c>
      <x:c r="D161" t="str">
        <x:v>ConceptArt/equipment_longbow_t07_base_concept_sheet.txt</x:v>
      </x:c>
      <x:c r="E161" t="n">
        <x:v>1794</x:v>
      </x:c>
      <x:c r="F161" t="n">
        <x:v>228</x:v>
      </x:c>
      <x:c r="G161" t="str">
        <x:v>fc924f4f19c0202985e04e85c50fa0c3d433361c9978294c28f23c321e936406</x:v>
      </x:c>
    </x:row>
    <x:row r="162">
      <x:c r="A162" t="str">
        <x:v>84a4e413e402</x:v>
      </x:c>
      <x:c r="B162" t="str">
        <x:v>Equipment</x:v>
      </x:c>
      <x:c r="C162" t="str">
        <x:v>Concept</x:v>
      </x:c>
      <x:c r="D162" t="str">
        <x:v>ConceptArt/equipment_longbow_t08_base_concept_sheet.txt</x:v>
      </x:c>
      <x:c r="E162" t="n">
        <x:v>1798</x:v>
      </x:c>
      <x:c r="F162" t="n">
        <x:v>229</x:v>
      </x:c>
      <x:c r="G162" t="str">
        <x:v>8883742c7081a1ea93d84e3b1bb5200b63e4a26e6f0526f99248de5256af1731</x:v>
      </x:c>
    </x:row>
    <x:row r="163">
      <x:c r="A163" t="str">
        <x:v>0bb31a36e599</x:v>
      </x:c>
      <x:c r="B163" t="str">
        <x:v>Equipment</x:v>
      </x:c>
      <x:c r="C163" t="str">
        <x:v>Concept</x:v>
      </x:c>
      <x:c r="D163" t="str">
        <x:v>ConceptArt/equipment_longbow_t09_base_concept_sheet.txt</x:v>
      </x:c>
      <x:c r="E163" t="n">
        <x:v>1816</x:v>
      </x:c>
      <x:c r="F163" t="n">
        <x:v>231</x:v>
      </x:c>
      <x:c r="G163" t="str">
        <x:v>0e946d4feac4411d24a461623739101963d00b48f12dd2101bb6b7cfbad603b8</x:v>
      </x:c>
    </x:row>
    <x:row r="164">
      <x:c r="A164" t="str">
        <x:v>81a24aaff965</x:v>
      </x:c>
      <x:c r="B164" t="str">
        <x:v>Equipment</x:v>
      </x:c>
      <x:c r="C164" t="str">
        <x:v>Concept</x:v>
      </x:c>
      <x:c r="D164" t="str">
        <x:v>ConceptArt/equipment_ring_t01_base_concept_sheet.txt</x:v>
      </x:c>
      <x:c r="E164" t="n">
        <x:v>1793</x:v>
      </x:c>
      <x:c r="F164" t="n">
        <x:v>231</x:v>
      </x:c>
      <x:c r="G164" t="str">
        <x:v>dbb55318828ce0ae23f40cea8605ff62bd4c6bffd0ee6a6c1ad330fddc516b88</x:v>
      </x:c>
    </x:row>
    <x:row r="165">
      <x:c r="A165" t="str">
        <x:v>532bdf337bea</x:v>
      </x:c>
      <x:c r="B165" t="str">
        <x:v>Equipment</x:v>
      </x:c>
      <x:c r="C165" t="str">
        <x:v>Concept</x:v>
      </x:c>
      <x:c r="D165" t="str">
        <x:v>ConceptArt/equipment_ring_t02_base_concept_sheet.txt</x:v>
      </x:c>
      <x:c r="E165" t="n">
        <x:v>1803</x:v>
      </x:c>
      <x:c r="F165" t="n">
        <x:v>229</x:v>
      </x:c>
      <x:c r="G165" t="str">
        <x:v>9eb0a24e2a7197ef4c243766a82be30a0ba986597769cee56ceec3847b134d7a</x:v>
      </x:c>
    </x:row>
    <x:row r="166">
      <x:c r="A166" t="str">
        <x:v>b053c2fe0b4b</x:v>
      </x:c>
      <x:c r="B166" t="str">
        <x:v>Equipment</x:v>
      </x:c>
      <x:c r="C166" t="str">
        <x:v>Concept</x:v>
      </x:c>
      <x:c r="D166" t="str">
        <x:v>ConceptArt/equipment_ring_t03_base_concept_sheet.txt</x:v>
      </x:c>
      <x:c r="E166" t="n">
        <x:v>1817</x:v>
      </x:c>
      <x:c r="F166" t="n">
        <x:v>233</x:v>
      </x:c>
      <x:c r="G166" t="str">
        <x:v>7e2e270c219a5b918c1c13efc74f9b23ab31b9025bc33acdf58fe7a26bd33140</x:v>
      </x:c>
    </x:row>
    <x:row r="167">
      <x:c r="A167" t="str">
        <x:v>0eded1c39b9a</x:v>
      </x:c>
      <x:c r="B167" t="str">
        <x:v>Equipment</x:v>
      </x:c>
      <x:c r="C167" t="str">
        <x:v>Concept</x:v>
      </x:c>
      <x:c r="D167" t="str">
        <x:v>ConceptArt/equipment_ring_t04_base_concept_sheet.txt</x:v>
      </x:c>
      <x:c r="E167" t="n">
        <x:v>1762</x:v>
      </x:c>
      <x:c r="F167" t="n">
        <x:v>224</x:v>
      </x:c>
      <x:c r="G167" t="str">
        <x:v>efc795a51e1189bcede7d1cc9115436987c61b1dc20e8b2b89e653b931e2fbda</x:v>
      </x:c>
    </x:row>
    <x:row r="168">
      <x:c r="A168" t="str">
        <x:v>4cf4ec119c1b</x:v>
      </x:c>
      <x:c r="B168" t="str">
        <x:v>Equipment</x:v>
      </x:c>
      <x:c r="C168" t="str">
        <x:v>Concept</x:v>
      </x:c>
      <x:c r="D168" t="str">
        <x:v>ConceptArt/equipment_ring_t05_base_concept_sheet.txt</x:v>
      </x:c>
      <x:c r="E168" t="n">
        <x:v>1817</x:v>
      </x:c>
      <x:c r="F168" t="n">
        <x:v>232</x:v>
      </x:c>
      <x:c r="G168" t="str">
        <x:v>cfaedcbea3d7f4da2611f7fa68fecb483b9105e5e3d9cdd50173e6d4f43a58d6</x:v>
      </x:c>
    </x:row>
    <x:row r="169">
      <x:c r="A169" t="str">
        <x:v>2f1ea814d3f6</x:v>
      </x:c>
      <x:c r="B169" t="str">
        <x:v>Equipment</x:v>
      </x:c>
      <x:c r="C169" t="str">
        <x:v>Concept</x:v>
      </x:c>
      <x:c r="D169" t="str">
        <x:v>ConceptArt/equipment_ring_t06_base_concept_sheet.txt</x:v>
      </x:c>
      <x:c r="E169" t="n">
        <x:v>1812</x:v>
      </x:c>
      <x:c r="F169" t="n">
        <x:v>231</x:v>
      </x:c>
      <x:c r="G169" t="str">
        <x:v>aaf6370643415a9fd3ccbbd7233269db29d9fbc8cc4778309a307664d9c168af</x:v>
      </x:c>
    </x:row>
    <x:row r="170">
      <x:c r="A170" t="str">
        <x:v>1f89a8532eed</x:v>
      </x:c>
      <x:c r="B170" t="str">
        <x:v>Equipment</x:v>
      </x:c>
      <x:c r="C170" t="str">
        <x:v>Concept</x:v>
      </x:c>
      <x:c r="D170" t="str">
        <x:v>ConceptArt/equipment_ring_t07_base_concept_sheet.txt</x:v>
      </x:c>
      <x:c r="E170" t="n">
        <x:v>1825</x:v>
      </x:c>
      <x:c r="F170" t="n">
        <x:v>234</x:v>
      </x:c>
      <x:c r="G170" t="str">
        <x:v>c27b6413f5db20b407c7bba31519ffab977e8a20898df63ebee83f64539d9334</x:v>
      </x:c>
    </x:row>
    <x:row r="171">
      <x:c r="A171" t="str">
        <x:v>82aaecc883d8</x:v>
      </x:c>
      <x:c r="B171" t="str">
        <x:v>Equipment</x:v>
      </x:c>
      <x:c r="C171" t="str">
        <x:v>Concept</x:v>
      </x:c>
      <x:c r="D171" t="str">
        <x:v>ConceptArt/equipment_ring_t08_base_concept_sheet.txt</x:v>
      </x:c>
      <x:c r="E171" t="n">
        <x:v>1801</x:v>
      </x:c>
      <x:c r="F171" t="n">
        <x:v>231</x:v>
      </x:c>
      <x:c r="G171" t="str">
        <x:v>78449852c9b50bcdaadbabbed696fc3e3ae07e9ca64bd7d14e3ecf0e63d5a6bb</x:v>
      </x:c>
    </x:row>
    <x:row r="172">
      <x:c r="A172" t="str">
        <x:v>81ec26a2fe3b</x:v>
      </x:c>
      <x:c r="B172" t="str">
        <x:v>Equipment</x:v>
      </x:c>
      <x:c r="C172" t="str">
        <x:v>Concept</x:v>
      </x:c>
      <x:c r="D172" t="str">
        <x:v>ConceptArt/equipment_ring_t09_base_concept_sheet.txt</x:v>
      </x:c>
      <x:c r="E172" t="n">
        <x:v>1833</x:v>
      </x:c>
      <x:c r="F172" t="n">
        <x:v>235</x:v>
      </x:c>
      <x:c r="G172" t="str">
        <x:v>a286b139fa3fa8b656fec2f5091da87dde6a984804ac1294a808d1423d66fdb8</x:v>
      </x:c>
    </x:row>
    <x:row r="173">
      <x:c r="A173" t="str">
        <x:v>9991d4bfb3e1</x:v>
      </x:c>
      <x:c r="B173" t="str">
        <x:v>Equipment</x:v>
      </x:c>
      <x:c r="C173" t="str">
        <x:v>Concept</x:v>
      </x:c>
      <x:c r="D173" t="str">
        <x:v>ConceptArt/equipment_shield_t01_base_concept_sheet.txt</x:v>
      </x:c>
      <x:c r="E173" t="n">
        <x:v>1785</x:v>
      </x:c>
      <x:c r="F173" t="n">
        <x:v>229</x:v>
      </x:c>
      <x:c r="G173" t="str">
        <x:v>54aac12f200c71ae3a7cf5d67b1b42382b2563eac23044173cc7a9e25b81bf7b</x:v>
      </x:c>
    </x:row>
    <x:row r="174">
      <x:c r="A174" t="str">
        <x:v>e47ddcc06624</x:v>
      </x:c>
      <x:c r="B174" t="str">
        <x:v>Equipment</x:v>
      </x:c>
      <x:c r="C174" t="str">
        <x:v>Concept</x:v>
      </x:c>
      <x:c r="D174" t="str">
        <x:v>ConceptArt/equipment_shield_t02_base_concept_sheet.txt</x:v>
      </x:c>
      <x:c r="E174" t="n">
        <x:v>1792</x:v>
      </x:c>
      <x:c r="F174" t="n">
        <x:v>227</x:v>
      </x:c>
      <x:c r="G174" t="str">
        <x:v>b59c5a18c20cc1cc85ad2481d4816b78f2164b1867b50dc8c8149d67032ba23c</x:v>
      </x:c>
    </x:row>
    <x:row r="175">
      <x:c r="A175" t="str">
        <x:v>55da3562c977</x:v>
      </x:c>
      <x:c r="B175" t="str">
        <x:v>Equipment</x:v>
      </x:c>
      <x:c r="C175" t="str">
        <x:v>Concept</x:v>
      </x:c>
      <x:c r="D175" t="str">
        <x:v>ConceptArt/equipment_shield_t03_base_concept_sheet.txt</x:v>
      </x:c>
      <x:c r="E175" t="n">
        <x:v>1804</x:v>
      </x:c>
      <x:c r="F175" t="n">
        <x:v>230</x:v>
      </x:c>
      <x:c r="G175" t="str">
        <x:v>540b1b1b8c99c5fa75ce0664e4fac63cefeb5ca70eb4d28f62ec747cddbb6a88</x:v>
      </x:c>
    </x:row>
    <x:row r="176">
      <x:c r="A176" t="str">
        <x:v>a232c1303b73</x:v>
      </x:c>
      <x:c r="B176" t="str">
        <x:v>Equipment</x:v>
      </x:c>
      <x:c r="C176" t="str">
        <x:v>Concept</x:v>
      </x:c>
      <x:c r="D176" t="str">
        <x:v>ConceptArt/equipment_shield_t04_base_concept_sheet.txt</x:v>
      </x:c>
      <x:c r="E176" t="n">
        <x:v>1777</x:v>
      </x:c>
      <x:c r="F176" t="n">
        <x:v>225</x:v>
      </x:c>
      <x:c r="G176" t="str">
        <x:v>26021c986795e4028f9457065e445f158602a7a76c1cb0f787bdaedb7a329e53</x:v>
      </x:c>
    </x:row>
    <x:row r="177">
      <x:c r="A177" t="str">
        <x:v>d3357d27f8f4</x:v>
      </x:c>
      <x:c r="B177" t="str">
        <x:v>Equipment</x:v>
      </x:c>
      <x:c r="C177" t="str">
        <x:v>Concept</x:v>
      </x:c>
      <x:c r="D177" t="str">
        <x:v>ConceptArt/equipment_shield_t05_base_concept_sheet.txt</x:v>
      </x:c>
      <x:c r="E177" t="n">
        <x:v>1802</x:v>
      </x:c>
      <x:c r="F177" t="n">
        <x:v>229</x:v>
      </x:c>
      <x:c r="G177" t="str">
        <x:v>4db6e612e9fd783d341e0eccd0c5a46340728318b36a407f5cbd532c846e46bc</x:v>
      </x:c>
    </x:row>
    <x:row r="178">
      <x:c r="A178" t="str">
        <x:v>ec2794957b51</x:v>
      </x:c>
      <x:c r="B178" t="str">
        <x:v>Equipment</x:v>
      </x:c>
      <x:c r="C178" t="str">
        <x:v>Concept</x:v>
      </x:c>
      <x:c r="D178" t="str">
        <x:v>ConceptArt/equipment_shield_t06_base_concept_sheet.txt</x:v>
      </x:c>
      <x:c r="E178" t="n">
        <x:v>1792</x:v>
      </x:c>
      <x:c r="F178" t="n">
        <x:v>228</x:v>
      </x:c>
      <x:c r="G178" t="str">
        <x:v>8720d8676c329d65468e1156d459795edb237c88a68ef16217c14bffde4893d6</x:v>
      </x:c>
    </x:row>
    <x:row r="179">
      <x:c r="A179" t="str">
        <x:v>02eb050995db</x:v>
      </x:c>
      <x:c r="B179" t="str">
        <x:v>Equipment</x:v>
      </x:c>
      <x:c r="C179" t="str">
        <x:v>Concept</x:v>
      </x:c>
      <x:c r="D179" t="str">
        <x:v>ConceptArt/equipment_shield_t07_base_concept_sheet.txt</x:v>
      </x:c>
      <x:c r="E179" t="n">
        <x:v>1809</x:v>
      </x:c>
      <x:c r="F179" t="n">
        <x:v>230</x:v>
      </x:c>
      <x:c r="G179" t="str">
        <x:v>2593888229ba0fa532ec75afae66bee05012b2dbe5e388946bfbbe3b50e5f5f0</x:v>
      </x:c>
    </x:row>
    <x:row r="180">
      <x:c r="A180" t="str">
        <x:v>f492c56a5f94</x:v>
      </x:c>
      <x:c r="B180" t="str">
        <x:v>Equipment</x:v>
      </x:c>
      <x:c r="C180" t="str">
        <x:v>Concept</x:v>
      </x:c>
      <x:c r="D180" t="str">
        <x:v>ConceptArt/equipment_shield_t08_base_concept_sheet.txt</x:v>
      </x:c>
      <x:c r="E180" t="n">
        <x:v>1794</x:v>
      </x:c>
      <x:c r="F180" t="n">
        <x:v>229</x:v>
      </x:c>
      <x:c r="G180" t="str">
        <x:v>b6d35d7d59c3fb8069bc9e3520b1dc15e71635810150d58a8e7525bfb53659be</x:v>
      </x:c>
    </x:row>
    <x:row r="181">
      <x:c r="A181" t="str">
        <x:v>159fca969ab8</x:v>
      </x:c>
      <x:c r="B181" t="str">
        <x:v>Equipment</x:v>
      </x:c>
      <x:c r="C181" t="str">
        <x:v>Concept</x:v>
      </x:c>
      <x:c r="D181" t="str">
        <x:v>ConceptArt/equipment_shield_t09_base_concept_sheet.txt</x:v>
      </x:c>
      <x:c r="E181" t="n">
        <x:v>1817</x:v>
      </x:c>
      <x:c r="F181" t="n">
        <x:v>232</x:v>
      </x:c>
      <x:c r="G181" t="str">
        <x:v>934cf71c1204e80d934519b479394fe82f0ac660bd69248b0f8c7bc6a2badd73</x:v>
      </x:c>
    </x:row>
    <x:row r="182">
      <x:c r="A182" t="str">
        <x:v>552ed36a7f88</x:v>
      </x:c>
      <x:c r="B182" t="str">
        <x:v>Equipment</x:v>
      </x:c>
      <x:c r="C182" t="str">
        <x:v>Concept</x:v>
      </x:c>
      <x:c r="D182" t="str">
        <x:v>ConceptArt/equipment_staff_t01_base_concept_sheet.txt</x:v>
      </x:c>
      <x:c r="E182" t="n">
        <x:v>1792</x:v>
      </x:c>
      <x:c r="F182" t="n">
        <x:v>228</x:v>
      </x:c>
      <x:c r="G182" t="str">
        <x:v>400a33f78066b934543a665dec1a6c300d6bab89559dd4aa2293bd900b23d6b5</x:v>
      </x:c>
    </x:row>
    <x:row r="183">
      <x:c r="A183" t="str">
        <x:v>d11234068b7d</x:v>
      </x:c>
      <x:c r="B183" t="str">
        <x:v>Equipment</x:v>
      </x:c>
      <x:c r="C183" t="str">
        <x:v>Concept</x:v>
      </x:c>
      <x:c r="D183" t="str">
        <x:v>ConceptArt/equipment_staff_t02_base_concept_sheet.txt</x:v>
      </x:c>
      <x:c r="E183" t="n">
        <x:v>1792</x:v>
      </x:c>
      <x:c r="F183" t="n">
        <x:v>227</x:v>
      </x:c>
      <x:c r="G183" t="str">
        <x:v>c91830c7759c2b390cf3704758cfdf758705ac797e724c6891def4646b908737</x:v>
      </x:c>
    </x:row>
    <x:row r="184">
      <x:c r="A184" t="str">
        <x:v>90d072006d56</x:v>
      </x:c>
      <x:c r="B184" t="str">
        <x:v>Equipment</x:v>
      </x:c>
      <x:c r="C184" t="str">
        <x:v>Concept</x:v>
      </x:c>
      <x:c r="D184" t="str">
        <x:v>ConceptArt/equipment_staff_t03_base_concept_sheet.txt</x:v>
      </x:c>
      <x:c r="E184" t="n">
        <x:v>1818</x:v>
      </x:c>
      <x:c r="F184" t="n">
        <x:v>231</x:v>
      </x:c>
      <x:c r="G184" t="str">
        <x:v>02ed033fd21e8c429f869c9dc2af8a68528d955c7a8957f9edac5f89dc18f5af</x:v>
      </x:c>
    </x:row>
    <x:row r="185">
      <x:c r="A185" t="str">
        <x:v>b7688be9adfc</x:v>
      </x:c>
      <x:c r="B185" t="str">
        <x:v>Equipment</x:v>
      </x:c>
      <x:c r="C185" t="str">
        <x:v>Concept</x:v>
      </x:c>
      <x:c r="D185" t="str">
        <x:v>ConceptArt/equipment_staff_t04_base_concept_sheet.txt</x:v>
      </x:c>
      <x:c r="E185" t="n">
        <x:v>1765</x:v>
      </x:c>
      <x:c r="F185" t="n">
        <x:v>223</x:v>
      </x:c>
      <x:c r="G185" t="str">
        <x:v>3499c5492ff8bd90a0292c1b00f92b0d2df2d26208a625eb65c74c904b7b424f</x:v>
      </x:c>
    </x:row>
    <x:row r="186">
      <x:c r="A186" t="str">
        <x:v>8f9021eca3e0</x:v>
      </x:c>
      <x:c r="B186" t="str">
        <x:v>Equipment</x:v>
      </x:c>
      <x:c r="C186" t="str">
        <x:v>Concept</x:v>
      </x:c>
      <x:c r="D186" t="str">
        <x:v>ConceptArt/equipment_staff_t05_base_concept_sheet.txt</x:v>
      </x:c>
      <x:c r="E186" t="n">
        <x:v>1820</x:v>
      </x:c>
      <x:c r="F186" t="n">
        <x:v>231</x:v>
      </x:c>
      <x:c r="G186" t="str">
        <x:v>b7ee22afe308e66fe38142635920e1f938478bb8410590187f4f9933f7ba6d3f</x:v>
      </x:c>
    </x:row>
    <x:row r="187">
      <x:c r="A187" t="str">
        <x:v>23682e7f9771</x:v>
      </x:c>
      <x:c r="B187" t="str">
        <x:v>Equipment</x:v>
      </x:c>
      <x:c r="C187" t="str">
        <x:v>Concept</x:v>
      </x:c>
      <x:c r="D187" t="str">
        <x:v>ConceptArt/equipment_staff_t06_base_concept_sheet.txt</x:v>
      </x:c>
      <x:c r="E187" t="n">
        <x:v>1832</x:v>
      </x:c>
      <x:c r="F187" t="n">
        <x:v>233</x:v>
      </x:c>
      <x:c r="G187" t="str">
        <x:v>de3b527af641e4c3d4e02ebb11fb0bfa82921df81b0e71326fc1efc440bc593c</x:v>
      </x:c>
    </x:row>
    <x:row r="188">
      <x:c r="A188" t="str">
        <x:v>c72a7464e706</x:v>
      </x:c>
      <x:c r="B188" t="str">
        <x:v>Equipment</x:v>
      </x:c>
      <x:c r="C188" t="str">
        <x:v>Concept</x:v>
      </x:c>
      <x:c r="D188" t="str">
        <x:v>ConceptArt/equipment_staff_t07_base_concept_sheet.txt</x:v>
      </x:c>
      <x:c r="E188" t="n">
        <x:v>1818</x:v>
      </x:c>
      <x:c r="F188" t="n">
        <x:v>231</x:v>
      </x:c>
      <x:c r="G188" t="str">
        <x:v>2846570a95d5327ae12ba14563507813b480faac401140d2431b013e12621c62</x:v>
      </x:c>
    </x:row>
    <x:row r="189">
      <x:c r="A189" t="str">
        <x:v>ae9a839e887c</x:v>
      </x:c>
      <x:c r="B189" t="str">
        <x:v>Equipment</x:v>
      </x:c>
      <x:c r="C189" t="str">
        <x:v>Concept</x:v>
      </x:c>
      <x:c r="D189" t="str">
        <x:v>ConceptArt/equipment_staff_t08_base_concept_sheet.txt</x:v>
      </x:c>
      <x:c r="E189" t="n">
        <x:v>1813</x:v>
      </x:c>
      <x:c r="F189" t="n">
        <x:v>230</x:v>
      </x:c>
      <x:c r="G189" t="str">
        <x:v>1cd35f5b296c05a8ba9e2308447623f9a66aa91b02a32f664f333f31445c09eb</x:v>
      </x:c>
    </x:row>
    <x:row r="190">
      <x:c r="A190" t="str">
        <x:v>d07871fc1d1d</x:v>
      </x:c>
      <x:c r="B190" t="str">
        <x:v>Equipment</x:v>
      </x:c>
      <x:c r="C190" t="str">
        <x:v>Concept</x:v>
      </x:c>
      <x:c r="D190" t="str">
        <x:v>ConceptArt/equipment_staff_t09_base_concept_sheet.txt</x:v>
      </x:c>
      <x:c r="E190" t="n">
        <x:v>1840</x:v>
      </x:c>
      <x:c r="F190" t="n">
        <x:v>233</x:v>
      </x:c>
      <x:c r="G190" t="str">
        <x:v>602ce9ed1ec65e6a9c80ae2dd6870e70c1b0452523b7295af0e1ad034ea3cd2f</x:v>
      </x:c>
    </x:row>
    <x:row r="191">
      <x:c r="A191" t="str">
        <x:v>1da4e2bbe30d</x:v>
      </x:c>
      <x:c r="B191" t="str">
        <x:v>Equipment</x:v>
      </x:c>
      <x:c r="C191" t="str">
        <x:v>Concept</x:v>
      </x:c>
      <x:c r="D191" t="str">
        <x:v>ConceptArt/equipment_sword_1h_t01_base_concept_sheet.txt</x:v>
      </x:c>
      <x:c r="E191" t="n">
        <x:v>1796</x:v>
      </x:c>
      <x:c r="F191" t="n">
        <x:v>228</x:v>
      </x:c>
      <x:c r="G191" t="str">
        <x:v>496e3b482e7ac0ea20b69caed66bc8e6f17ce7034a0da4089bc785dfa11bf0d9</x:v>
      </x:c>
    </x:row>
    <x:row r="192">
      <x:c r="A192" t="str">
        <x:v>69ef5647e865</x:v>
      </x:c>
      <x:c r="B192" t="str">
        <x:v>Equipment</x:v>
      </x:c>
      <x:c r="C192" t="str">
        <x:v>Concept</x:v>
      </x:c>
      <x:c r="D192" t="str">
        <x:v>ConceptArt/equipment_sword_1h_t02_base_concept_sheet.txt</x:v>
      </x:c>
      <x:c r="E192" t="n">
        <x:v>1803</x:v>
      </x:c>
      <x:c r="F192" t="n">
        <x:v>226</x:v>
      </x:c>
      <x:c r="G192" t="str">
        <x:v>b85f26224cb5cc0ffc5d1da72fa8ec1865bfb60ccec179ec21edde0657280336</x:v>
      </x:c>
    </x:row>
    <x:row r="193">
      <x:c r="A193" t="str">
        <x:v>2666abcbafe6</x:v>
      </x:c>
      <x:c r="B193" t="str">
        <x:v>Equipment</x:v>
      </x:c>
      <x:c r="C193" t="str">
        <x:v>Concept</x:v>
      </x:c>
      <x:c r="D193" t="str">
        <x:v>ConceptArt/equipment_sword_1h_t03_base_concept_sheet.txt</x:v>
      </x:c>
      <x:c r="E193" t="n">
        <x:v>1815</x:v>
      </x:c>
      <x:c r="F193" t="n">
        <x:v>229</x:v>
      </x:c>
      <x:c r="G193" t="str">
        <x:v>eb30a64f7076e335805fb4829ef88f649e197852854abbb3a343aaa0e526c7ef</x:v>
      </x:c>
    </x:row>
    <x:row r="194">
      <x:c r="A194" t="str">
        <x:v>f60831109c80</x:v>
      </x:c>
      <x:c r="B194" t="str">
        <x:v>Equipment</x:v>
      </x:c>
      <x:c r="C194" t="str">
        <x:v>Concept</x:v>
      </x:c>
      <x:c r="D194" t="str">
        <x:v>ConceptArt/equipment_sword_1h_t04_base_concept_sheet.txt</x:v>
      </x:c>
      <x:c r="E194" t="n">
        <x:v>1788</x:v>
      </x:c>
      <x:c r="F194" t="n">
        <x:v>224</x:v>
      </x:c>
      <x:c r="G194" t="str">
        <x:v>69e2373f2c2a2fc95d2473d9604aaf05a86ebd3456c126c9e9a7c4dac284fad5</x:v>
      </x:c>
    </x:row>
    <x:row r="195">
      <x:c r="A195" t="str">
        <x:v>2a3c3a448ab0</x:v>
      </x:c>
      <x:c r="B195" t="str">
        <x:v>Equipment</x:v>
      </x:c>
      <x:c r="C195" t="str">
        <x:v>Concept</x:v>
      </x:c>
      <x:c r="D195" t="str">
        <x:v>ConceptArt/equipment_sword_1h_t05_base_concept_sheet.txt</x:v>
      </x:c>
      <x:c r="E195" t="n">
        <x:v>1813</x:v>
      </x:c>
      <x:c r="F195" t="n">
        <x:v>228</x:v>
      </x:c>
      <x:c r="G195" t="str">
        <x:v>c7ee51e1713086562c763c4d628c69789ca8b670d77fcf566bde4f2889d48b62</x:v>
      </x:c>
    </x:row>
    <x:row r="196">
      <x:c r="A196" t="str">
        <x:v>955baf67c667</x:v>
      </x:c>
      <x:c r="B196" t="str">
        <x:v>Equipment</x:v>
      </x:c>
      <x:c r="C196" t="str">
        <x:v>Concept</x:v>
      </x:c>
      <x:c r="D196" t="str">
        <x:v>ConceptArt/equipment_sword_1h_t06_base_concept_sheet.txt</x:v>
      </x:c>
      <x:c r="E196" t="n">
        <x:v>1803</x:v>
      </x:c>
      <x:c r="F196" t="n">
        <x:v>227</x:v>
      </x:c>
      <x:c r="G196" t="str">
        <x:v>3d487ae7fd5ddb133a8a80ee2f2ad509a8217e47b8e081b29391c83181f389d1</x:v>
      </x:c>
    </x:row>
    <x:row r="197">
      <x:c r="A197" t="str">
        <x:v>d97d716dd247</x:v>
      </x:c>
      <x:c r="B197" t="str">
        <x:v>Equipment</x:v>
      </x:c>
      <x:c r="C197" t="str">
        <x:v>Concept</x:v>
      </x:c>
      <x:c r="D197" t="str">
        <x:v>ConceptArt/equipment_sword_1h_t07_base_concept_sheet.txt</x:v>
      </x:c>
      <x:c r="E197" t="n">
        <x:v>1820</x:v>
      </x:c>
      <x:c r="F197" t="n">
        <x:v>229</x:v>
      </x:c>
      <x:c r="G197" t="str">
        <x:v>0172508c62c024c5a6f069b0323e6ff15e9eaa3ca68ee3310d74bc9e528654b3</x:v>
      </x:c>
    </x:row>
    <x:row r="198">
      <x:c r="A198" t="str">
        <x:v>27b1383225ec</x:v>
      </x:c>
      <x:c r="B198" t="str">
        <x:v>Equipment</x:v>
      </x:c>
      <x:c r="C198" t="str">
        <x:v>Concept</x:v>
      </x:c>
      <x:c r="D198" t="str">
        <x:v>ConceptArt/equipment_sword_1h_t08_base_concept_sheet.txt</x:v>
      </x:c>
      <x:c r="E198" t="n">
        <x:v>1805</x:v>
      </x:c>
      <x:c r="F198" t="n">
        <x:v>228</x:v>
      </x:c>
      <x:c r="G198" t="str">
        <x:v>0216aa4758c17d882931ce1bcefdc153ada346ed62e0309c46ab00f8f21e8b28</x:v>
      </x:c>
    </x:row>
    <x:row r="199">
      <x:c r="A199" t="str">
        <x:v>4a51d7e88a57</x:v>
      </x:c>
      <x:c r="B199" t="str">
        <x:v>Equipment</x:v>
      </x:c>
      <x:c r="C199" t="str">
        <x:v>Concept</x:v>
      </x:c>
      <x:c r="D199" t="str">
        <x:v>ConceptArt/equipment_sword_1h_t09_base_concept_sheet.txt</x:v>
      </x:c>
      <x:c r="E199" t="n">
        <x:v>1828</x:v>
      </x:c>
      <x:c r="F199" t="n">
        <x:v>231</x:v>
      </x:c>
      <x:c r="G199" t="str">
        <x:v>4438e5e6ae1bb8668c53f349fb054ed754735393c722bb5309849643fd5aa5ac</x:v>
      </x:c>
    </x:row>
    <x:row r="200">
      <x:c r="A200" t="str">
        <x:v>dc59cd3095e6</x:v>
      </x:c>
      <x:c r="B200" t="str">
        <x:v>Equipment</x:v>
      </x:c>
      <x:c r="C200" t="str">
        <x:v>Geometry</x:v>
      </x:c>
      <x:c r="D200" t="str">
        <x:v>Meshy/BaseGeometry/equipment_amulet_t01_base_geometry.txt</x:v>
      </x:c>
      <x:c r="E200" t="n">
        <x:v>1905</x:v>
      </x:c>
      <x:c r="F200" t="n">
        <x:v>265</x:v>
      </x:c>
      <x:c r="G200" t="str">
        <x:v>b294ab4a6af33ae3b803d543afc30315740cd2311b023a16d5958bb7fcf7d8e5</x:v>
      </x:c>
    </x:row>
    <x:row r="201">
      <x:c r="A201" t="str">
        <x:v>2bbf1b8ee9f4</x:v>
      </x:c>
      <x:c r="B201" t="str">
        <x:v>Equipment</x:v>
      </x:c>
      <x:c r="C201" t="str">
        <x:v>Geometry</x:v>
      </x:c>
      <x:c r="D201" t="str">
        <x:v>Meshy/BaseGeometry/equipment_amulet_t02_base_geometry.txt</x:v>
      </x:c>
      <x:c r="E201" t="n">
        <x:v>1918</x:v>
      </x:c>
      <x:c r="F201" t="n">
        <x:v>263</x:v>
      </x:c>
      <x:c r="G201" t="str">
        <x:v>9b2f88f951cf1f780567a02c6fc476aab05c3588a912aad13264e52d96795684</x:v>
      </x:c>
    </x:row>
    <x:row r="202">
      <x:c r="A202" t="str">
        <x:v>a9e59b821b64</x:v>
      </x:c>
      <x:c r="B202" t="str">
        <x:v>Equipment</x:v>
      </x:c>
      <x:c r="C202" t="str">
        <x:v>Geometry</x:v>
      </x:c>
      <x:c r="D202" t="str">
        <x:v>Meshy/BaseGeometry/equipment_amulet_t03_base_geometry.txt</x:v>
      </x:c>
      <x:c r="E202" t="n">
        <x:v>1931</x:v>
      </x:c>
      <x:c r="F202" t="n">
        <x:v>267</x:v>
      </x:c>
      <x:c r="G202" t="str">
        <x:v>c48322b6d5695536f293dc695479021c896f99ade5c2ff918f1c85dd23015415</x:v>
      </x:c>
    </x:row>
    <x:row r="203">
      <x:c r="A203" t="str">
        <x:v>46e8de473ae1</x:v>
      </x:c>
      <x:c r="B203" t="str">
        <x:v>Equipment</x:v>
      </x:c>
      <x:c r="C203" t="str">
        <x:v>Geometry</x:v>
      </x:c>
      <x:c r="D203" t="str">
        <x:v>Meshy/BaseGeometry/equipment_amulet_t04_base_geometry.txt</x:v>
      </x:c>
      <x:c r="E203" t="n">
        <x:v>1872</x:v>
      </x:c>
      <x:c r="F203" t="n">
        <x:v>258</x:v>
      </x:c>
      <x:c r="G203" t="str">
        <x:v>1bf75bec31c11482989206e3dcfa613eb83a9f3c8822a5a1b5de0d46cfb9d44b</x:v>
      </x:c>
    </x:row>
    <x:row r="204">
      <x:c r="A204" t="str">
        <x:v>af9e62645956</x:v>
      </x:c>
      <x:c r="B204" t="str">
        <x:v>Equipment</x:v>
      </x:c>
      <x:c r="C204" t="str">
        <x:v>Geometry</x:v>
      </x:c>
      <x:c r="D204" t="str">
        <x:v>Meshy/BaseGeometry/equipment_amulet_t05_base_geometry.txt</x:v>
      </x:c>
      <x:c r="E204" t="n">
        <x:v>1938</x:v>
      </x:c>
      <x:c r="F204" t="n">
        <x:v>267</x:v>
      </x:c>
      <x:c r="G204" t="str">
        <x:v>ff5c61b4b799533dbdcfa157f48437b26d2b137c8d6d532d2eadbc3229c3da25</x:v>
      </x:c>
    </x:row>
    <x:row r="205">
      <x:c r="A205" t="str">
        <x:v>c5a15d700fa6</x:v>
      </x:c>
      <x:c r="B205" t="str">
        <x:v>Equipment</x:v>
      </x:c>
      <x:c r="C205" t="str">
        <x:v>Geometry</x:v>
      </x:c>
      <x:c r="D205" t="str">
        <x:v>Meshy/BaseGeometry/equipment_amulet_t06_base_geometry.txt</x:v>
      </x:c>
      <x:c r="E205" t="n">
        <x:v>1935</x:v>
      </x:c>
      <x:c r="F205" t="n">
        <x:v>266</x:v>
      </x:c>
      <x:c r="G205" t="str">
        <x:v>8043b12f16592246a1866f6f24109ecd8186a96757eeb9bb290dcc80c9810178</x:v>
      </x:c>
    </x:row>
    <x:row r="206">
      <x:c r="A206" t="str">
        <x:v>febe5f6258d2</x:v>
      </x:c>
      <x:c r="B206" t="str">
        <x:v>Equipment</x:v>
      </x:c>
      <x:c r="C206" t="str">
        <x:v>Geometry</x:v>
      </x:c>
      <x:c r="D206" t="str">
        <x:v>Meshy/BaseGeometry/equipment_amulet_t07_base_geometry.txt</x:v>
      </x:c>
      <x:c r="E206" t="n">
        <x:v>1941</x:v>
      </x:c>
      <x:c r="F206" t="n">
        <x:v>270</x:v>
      </x:c>
      <x:c r="G206" t="str">
        <x:v>0682d7f5128bf9eff809df3c06a2c36d9465e64ab167ccb1485e60120ccad4af</x:v>
      </x:c>
    </x:row>
    <x:row r="207">
      <x:c r="A207" t="str">
        <x:v>862858160f3c</x:v>
      </x:c>
      <x:c r="B207" t="str">
        <x:v>Equipment</x:v>
      </x:c>
      <x:c r="C207" t="str">
        <x:v>Geometry</x:v>
      </x:c>
      <x:c r="D207" t="str">
        <x:v>Meshy/BaseGeometry/equipment_amulet_t08_base_geometry.txt</x:v>
      </x:c>
      <x:c r="E207" t="n">
        <x:v>1917</x:v>
      </x:c>
      <x:c r="F207" t="n">
        <x:v>265</x:v>
      </x:c>
      <x:c r="G207" t="str">
        <x:v>092e9c66790496ca87ce54dd5b67683252119e860b99226854e66aef803370e2</x:v>
      </x:c>
    </x:row>
    <x:row r="208">
      <x:c r="A208" t="str">
        <x:v>71fec1c55295</x:v>
      </x:c>
      <x:c r="B208" t="str">
        <x:v>Equipment</x:v>
      </x:c>
      <x:c r="C208" t="str">
        <x:v>Geometry</x:v>
      </x:c>
      <x:c r="D208" t="str">
        <x:v>Meshy/BaseGeometry/equipment_amulet_t09_base_geometry.txt</x:v>
      </x:c>
      <x:c r="E208" t="n">
        <x:v>1946</x:v>
      </x:c>
      <x:c r="F208" t="n">
        <x:v>269</x:v>
      </x:c>
      <x:c r="G208" t="str">
        <x:v>630d83d344081755b6f1d8f65957b1e8b28d245f2ac770a420fd1c1a137663d8</x:v>
      </x:c>
    </x:row>
    <x:row r="209">
      <x:c r="A209" t="str">
        <x:v>151796f4f58c</x:v>
      </x:c>
      <x:c r="B209" t="str">
        <x:v>Equipment</x:v>
      </x:c>
      <x:c r="C209" t="str">
        <x:v>Geometry</x:v>
      </x:c>
      <x:c r="D209" t="str">
        <x:v>Meshy/BaseGeometry/equipment_cloth_boots_t01_base_geometry.txt</x:v>
      </x:c>
      <x:c r="E209" t="n">
        <x:v>1895</x:v>
      </x:c>
      <x:c r="F209" t="n">
        <x:v>264</x:v>
      </x:c>
      <x:c r="G209" t="str">
        <x:v>6406d9aad1c83c12b5ba76666d1daceb8d0fcb5d05eaf8fcd21b84e117d92765</x:v>
      </x:c>
    </x:row>
    <x:row r="210">
      <x:c r="A210" t="str">
        <x:v>a33b13c8f1f1</x:v>
      </x:c>
      <x:c r="B210" t="str">
        <x:v>Equipment</x:v>
      </x:c>
      <x:c r="C210" t="str">
        <x:v>Geometry</x:v>
      </x:c>
      <x:c r="D210" t="str">
        <x:v>Meshy/BaseGeometry/equipment_cloth_boots_t02_base_geometry.txt</x:v>
      </x:c>
      <x:c r="E210" t="n">
        <x:v>1910</x:v>
      </x:c>
      <x:c r="F210" t="n">
        <x:v>263</x:v>
      </x:c>
      <x:c r="G210" t="str">
        <x:v>01c12f0bc1e55c711732c904e86ae884b19f9655aeccaf5232efdf15f55995ef</x:v>
      </x:c>
    </x:row>
    <x:row r="211">
      <x:c r="A211" t="str">
        <x:v>145f37e147fc</x:v>
      </x:c>
      <x:c r="B211" t="str">
        <x:v>Equipment</x:v>
      </x:c>
      <x:c r="C211" t="str">
        <x:v>Geometry</x:v>
      </x:c>
      <x:c r="D211" t="str">
        <x:v>Meshy/BaseGeometry/equipment_cloth_boots_t03_base_geometry.txt</x:v>
      </x:c>
      <x:c r="E211" t="n">
        <x:v>1912</x:v>
      </x:c>
      <x:c r="F211" t="n">
        <x:v>266</x:v>
      </x:c>
      <x:c r="G211" t="str">
        <x:v>f95c80d4c142a8a0d41ec81f59ce1be56a85bfb7ed0a4eaac5fc8f43cfd10d75</x:v>
      </x:c>
    </x:row>
    <x:row r="212">
      <x:c r="A212" t="str">
        <x:v>ac6aabde0d93</x:v>
      </x:c>
      <x:c r="B212" t="str">
        <x:v>Equipment</x:v>
      </x:c>
      <x:c r="C212" t="str">
        <x:v>Geometry</x:v>
      </x:c>
      <x:c r="D212" t="str">
        <x:v>Meshy/BaseGeometry/equipment_cloth_boots_t04_base_geometry.txt</x:v>
      </x:c>
      <x:c r="E212" t="n">
        <x:v>1850</x:v>
      </x:c>
      <x:c r="F212" t="n">
        <x:v>255</x:v>
      </x:c>
      <x:c r="G212" t="str">
        <x:v>98028cc780318b0a6bc98f387a629dfe11b3e2eac6ea15435650918c5e487a7b</x:v>
      </x:c>
    </x:row>
    <x:row r="213">
      <x:c r="A213" t="str">
        <x:v>84fd00439636</x:v>
      </x:c>
      <x:c r="B213" t="str">
        <x:v>Equipment</x:v>
      </x:c>
      <x:c r="C213" t="str">
        <x:v>Geometry</x:v>
      </x:c>
      <x:c r="D213" t="str">
        <x:v>Meshy/BaseGeometry/equipment_cloth_boots_t05_base_geometry.txt</x:v>
      </x:c>
      <x:c r="E213" t="n">
        <x:v>1917</x:v>
      </x:c>
      <x:c r="F213" t="n">
        <x:v>265</x:v>
      </x:c>
      <x:c r="G213" t="str">
        <x:v>6b8c397f5870c5d733b72c15243699698c8c189d8d56c8ab4e47c15dee7a1580</x:v>
      </x:c>
    </x:row>
    <x:row r="214">
      <x:c r="A214" t="str">
        <x:v>a86794784216</x:v>
      </x:c>
      <x:c r="B214" t="str">
        <x:v>Equipment</x:v>
      </x:c>
      <x:c r="C214" t="str">
        <x:v>Geometry</x:v>
      </x:c>
      <x:c r="D214" t="str">
        <x:v>Meshy/BaseGeometry/equipment_cloth_boots_t06_base_geometry.txt</x:v>
      </x:c>
      <x:c r="E214" t="n">
        <x:v>1910</x:v>
      </x:c>
      <x:c r="F214" t="n">
        <x:v>264</x:v>
      </x:c>
      <x:c r="G214" t="str">
        <x:v>d26a89ae6791aaae90c38e1c5e6655625b0f262fef71b3f0df0cad9af47e5d84</x:v>
      </x:c>
    </x:row>
    <x:row r="215">
      <x:c r="A215" t="str">
        <x:v>0bd69217b0a0</x:v>
      </x:c>
      <x:c r="B215" t="str">
        <x:v>Equipment</x:v>
      </x:c>
      <x:c r="C215" t="str">
        <x:v>Geometry</x:v>
      </x:c>
      <x:c r="D215" t="str">
        <x:v>Meshy/BaseGeometry/equipment_cloth_boots_t07_base_geometry.txt</x:v>
      </x:c>
      <x:c r="E215" t="n">
        <x:v>1920</x:v>
      </x:c>
      <x:c r="F215" t="n">
        <x:v>268</x:v>
      </x:c>
      <x:c r="G215" t="str">
        <x:v>6836dd8e001572948e62dda88f52e1c8f3683543c8d4aff3e6351e6b717110d5</x:v>
      </x:c>
    </x:row>
    <x:row r="216">
      <x:c r="A216" t="str">
        <x:v>c8813802715c</x:v>
      </x:c>
      <x:c r="B216" t="str">
        <x:v>Equipment</x:v>
      </x:c>
      <x:c r="C216" t="str">
        <x:v>Geometry</x:v>
      </x:c>
      <x:c r="D216" t="str">
        <x:v>Meshy/BaseGeometry/equipment_cloth_boots_t08_base_geometry.txt</x:v>
      </x:c>
      <x:c r="E216" t="n">
        <x:v>1898</x:v>
      </x:c>
      <x:c r="F216" t="n">
        <x:v>263</x:v>
      </x:c>
      <x:c r="G216" t="str">
        <x:v>2600dbc402456e47c3f38179690c9c83187a4942dc131ac3e75049d56ab09711</x:v>
      </x:c>
    </x:row>
    <x:row r="217">
      <x:c r="A217" t="str">
        <x:v>30a079af26b4</x:v>
      </x:c>
      <x:c r="B217" t="str">
        <x:v>Equipment</x:v>
      </x:c>
      <x:c r="C217" t="str">
        <x:v>Geometry</x:v>
      </x:c>
      <x:c r="D217" t="str">
        <x:v>Meshy/BaseGeometry/equipment_cloth_boots_t09_base_geometry.txt</x:v>
      </x:c>
      <x:c r="E217" t="n">
        <x:v>1921</x:v>
      </x:c>
      <x:c r="F217" t="n">
        <x:v>266</x:v>
      </x:c>
      <x:c r="G217" t="str">
        <x:v>5f73bff960e711b7887c301622ba5b3d86deac42968dfdd09fc903053ee7e97d</x:v>
      </x:c>
    </x:row>
    <x:row r="218">
      <x:c r="A218" t="str">
        <x:v>8a6fb8e41dea</x:v>
      </x:c>
      <x:c r="B218" t="str">
        <x:v>Equipment</x:v>
      </x:c>
      <x:c r="C218" t="str">
        <x:v>Geometry</x:v>
      </x:c>
      <x:c r="D218" t="str">
        <x:v>Meshy/BaseGeometry/equipment_cloth_gloves_t01_base_geometry.txt</x:v>
      </x:c>
      <x:c r="E218" t="n">
        <x:v>1898</x:v>
      </x:c>
      <x:c r="F218" t="n">
        <x:v>263</x:v>
      </x:c>
      <x:c r="G218" t="str">
        <x:v>f468fc00efa43f2c8644f57bd78451236335b815971fdd22ebdb0358e0e6de00</x:v>
      </x:c>
    </x:row>
    <x:row r="219">
      <x:c r="A219" t="str">
        <x:v>5b0c77903f57</x:v>
      </x:c>
      <x:c r="B219" t="str">
        <x:v>Equipment</x:v>
      </x:c>
      <x:c r="C219" t="str">
        <x:v>Geometry</x:v>
      </x:c>
      <x:c r="D219" t="str">
        <x:v>Meshy/BaseGeometry/equipment_cloth_gloves_t02_base_geometry.txt</x:v>
      </x:c>
      <x:c r="E219" t="n">
        <x:v>1913</x:v>
      </x:c>
      <x:c r="F219" t="n">
        <x:v>262</x:v>
      </x:c>
      <x:c r="G219" t="str">
        <x:v>30c6b228860a24d1dd78b723ca7085577ab5a80dc0805401c0ce783f65d7abb3</x:v>
      </x:c>
    </x:row>
    <x:row r="220">
      <x:c r="A220" t="str">
        <x:v>5638f44fe0f6</x:v>
      </x:c>
      <x:c r="B220" t="str">
        <x:v>Equipment</x:v>
      </x:c>
      <x:c r="C220" t="str">
        <x:v>Geometry</x:v>
      </x:c>
      <x:c r="D220" t="str">
        <x:v>Meshy/BaseGeometry/equipment_cloth_gloves_t03_base_geometry.txt</x:v>
      </x:c>
      <x:c r="E220" t="n">
        <x:v>1915</x:v>
      </x:c>
      <x:c r="F220" t="n">
        <x:v>265</x:v>
      </x:c>
      <x:c r="G220" t="str">
        <x:v>45250114b8122eced396c089f80467e9f4826200c17058e2dd5c1fe76dd8739a</x:v>
      </x:c>
    </x:row>
    <x:row r="221">
      <x:c r="A221" t="str">
        <x:v>5de93affacbc</x:v>
      </x:c>
      <x:c r="B221" t="str">
        <x:v>Equipment</x:v>
      </x:c>
      <x:c r="C221" t="str">
        <x:v>Geometry</x:v>
      </x:c>
      <x:c r="D221" t="str">
        <x:v>Meshy/BaseGeometry/equipment_cloth_gloves_t04_base_geometry.txt</x:v>
      </x:c>
      <x:c r="E221" t="n">
        <x:v>1853</x:v>
      </x:c>
      <x:c r="F221" t="n">
        <x:v>254</x:v>
      </x:c>
      <x:c r="G221" t="str">
        <x:v>99905bbadd02d0df951f4555dc2b3a9f69d187edb3a2fce6a5759b90a0cb7437</x:v>
      </x:c>
    </x:row>
    <x:row r="222">
      <x:c r="A222" t="str">
        <x:v>aaad941073f8</x:v>
      </x:c>
      <x:c r="B222" t="str">
        <x:v>Equipment</x:v>
      </x:c>
      <x:c r="C222" t="str">
        <x:v>Geometry</x:v>
      </x:c>
      <x:c r="D222" t="str">
        <x:v>Meshy/BaseGeometry/equipment_cloth_gloves_t05_base_geometry.txt</x:v>
      </x:c>
      <x:c r="E222" t="n">
        <x:v>1920</x:v>
      </x:c>
      <x:c r="F222" t="n">
        <x:v>264</x:v>
      </x:c>
      <x:c r="G222" t="str">
        <x:v>934310c26e738030884f9ce411c0ea2f23d6bd7e69ad51bace9121092193ef3c</x:v>
      </x:c>
    </x:row>
    <x:row r="223">
      <x:c r="A223" t="str">
        <x:v>7852731d7785</x:v>
      </x:c>
      <x:c r="B223" t="str">
        <x:v>Equipment</x:v>
      </x:c>
      <x:c r="C223" t="str">
        <x:v>Geometry</x:v>
      </x:c>
      <x:c r="D223" t="str">
        <x:v>Meshy/BaseGeometry/equipment_cloth_gloves_t06_base_geometry.txt</x:v>
      </x:c>
      <x:c r="E223" t="n">
        <x:v>1913</x:v>
      </x:c>
      <x:c r="F223" t="n">
        <x:v>263</x:v>
      </x:c>
      <x:c r="G223" t="str">
        <x:v>38932f4caf9a6c6708a20acc658837deec9ef6a51d2172099e82504db8df5e00</x:v>
      </x:c>
    </x:row>
    <x:row r="224">
      <x:c r="A224" t="str">
        <x:v>79050ed5c38c</x:v>
      </x:c>
      <x:c r="B224" t="str">
        <x:v>Equipment</x:v>
      </x:c>
      <x:c r="C224" t="str">
        <x:v>Geometry</x:v>
      </x:c>
      <x:c r="D224" t="str">
        <x:v>Meshy/BaseGeometry/equipment_cloth_gloves_t07_base_geometry.txt</x:v>
      </x:c>
      <x:c r="E224" t="n">
        <x:v>1923</x:v>
      </x:c>
      <x:c r="F224" t="n">
        <x:v>267</x:v>
      </x:c>
      <x:c r="G224" t="str">
        <x:v>18c75ae772ffa5ac2283595ff357f4f73231bb0db3aa2e59f78391c0a1a6cc45</x:v>
      </x:c>
    </x:row>
    <x:row r="225">
      <x:c r="A225" t="str">
        <x:v>0d73493320a2</x:v>
      </x:c>
      <x:c r="B225" t="str">
        <x:v>Equipment</x:v>
      </x:c>
      <x:c r="C225" t="str">
        <x:v>Geometry</x:v>
      </x:c>
      <x:c r="D225" t="str">
        <x:v>Meshy/BaseGeometry/equipment_cloth_gloves_t08_base_geometry.txt</x:v>
      </x:c>
      <x:c r="E225" t="n">
        <x:v>1901</x:v>
      </x:c>
      <x:c r="F225" t="n">
        <x:v>262</x:v>
      </x:c>
      <x:c r="G225" t="str">
        <x:v>e0ee036af36ea553a283f749f65506f06c0f240ef1ef4b61442377011ef58c09</x:v>
      </x:c>
    </x:row>
    <x:row r="226">
      <x:c r="A226" t="str">
        <x:v>662bc30f3d0b</x:v>
      </x:c>
      <x:c r="B226" t="str">
        <x:v>Equipment</x:v>
      </x:c>
      <x:c r="C226" t="str">
        <x:v>Geometry</x:v>
      </x:c>
      <x:c r="D226" t="str">
        <x:v>Meshy/BaseGeometry/equipment_cloth_gloves_t09_base_geometry.txt</x:v>
      </x:c>
      <x:c r="E226" t="n">
        <x:v>1924</x:v>
      </x:c>
      <x:c r="F226" t="n">
        <x:v>265</x:v>
      </x:c>
      <x:c r="G226" t="str">
        <x:v>32ae8b6a53447472a9e4c365a132f338f87aef904f4ffb2d668e5280a66130e7</x:v>
      </x:c>
    </x:row>
    <x:row r="227">
      <x:c r="A227" t="str">
        <x:v>9a9250110905</x:v>
      </x:c>
      <x:c r="B227" t="str">
        <x:v>Equipment</x:v>
      </x:c>
      <x:c r="C227" t="str">
        <x:v>Geometry</x:v>
      </x:c>
      <x:c r="D227" t="str">
        <x:v>Meshy/BaseGeometry/equipment_cloth_hood_t01_base_geometry.txt</x:v>
      </x:c>
      <x:c r="E227" t="n">
        <x:v>1920</x:v>
      </x:c>
      <x:c r="F227" t="n">
        <x:v>269</x:v>
      </x:c>
      <x:c r="G227" t="str">
        <x:v>3608edf298576f6a3038edec4ee60e9df4d584aabd858e7f6b2073c7cacda40f</x:v>
      </x:c>
    </x:row>
    <x:row r="228">
      <x:c r="A228" t="str">
        <x:v>5f694e60eedd</x:v>
      </x:c>
      <x:c r="B228" t="str">
        <x:v>Equipment</x:v>
      </x:c>
      <x:c r="C228" t="str">
        <x:v>Geometry</x:v>
      </x:c>
      <x:c r="D228" t="str">
        <x:v>Meshy/BaseGeometry/equipment_cloth_hood_t02_base_geometry.txt</x:v>
      </x:c>
      <x:c r="E228" t="n">
        <x:v>1935</x:v>
      </x:c>
      <x:c r="F228" t="n">
        <x:v>268</x:v>
      </x:c>
      <x:c r="G228" t="str">
        <x:v>027508408eada9569faa64062b18ab0f02269385a0ce3f14624aab65e596bd4a</x:v>
      </x:c>
    </x:row>
    <x:row r="229">
      <x:c r="A229" t="str">
        <x:v>019e363abd7a</x:v>
      </x:c>
      <x:c r="B229" t="str">
        <x:v>Equipment</x:v>
      </x:c>
      <x:c r="C229" t="str">
        <x:v>Geometry</x:v>
      </x:c>
      <x:c r="D229" t="str">
        <x:v>Meshy/BaseGeometry/equipment_cloth_hood_t03_base_geometry.txt</x:v>
      </x:c>
      <x:c r="E229" t="n">
        <x:v>1937</x:v>
      </x:c>
      <x:c r="F229" t="n">
        <x:v>271</x:v>
      </x:c>
      <x:c r="G229" t="str">
        <x:v>a330c4c299dae749db3980e9093eaabaf7b1b198e14cbe74f71b1b1ad019295d</x:v>
      </x:c>
    </x:row>
    <x:row r="230">
      <x:c r="A230" t="str">
        <x:v>7a9dce245072</x:v>
      </x:c>
      <x:c r="B230" t="str">
        <x:v>Equipment</x:v>
      </x:c>
      <x:c r="C230" t="str">
        <x:v>Geometry</x:v>
      </x:c>
      <x:c r="D230" t="str">
        <x:v>Meshy/BaseGeometry/equipment_cloth_hood_t04_base_geometry.txt</x:v>
      </x:c>
      <x:c r="E230" t="n">
        <x:v>1875</x:v>
      </x:c>
      <x:c r="F230" t="n">
        <x:v>260</x:v>
      </x:c>
      <x:c r="G230" t="str">
        <x:v>dfd3e3e310e4373635120e45a163a65a7aa5240d2e53248da386556f6e82d841</x:v>
      </x:c>
    </x:row>
    <x:row r="231">
      <x:c r="A231" t="str">
        <x:v>832c8fd1bf94</x:v>
      </x:c>
      <x:c r="B231" t="str">
        <x:v>Equipment</x:v>
      </x:c>
      <x:c r="C231" t="str">
        <x:v>Geometry</x:v>
      </x:c>
      <x:c r="D231" t="str">
        <x:v>Meshy/BaseGeometry/equipment_cloth_hood_t05_base_geometry.txt</x:v>
      </x:c>
      <x:c r="E231" t="n">
        <x:v>1942</x:v>
      </x:c>
      <x:c r="F231" t="n">
        <x:v>270</x:v>
      </x:c>
      <x:c r="G231" t="str">
        <x:v>f143b25d1536874261b9fb29b5318eb7078fb59544bd0214fbd77bc4a8ea4618</x:v>
      </x:c>
    </x:row>
    <x:row r="232">
      <x:c r="A232" t="str">
        <x:v>7a5b0fb77b14</x:v>
      </x:c>
      <x:c r="B232" t="str">
        <x:v>Equipment</x:v>
      </x:c>
      <x:c r="C232" t="str">
        <x:v>Geometry</x:v>
      </x:c>
      <x:c r="D232" t="str">
        <x:v>Meshy/BaseGeometry/equipment_cloth_hood_t06_base_geometry.txt</x:v>
      </x:c>
      <x:c r="E232" t="n">
        <x:v>1935</x:v>
      </x:c>
      <x:c r="F232" t="n">
        <x:v>269</x:v>
      </x:c>
      <x:c r="G232" t="str">
        <x:v>14d7185ee8507611051c5a4ec865800280c3d8dc22d621bfed6037adfa72ba86</x:v>
      </x:c>
    </x:row>
    <x:row r="233">
      <x:c r="A233" t="str">
        <x:v>dc787d941c22</x:v>
      </x:c>
      <x:c r="B233" t="str">
        <x:v>Equipment</x:v>
      </x:c>
      <x:c r="C233" t="str">
        <x:v>Geometry</x:v>
      </x:c>
      <x:c r="D233" t="str">
        <x:v>Meshy/BaseGeometry/equipment_cloth_hood_t07_base_geometry.txt</x:v>
      </x:c>
      <x:c r="E233" t="n">
        <x:v>1945</x:v>
      </x:c>
      <x:c r="F233" t="n">
        <x:v>273</x:v>
      </x:c>
      <x:c r="G233" t="str">
        <x:v>58c690305137120702a868dbf5309ebe089abba0997209ebecdea39b14ed9527</x:v>
      </x:c>
    </x:row>
    <x:row r="234">
      <x:c r="A234" t="str">
        <x:v>70a1ace525bc</x:v>
      </x:c>
      <x:c r="B234" t="str">
        <x:v>Equipment</x:v>
      </x:c>
      <x:c r="C234" t="str">
        <x:v>Geometry</x:v>
      </x:c>
      <x:c r="D234" t="str">
        <x:v>Meshy/BaseGeometry/equipment_cloth_hood_t08_base_geometry.txt</x:v>
      </x:c>
      <x:c r="E234" t="n">
        <x:v>1923</x:v>
      </x:c>
      <x:c r="F234" t="n">
        <x:v>268</x:v>
      </x:c>
      <x:c r="G234" t="str">
        <x:v>ab34c4627b744d58f34bb2137e398ac92c2619453c6e4cc4146740fcdee33b47</x:v>
      </x:c>
    </x:row>
    <x:row r="235">
      <x:c r="A235" t="str">
        <x:v>afca31646c07</x:v>
      </x:c>
      <x:c r="B235" t="str">
        <x:v>Equipment</x:v>
      </x:c>
      <x:c r="C235" t="str">
        <x:v>Geometry</x:v>
      </x:c>
      <x:c r="D235" t="str">
        <x:v>Meshy/BaseGeometry/equipment_cloth_hood_t09_base_geometry.txt</x:v>
      </x:c>
      <x:c r="E235" t="n">
        <x:v>1946</x:v>
      </x:c>
      <x:c r="F235" t="n">
        <x:v>271</x:v>
      </x:c>
      <x:c r="G235" t="str">
        <x:v>6229339c5a67953ae628bbe84b026f515d58301907fc016bbdb739bfb200d5a7</x:v>
      </x:c>
    </x:row>
    <x:row r="236">
      <x:c r="A236" t="str">
        <x:v>fa9127ca2a3a</x:v>
      </x:c>
      <x:c r="B236" t="str">
        <x:v>Equipment</x:v>
      </x:c>
      <x:c r="C236" t="str">
        <x:v>Geometry</x:v>
      </x:c>
      <x:c r="D236" t="str">
        <x:v>Meshy/BaseGeometry/equipment_cloth_robe_t01_base_geometry.txt</x:v>
      </x:c>
      <x:c r="E236" t="n">
        <x:v>1920</x:v>
      </x:c>
      <x:c r="F236" t="n">
        <x:v>268</x:v>
      </x:c>
      <x:c r="G236" t="str">
        <x:v>33b2d31308e3cd1d01d23c68ba19aef98e7e89a08798dcb6445fb23be49108a1</x:v>
      </x:c>
    </x:row>
    <x:row r="237">
      <x:c r="A237" t="str">
        <x:v>2c90619ca7f7</x:v>
      </x:c>
      <x:c r="B237" t="str">
        <x:v>Equipment</x:v>
      </x:c>
      <x:c r="C237" t="str">
        <x:v>Geometry</x:v>
      </x:c>
      <x:c r="D237" t="str">
        <x:v>Meshy/BaseGeometry/equipment_cloth_robe_t02_base_geometry.txt</x:v>
      </x:c>
      <x:c r="E237" t="n">
        <x:v>1935</x:v>
      </x:c>
      <x:c r="F237" t="n">
        <x:v>267</x:v>
      </x:c>
      <x:c r="G237" t="str">
        <x:v>40a67b3240f349b13f78aa16a44711e05c794d48163a8e6c29a6b90d58520772</x:v>
      </x:c>
    </x:row>
    <x:row r="238">
      <x:c r="A238" t="str">
        <x:v>5b10778b1265</x:v>
      </x:c>
      <x:c r="B238" t="str">
        <x:v>Equipment</x:v>
      </x:c>
      <x:c r="C238" t="str">
        <x:v>Geometry</x:v>
      </x:c>
      <x:c r="D238" t="str">
        <x:v>Meshy/BaseGeometry/equipment_cloth_robe_t03_base_geometry.txt</x:v>
      </x:c>
      <x:c r="E238" t="n">
        <x:v>1937</x:v>
      </x:c>
      <x:c r="F238" t="n">
        <x:v>270</x:v>
      </x:c>
      <x:c r="G238" t="str">
        <x:v>291d0c0c809727385b67ae695543a1e43f6fb6c0024cfdb3a533524f7b9c8f24</x:v>
      </x:c>
    </x:row>
    <x:row r="239">
      <x:c r="A239" t="str">
        <x:v>af52aba0390f</x:v>
      </x:c>
      <x:c r="B239" t="str">
        <x:v>Equipment</x:v>
      </x:c>
      <x:c r="C239" t="str">
        <x:v>Geometry</x:v>
      </x:c>
      <x:c r="D239" t="str">
        <x:v>Meshy/BaseGeometry/equipment_cloth_robe_t04_base_geometry.txt</x:v>
      </x:c>
      <x:c r="E239" t="n">
        <x:v>1875</x:v>
      </x:c>
      <x:c r="F239" t="n">
        <x:v>259</x:v>
      </x:c>
      <x:c r="G239" t="str">
        <x:v>c75ce7ee278282ef2d436427f39a98c2f18891846da841fc3422e7ae0e690243</x:v>
      </x:c>
    </x:row>
    <x:row r="240">
      <x:c r="A240" t="str">
        <x:v>6300cd1d97b3</x:v>
      </x:c>
      <x:c r="B240" t="str">
        <x:v>Equipment</x:v>
      </x:c>
      <x:c r="C240" t="str">
        <x:v>Geometry</x:v>
      </x:c>
      <x:c r="D240" t="str">
        <x:v>Meshy/BaseGeometry/equipment_cloth_robe_t05_base_geometry.txt</x:v>
      </x:c>
      <x:c r="E240" t="n">
        <x:v>1942</x:v>
      </x:c>
      <x:c r="F240" t="n">
        <x:v>269</x:v>
      </x:c>
      <x:c r="G240" t="str">
        <x:v>3a7743f25ce3c9d450d2e70f7f0ad6265a948c3c33723483c210e5f8d8c64157</x:v>
      </x:c>
    </x:row>
    <x:row r="241">
      <x:c r="A241" t="str">
        <x:v>204f90e4ec10</x:v>
      </x:c>
      <x:c r="B241" t="str">
        <x:v>Equipment</x:v>
      </x:c>
      <x:c r="C241" t="str">
        <x:v>Geometry</x:v>
      </x:c>
      <x:c r="D241" t="str">
        <x:v>Meshy/BaseGeometry/equipment_cloth_robe_t06_base_geometry.txt</x:v>
      </x:c>
      <x:c r="E241" t="n">
        <x:v>1935</x:v>
      </x:c>
      <x:c r="F241" t="n">
        <x:v>268</x:v>
      </x:c>
      <x:c r="G241" t="str">
        <x:v>b16e655ccdfefafe0ab1f5221960cfca003005855e762d95e7826d54d46805ab</x:v>
      </x:c>
    </x:row>
    <x:row r="242">
      <x:c r="A242" t="str">
        <x:v>3b6d7579c703</x:v>
      </x:c>
      <x:c r="B242" t="str">
        <x:v>Equipment</x:v>
      </x:c>
      <x:c r="C242" t="str">
        <x:v>Geometry</x:v>
      </x:c>
      <x:c r="D242" t="str">
        <x:v>Meshy/BaseGeometry/equipment_cloth_robe_t07_base_geometry.txt</x:v>
      </x:c>
      <x:c r="E242" t="n">
        <x:v>1945</x:v>
      </x:c>
      <x:c r="F242" t="n">
        <x:v>272</x:v>
      </x:c>
      <x:c r="G242" t="str">
        <x:v>d28daf4d500d8f3181aaea7c779127c351ca2c30ba87f91f67ef46a03d11aa67</x:v>
      </x:c>
    </x:row>
    <x:row r="243">
      <x:c r="A243" t="str">
        <x:v>b86c7608d9fd</x:v>
      </x:c>
      <x:c r="B243" t="str">
        <x:v>Equipment</x:v>
      </x:c>
      <x:c r="C243" t="str">
        <x:v>Geometry</x:v>
      </x:c>
      <x:c r="D243" t="str">
        <x:v>Meshy/BaseGeometry/equipment_cloth_robe_t08_base_geometry.txt</x:v>
      </x:c>
      <x:c r="E243" t="n">
        <x:v>1923</x:v>
      </x:c>
      <x:c r="F243" t="n">
        <x:v>267</x:v>
      </x:c>
      <x:c r="G243" t="str">
        <x:v>087493fc3aff60b880f3056a999f0becb6ab82ee0ebd5a5a73398c39dbe88f61</x:v>
      </x:c>
    </x:row>
    <x:row r="244">
      <x:c r="A244" t="str">
        <x:v>9a616c320515</x:v>
      </x:c>
      <x:c r="B244" t="str">
        <x:v>Equipment</x:v>
      </x:c>
      <x:c r="C244" t="str">
        <x:v>Geometry</x:v>
      </x:c>
      <x:c r="D244" t="str">
        <x:v>Meshy/BaseGeometry/equipment_cloth_robe_t09_base_geometry.txt</x:v>
      </x:c>
      <x:c r="E244" t="n">
        <x:v>1946</x:v>
      </x:c>
      <x:c r="F244" t="n">
        <x:v>270</x:v>
      </x:c>
      <x:c r="G244" t="str">
        <x:v>97e3964a58ed4e56d45c914d7c7b41be971ccda033636b8ddeb60c5fb8aae127</x:v>
      </x:c>
    </x:row>
    <x:row r="245">
      <x:c r="A245" t="str">
        <x:v>96503d4f2ca7</x:v>
      </x:c>
      <x:c r="B245" t="str">
        <x:v>Equipment</x:v>
      </x:c>
      <x:c r="C245" t="str">
        <x:v>Geometry</x:v>
      </x:c>
      <x:c r="D245" t="str">
        <x:v>Meshy/BaseGeometry/equipment_heavy_boots_t01_base_geometry.txt</x:v>
      </x:c>
      <x:c r="E245" t="n">
        <x:v>1881</x:v>
      </x:c>
      <x:c r="F245" t="n">
        <x:v>261</x:v>
      </x:c>
      <x:c r="G245" t="str">
        <x:v>9def9a4f573197e762efcc793233b1bdc781e2fc5a3d886f9da441f398ae6d64</x:v>
      </x:c>
    </x:row>
    <x:row r="246">
      <x:c r="A246" t="str">
        <x:v>ac16db79311d</x:v>
      </x:c>
      <x:c r="B246" t="str">
        <x:v>Equipment</x:v>
      </x:c>
      <x:c r="C246" t="str">
        <x:v>Geometry</x:v>
      </x:c>
      <x:c r="D246" t="str">
        <x:v>Meshy/BaseGeometry/equipment_heavy_boots_t02_base_geometry.txt</x:v>
      </x:c>
      <x:c r="E246" t="n">
        <x:v>1891</x:v>
      </x:c>
      <x:c r="F246" t="n">
        <x:v>259</x:v>
      </x:c>
      <x:c r="G246" t="str">
        <x:v>a69386bfe8ac7ee9e5262caff26993358a283845950299a4ce56df6d225b757c</x:v>
      </x:c>
    </x:row>
    <x:row r="247">
      <x:c r="A247" t="str">
        <x:v>d2f51850a5e0</x:v>
      </x:c>
      <x:c r="B247" t="str">
        <x:v>Equipment</x:v>
      </x:c>
      <x:c r="C247" t="str">
        <x:v>Geometry</x:v>
      </x:c>
      <x:c r="D247" t="str">
        <x:v>Meshy/BaseGeometry/equipment_heavy_boots_t03_base_geometry.txt</x:v>
      </x:c>
      <x:c r="E247" t="n">
        <x:v>1902</x:v>
      </x:c>
      <x:c r="F247" t="n">
        <x:v>262</x:v>
      </x:c>
      <x:c r="G247" t="str">
        <x:v>7321c1290673b6edc3c831b95e831015371ff0e487378d703f591d2c42ec9645</x:v>
      </x:c>
    </x:row>
    <x:row r="248">
      <x:c r="A248" t="str">
        <x:v>36d005caf8a2</x:v>
      </x:c>
      <x:c r="B248" t="str">
        <x:v>Equipment</x:v>
      </x:c>
      <x:c r="C248" t="str">
        <x:v>Geometry</x:v>
      </x:c>
      <x:c r="D248" t="str">
        <x:v>Meshy/BaseGeometry/equipment_heavy_boots_t04_base_geometry.txt</x:v>
      </x:c>
      <x:c r="E248" t="n">
        <x:v>1871</x:v>
      </x:c>
      <x:c r="F248" t="n">
        <x:v>257</x:v>
      </x:c>
      <x:c r="G248" t="str">
        <x:v>c7c845730d5c09b550329e0d391c2a737a5bdaa5b922cf1b71793ad87e9b5bd8</x:v>
      </x:c>
    </x:row>
    <x:row r="249">
      <x:c r="A249" t="str">
        <x:v>f1e935f9f515</x:v>
      </x:c>
      <x:c r="B249" t="str">
        <x:v>Equipment</x:v>
      </x:c>
      <x:c r="C249" t="str">
        <x:v>Geometry</x:v>
      </x:c>
      <x:c r="D249" t="str">
        <x:v>Meshy/BaseGeometry/equipment_heavy_boots_t05_base_geometry.txt</x:v>
      </x:c>
      <x:c r="E249" t="n">
        <x:v>1907</x:v>
      </x:c>
      <x:c r="F249" t="n">
        <x:v>262</x:v>
      </x:c>
      <x:c r="G249" t="str">
        <x:v>da6c3773a2c45521ee2ceb4905a50fdcd68399d2da29a708e842414e4eeed564</x:v>
      </x:c>
    </x:row>
    <x:row r="250">
      <x:c r="A250" t="str">
        <x:v>f91767b896de</x:v>
      </x:c>
      <x:c r="B250" t="str">
        <x:v>Equipment</x:v>
      </x:c>
      <x:c r="C250" t="str">
        <x:v>Geometry</x:v>
      </x:c>
      <x:c r="D250" t="str">
        <x:v>Meshy/BaseGeometry/equipment_heavy_boots_t06_base_geometry.txt</x:v>
      </x:c>
      <x:c r="E250" t="n">
        <x:v>1899</x:v>
      </x:c>
      <x:c r="F250" t="n">
        <x:v>261</x:v>
      </x:c>
      <x:c r="G250" t="str">
        <x:v>406ea555edd64e86e75af8529d1efbd9a303fc0c03e217b3184f7c322e569fa0</x:v>
      </x:c>
    </x:row>
    <x:row r="251">
      <x:c r="A251" t="str">
        <x:v>bea1d219c62a</x:v>
      </x:c>
      <x:c r="B251" t="str">
        <x:v>Equipment</x:v>
      </x:c>
      <x:c r="C251" t="str">
        <x:v>Geometry</x:v>
      </x:c>
      <x:c r="D251" t="str">
        <x:v>Meshy/BaseGeometry/equipment_heavy_boots_t07_base_geometry.txt</x:v>
      </x:c>
      <x:c r="E251" t="n">
        <x:v>1909</x:v>
      </x:c>
      <x:c r="F251" t="n">
        <x:v>264</x:v>
      </x:c>
      <x:c r="G251" t="str">
        <x:v>fb93f40f5bc5948b2ec55351f42b637af9dce9d882652e3c1eaff4220e65c2a5</x:v>
      </x:c>
    </x:row>
    <x:row r="252">
      <x:c r="A252" t="str">
        <x:v>ed6f83b64a63</x:v>
      </x:c>
      <x:c r="B252" t="str">
        <x:v>Equipment</x:v>
      </x:c>
      <x:c r="C252" t="str">
        <x:v>Geometry</x:v>
      </x:c>
      <x:c r="D252" t="str">
        <x:v>Meshy/BaseGeometry/equipment_heavy_boots_t08_base_geometry.txt</x:v>
      </x:c>
      <x:c r="E252" t="n">
        <x:v>1894</x:v>
      </x:c>
      <x:c r="F252" t="n">
        <x:v>261</x:v>
      </x:c>
      <x:c r="G252" t="str">
        <x:v>c80c85c3d02e74e0dc34656ee4864d91ab6a719346a683508cd1d8504611ec2c</x:v>
      </x:c>
    </x:row>
    <x:row r="253">
      <x:c r="A253" t="str">
        <x:v>474926e5023b</x:v>
      </x:c>
      <x:c r="B253" t="str">
        <x:v>Equipment</x:v>
      </x:c>
      <x:c r="C253" t="str">
        <x:v>Geometry</x:v>
      </x:c>
      <x:c r="D253" t="str">
        <x:v>Meshy/BaseGeometry/equipment_heavy_boots_t09_base_geometry.txt</x:v>
      </x:c>
      <x:c r="E253" t="n">
        <x:v>1914</x:v>
      </x:c>
      <x:c r="F253" t="n">
        <x:v>264</x:v>
      </x:c>
      <x:c r="G253" t="str">
        <x:v>272d688b2ce2d3e2e9f651e9100bb7e42ea7e84889c0f5ff77692fb225923d00</x:v>
      </x:c>
    </x:row>
    <x:row r="254">
      <x:c r="A254" t="str">
        <x:v>5112311142b7</x:v>
      </x:c>
      <x:c r="B254" t="str">
        <x:v>Equipment</x:v>
      </x:c>
      <x:c r="C254" t="str">
        <x:v>Geometry</x:v>
      </x:c>
      <x:c r="D254" t="str">
        <x:v>Meshy/BaseGeometry/equipment_heavy_chest_t01_base_geometry.txt</x:v>
      </x:c>
      <x:c r="E254" t="n">
        <x:v>1908</x:v>
      </x:c>
      <x:c r="F254" t="n">
        <x:v>263</x:v>
      </x:c>
      <x:c r="G254" t="str">
        <x:v>43dda2956598449c08752bd5af54a635b14e3a768a6f8a2d325b065a91506be4</x:v>
      </x:c>
    </x:row>
    <x:row r="255">
      <x:c r="A255" t="str">
        <x:v>0d78c0aedacc</x:v>
      </x:c>
      <x:c r="B255" t="str">
        <x:v>Equipment</x:v>
      </x:c>
      <x:c r="C255" t="str">
        <x:v>Geometry</x:v>
      </x:c>
      <x:c r="D255" t="str">
        <x:v>Meshy/BaseGeometry/equipment_heavy_chest_t02_base_geometry.txt</x:v>
      </x:c>
      <x:c r="E255" t="n">
        <x:v>1918</x:v>
      </x:c>
      <x:c r="F255" t="n">
        <x:v>261</x:v>
      </x:c>
      <x:c r="G255" t="str">
        <x:v>c3ad4793b6bd3569b1a90219882a7478baeb793049094f09fb00588392b3249f</x:v>
      </x:c>
    </x:row>
    <x:row r="256">
      <x:c r="A256" t="str">
        <x:v>3fc8c1bd7d3c</x:v>
      </x:c>
      <x:c r="B256" t="str">
        <x:v>Equipment</x:v>
      </x:c>
      <x:c r="C256" t="str">
        <x:v>Geometry</x:v>
      </x:c>
      <x:c r="D256" t="str">
        <x:v>Meshy/BaseGeometry/equipment_heavy_chest_t03_base_geometry.txt</x:v>
      </x:c>
      <x:c r="E256" t="n">
        <x:v>1929</x:v>
      </x:c>
      <x:c r="F256" t="n">
        <x:v>264</x:v>
      </x:c>
      <x:c r="G256" t="str">
        <x:v>84949dca67132f2069997d2b620253f2b629e0b2721645ac25470e544a3d7e3c</x:v>
      </x:c>
    </x:row>
    <x:row r="257">
      <x:c r="A257" t="str">
        <x:v>b094ad3477ca</x:v>
      </x:c>
      <x:c r="B257" t="str">
        <x:v>Equipment</x:v>
      </x:c>
      <x:c r="C257" t="str">
        <x:v>Geometry</x:v>
      </x:c>
      <x:c r="D257" t="str">
        <x:v>Meshy/BaseGeometry/equipment_heavy_chest_t04_base_geometry.txt</x:v>
      </x:c>
      <x:c r="E257" t="n">
        <x:v>1898</x:v>
      </x:c>
      <x:c r="F257" t="n">
        <x:v>259</x:v>
      </x:c>
      <x:c r="G257" t="str">
        <x:v>b57fa1476579d4f52be4bc05c7238d141e7837ea8064148ac6e9ad2548c3ec4a</x:v>
      </x:c>
    </x:row>
    <x:row r="258">
      <x:c r="A258" t="str">
        <x:v>689e3d3c6091</x:v>
      </x:c>
      <x:c r="B258" t="str">
        <x:v>Equipment</x:v>
      </x:c>
      <x:c r="C258" t="str">
        <x:v>Geometry</x:v>
      </x:c>
      <x:c r="D258" t="str">
        <x:v>Meshy/BaseGeometry/equipment_heavy_chest_t05_base_geometry.txt</x:v>
      </x:c>
      <x:c r="E258" t="n">
        <x:v>1934</x:v>
      </x:c>
      <x:c r="F258" t="n">
        <x:v>264</x:v>
      </x:c>
      <x:c r="G258" t="str">
        <x:v>ac4ac96edec958fcce57ac96847ddaac8e2144cfc81a6dfb0ba22b38d969cc39</x:v>
      </x:c>
    </x:row>
    <x:row r="259">
      <x:c r="A259" t="str">
        <x:v>c3348e49d121</x:v>
      </x:c>
      <x:c r="B259" t="str">
        <x:v>Equipment</x:v>
      </x:c>
      <x:c r="C259" t="str">
        <x:v>Geometry</x:v>
      </x:c>
      <x:c r="D259" t="str">
        <x:v>Meshy/BaseGeometry/equipment_heavy_chest_t06_base_geometry.txt</x:v>
      </x:c>
      <x:c r="E259" t="n">
        <x:v>1926</x:v>
      </x:c>
      <x:c r="F259" t="n">
        <x:v>263</x:v>
      </x:c>
      <x:c r="G259" t="str">
        <x:v>69240266db46ee01fdf66c0985c32205dd7faf855b19fb645f3d654892f9f932</x:v>
      </x:c>
    </x:row>
    <x:row r="260">
      <x:c r="A260" t="str">
        <x:v>9db8b36866b5</x:v>
      </x:c>
      <x:c r="B260" t="str">
        <x:v>Equipment</x:v>
      </x:c>
      <x:c r="C260" t="str">
        <x:v>Geometry</x:v>
      </x:c>
      <x:c r="D260" t="str">
        <x:v>Meshy/BaseGeometry/equipment_heavy_chest_t07_base_geometry.txt</x:v>
      </x:c>
      <x:c r="E260" t="n">
        <x:v>1936</x:v>
      </x:c>
      <x:c r="F260" t="n">
        <x:v>266</x:v>
      </x:c>
      <x:c r="G260" t="str">
        <x:v>e33d006c172f4308742026bb8399fff1b1244c20a67f2637044cf450742e7665</x:v>
      </x:c>
    </x:row>
    <x:row r="261">
      <x:c r="A261" t="str">
        <x:v>e18c78068af9</x:v>
      </x:c>
      <x:c r="B261" t="str">
        <x:v>Equipment</x:v>
      </x:c>
      <x:c r="C261" t="str">
        <x:v>Geometry</x:v>
      </x:c>
      <x:c r="D261" t="str">
        <x:v>Meshy/BaseGeometry/equipment_heavy_chest_t08_base_geometry.txt</x:v>
      </x:c>
      <x:c r="E261" t="n">
        <x:v>1921</x:v>
      </x:c>
      <x:c r="F261" t="n">
        <x:v>263</x:v>
      </x:c>
      <x:c r="G261" t="str">
        <x:v>fd57a12f9561f38f357d0a2adc4b74da92f5ce2ee9daec03cfda19892a37e06e</x:v>
      </x:c>
    </x:row>
    <x:row r="262">
      <x:c r="A262" t="str">
        <x:v>a6da44b106b6</x:v>
      </x:c>
      <x:c r="B262" t="str">
        <x:v>Equipment</x:v>
      </x:c>
      <x:c r="C262" t="str">
        <x:v>Geometry</x:v>
      </x:c>
      <x:c r="D262" t="str">
        <x:v>Meshy/BaseGeometry/equipment_heavy_chest_t09_base_geometry.txt</x:v>
      </x:c>
      <x:c r="E262" t="n">
        <x:v>1941</x:v>
      </x:c>
      <x:c r="F262" t="n">
        <x:v>266</x:v>
      </x:c>
      <x:c r="G262" t="str">
        <x:v>3408e144bf35873056730ca20c7a0f6c5458c982fd105761daaa16d0d3d412fb</x:v>
      </x:c>
    </x:row>
    <x:row r="263">
      <x:c r="A263" t="str">
        <x:v>acb292825aa4</x:v>
      </x:c>
      <x:c r="B263" t="str">
        <x:v>Equipment</x:v>
      </x:c>
      <x:c r="C263" t="str">
        <x:v>Geometry</x:v>
      </x:c>
      <x:c r="D263" t="str">
        <x:v>Meshy/BaseGeometry/equipment_heavy_gloves_t01_base_geometry.txt</x:v>
      </x:c>
      <x:c r="E263" t="n">
        <x:v>1896</x:v>
      </x:c>
      <x:c r="F263" t="n">
        <x:v>260</x:v>
      </x:c>
      <x:c r="G263" t="str">
        <x:v>656e9e79170c3041b99fa4aa7072022e37398c7ab2c47d512e0056fb18a848e7</x:v>
      </x:c>
    </x:row>
    <x:row r="264">
      <x:c r="A264" t="str">
        <x:v>ca8a5ef595ca</x:v>
      </x:c>
      <x:c r="B264" t="str">
        <x:v>Equipment</x:v>
      </x:c>
      <x:c r="C264" t="str">
        <x:v>Geometry</x:v>
      </x:c>
      <x:c r="D264" t="str">
        <x:v>Meshy/BaseGeometry/equipment_heavy_gloves_t02_base_geometry.txt</x:v>
      </x:c>
      <x:c r="E264" t="n">
        <x:v>1906</x:v>
      </x:c>
      <x:c r="F264" t="n">
        <x:v>258</x:v>
      </x:c>
      <x:c r="G264" t="str">
        <x:v>b8c4a9a60f67cda90bd29db7c82171d63c6f9044b785c3e7c3cbf7149140ecbe</x:v>
      </x:c>
    </x:row>
    <x:row r="265">
      <x:c r="A265" t="str">
        <x:v>1c9453ec5642</x:v>
      </x:c>
      <x:c r="B265" t="str">
        <x:v>Equipment</x:v>
      </x:c>
      <x:c r="C265" t="str">
        <x:v>Geometry</x:v>
      </x:c>
      <x:c r="D265" t="str">
        <x:v>Meshy/BaseGeometry/equipment_heavy_gloves_t03_base_geometry.txt</x:v>
      </x:c>
      <x:c r="E265" t="n">
        <x:v>1917</x:v>
      </x:c>
      <x:c r="F265" t="n">
        <x:v>261</x:v>
      </x:c>
      <x:c r="G265" t="str">
        <x:v>0540c795a821e99ac450709486b4166c2ddd6b3b5af2d7e6c20524603a3dfbe3</x:v>
      </x:c>
    </x:row>
    <x:row r="266">
      <x:c r="A266" t="str">
        <x:v>7b89436cd92d</x:v>
      </x:c>
      <x:c r="B266" t="str">
        <x:v>Equipment</x:v>
      </x:c>
      <x:c r="C266" t="str">
        <x:v>Geometry</x:v>
      </x:c>
      <x:c r="D266" t="str">
        <x:v>Meshy/BaseGeometry/equipment_heavy_gloves_t04_base_geometry.txt</x:v>
      </x:c>
      <x:c r="E266" t="n">
        <x:v>1886</x:v>
      </x:c>
      <x:c r="F266" t="n">
        <x:v>256</x:v>
      </x:c>
      <x:c r="G266" t="str">
        <x:v>3f2882fe837eb07ee078182a7890131a3361adaba77b880fe08c55e6ccf70285</x:v>
      </x:c>
    </x:row>
    <x:row r="267">
      <x:c r="A267" t="str">
        <x:v>d1235142862e</x:v>
      </x:c>
      <x:c r="B267" t="str">
        <x:v>Equipment</x:v>
      </x:c>
      <x:c r="C267" t="str">
        <x:v>Geometry</x:v>
      </x:c>
      <x:c r="D267" t="str">
        <x:v>Meshy/BaseGeometry/equipment_heavy_gloves_t05_base_geometry.txt</x:v>
      </x:c>
      <x:c r="E267" t="n">
        <x:v>1922</x:v>
      </x:c>
      <x:c r="F267" t="n">
        <x:v>261</x:v>
      </x:c>
      <x:c r="G267" t="str">
        <x:v>d332db888e3286c7fdcb1a5268f86ff751f18e461ad102ee80f326578091ad9e</x:v>
      </x:c>
    </x:row>
    <x:row r="268">
      <x:c r="A268" t="str">
        <x:v>4dfcd881b182</x:v>
      </x:c>
      <x:c r="B268" t="str">
        <x:v>Equipment</x:v>
      </x:c>
      <x:c r="C268" t="str">
        <x:v>Geometry</x:v>
      </x:c>
      <x:c r="D268" t="str">
        <x:v>Meshy/BaseGeometry/equipment_heavy_gloves_t06_base_geometry.txt</x:v>
      </x:c>
      <x:c r="E268" t="n">
        <x:v>1914</x:v>
      </x:c>
      <x:c r="F268" t="n">
        <x:v>260</x:v>
      </x:c>
      <x:c r="G268" t="str">
        <x:v>e19e3b6063bb72b64e1927e309145079efe6703c2ec5c3a7c8100092b7e27923</x:v>
      </x:c>
    </x:row>
    <x:row r="269">
      <x:c r="A269" t="str">
        <x:v>5cd54b9f6f5d</x:v>
      </x:c>
      <x:c r="B269" t="str">
        <x:v>Equipment</x:v>
      </x:c>
      <x:c r="C269" t="str">
        <x:v>Geometry</x:v>
      </x:c>
      <x:c r="D269" t="str">
        <x:v>Meshy/BaseGeometry/equipment_heavy_gloves_t07_base_geometry.txt</x:v>
      </x:c>
      <x:c r="E269" t="n">
        <x:v>1924</x:v>
      </x:c>
      <x:c r="F269" t="n">
        <x:v>263</x:v>
      </x:c>
      <x:c r="G269" t="str">
        <x:v>ddf6769873da48483cd97c1c4d167b04fe5db154e1dc50cf2f71d7dac135d684</x:v>
      </x:c>
    </x:row>
    <x:row r="270">
      <x:c r="A270" t="str">
        <x:v>accb677fe2ed</x:v>
      </x:c>
      <x:c r="B270" t="str">
        <x:v>Equipment</x:v>
      </x:c>
      <x:c r="C270" t="str">
        <x:v>Geometry</x:v>
      </x:c>
      <x:c r="D270" t="str">
        <x:v>Meshy/BaseGeometry/equipment_heavy_gloves_t08_base_geometry.txt</x:v>
      </x:c>
      <x:c r="E270" t="n">
        <x:v>1909</x:v>
      </x:c>
      <x:c r="F270" t="n">
        <x:v>260</x:v>
      </x:c>
      <x:c r="G270" t="str">
        <x:v>b5228e14acce7f8cf982e5b4bda8f125ab4ff32f9dc73402dbb1f57990cef92e</x:v>
      </x:c>
    </x:row>
    <x:row r="271">
      <x:c r="A271" t="str">
        <x:v>acb9a4df9c1c</x:v>
      </x:c>
      <x:c r="B271" t="str">
        <x:v>Equipment</x:v>
      </x:c>
      <x:c r="C271" t="str">
        <x:v>Geometry</x:v>
      </x:c>
      <x:c r="D271" t="str">
        <x:v>Meshy/BaseGeometry/equipment_heavy_gloves_t09_base_geometry.txt</x:v>
      </x:c>
      <x:c r="E271" t="n">
        <x:v>1929</x:v>
      </x:c>
      <x:c r="F271" t="n">
        <x:v>263</x:v>
      </x:c>
      <x:c r="G271" t="str">
        <x:v>f3e282e1acd2083f16d4e02a868cdb4d168cb91f431cd50731e7e0c505140f38</x:v>
      </x:c>
    </x:row>
    <x:row r="272">
      <x:c r="A272" t="str">
        <x:v>32c684ea08ed</x:v>
      </x:c>
      <x:c r="B272" t="str">
        <x:v>Equipment</x:v>
      </x:c>
      <x:c r="C272" t="str">
        <x:v>Geometry</x:v>
      </x:c>
      <x:c r="D272" t="str">
        <x:v>Meshy/BaseGeometry/equipment_heavy_helmet_t01_base_geometry.txt</x:v>
      </x:c>
      <x:c r="E272" t="n">
        <x:v>1893</x:v>
      </x:c>
      <x:c r="F272" t="n">
        <x:v>263</x:v>
      </x:c>
      <x:c r="G272" t="str">
        <x:v>1133ca8772b4a1480dcd71cad8f2515ef08bc1e8a6320648850efa91f9e8593b</x:v>
      </x:c>
    </x:row>
    <x:row r="273">
      <x:c r="A273" t="str">
        <x:v>09e248b97606</x:v>
      </x:c>
      <x:c r="B273" t="str">
        <x:v>Equipment</x:v>
      </x:c>
      <x:c r="C273" t="str">
        <x:v>Geometry</x:v>
      </x:c>
      <x:c r="D273" t="str">
        <x:v>Meshy/BaseGeometry/equipment_heavy_helmet_t02_base_geometry.txt</x:v>
      </x:c>
      <x:c r="E273" t="n">
        <x:v>1903</x:v>
      </x:c>
      <x:c r="F273" t="n">
        <x:v>261</x:v>
      </x:c>
      <x:c r="G273" t="str">
        <x:v>97cff4c66542c6b63e212ad618e968d71f32adc4a7b3a4228b7da18099fe210d</x:v>
      </x:c>
    </x:row>
    <x:row r="274">
      <x:c r="A274" t="str">
        <x:v>ef5ec9b29461</x:v>
      </x:c>
      <x:c r="B274" t="str">
        <x:v>Equipment</x:v>
      </x:c>
      <x:c r="C274" t="str">
        <x:v>Geometry</x:v>
      </x:c>
      <x:c r="D274" t="str">
        <x:v>Meshy/BaseGeometry/equipment_heavy_helmet_t03_base_geometry.txt</x:v>
      </x:c>
      <x:c r="E274" t="n">
        <x:v>1914</x:v>
      </x:c>
      <x:c r="F274" t="n">
        <x:v>264</x:v>
      </x:c>
      <x:c r="G274" t="str">
        <x:v>f9a18545b9911c2fd219e97b7e4923e7f44b893b1f1669874fd405f2347b82e5</x:v>
      </x:c>
    </x:row>
    <x:row r="275">
      <x:c r="A275" t="str">
        <x:v>5d8fb147f51e</x:v>
      </x:c>
      <x:c r="B275" t="str">
        <x:v>Equipment</x:v>
      </x:c>
      <x:c r="C275" t="str">
        <x:v>Geometry</x:v>
      </x:c>
      <x:c r="D275" t="str">
        <x:v>Meshy/BaseGeometry/equipment_heavy_helmet_t04_base_geometry.txt</x:v>
      </x:c>
      <x:c r="E275" t="n">
        <x:v>1883</x:v>
      </x:c>
      <x:c r="F275" t="n">
        <x:v>259</x:v>
      </x:c>
      <x:c r="G275" t="str">
        <x:v>df47218b36ca89847461ad7d076bee4bb32871d085cabaa27eff06d3a69ad23d</x:v>
      </x:c>
    </x:row>
    <x:row r="276">
      <x:c r="A276" t="str">
        <x:v>466a2bc782f6</x:v>
      </x:c>
      <x:c r="B276" t="str">
        <x:v>Equipment</x:v>
      </x:c>
      <x:c r="C276" t="str">
        <x:v>Geometry</x:v>
      </x:c>
      <x:c r="D276" t="str">
        <x:v>Meshy/BaseGeometry/equipment_heavy_helmet_t05_base_geometry.txt</x:v>
      </x:c>
      <x:c r="E276" t="n">
        <x:v>1919</x:v>
      </x:c>
      <x:c r="F276" t="n">
        <x:v>264</x:v>
      </x:c>
      <x:c r="G276" t="str">
        <x:v>8cc9e8d147b4741ce4e1616b42c15c819a7afdee26613865f89ba4b59dee21fd</x:v>
      </x:c>
    </x:row>
    <x:row r="277">
      <x:c r="A277" t="str">
        <x:v>d3a2528c0b15</x:v>
      </x:c>
      <x:c r="B277" t="str">
        <x:v>Equipment</x:v>
      </x:c>
      <x:c r="C277" t="str">
        <x:v>Geometry</x:v>
      </x:c>
      <x:c r="D277" t="str">
        <x:v>Meshy/BaseGeometry/equipment_heavy_helmet_t06_base_geometry.txt</x:v>
      </x:c>
      <x:c r="E277" t="n">
        <x:v>1911</x:v>
      </x:c>
      <x:c r="F277" t="n">
        <x:v>263</x:v>
      </x:c>
      <x:c r="G277" t="str">
        <x:v>7be0e37155b8d82b3cca116eda29cdfd70ef054a866070c2b1edc341c5720077</x:v>
      </x:c>
    </x:row>
    <x:row r="278">
      <x:c r="A278" t="str">
        <x:v>fff1c32bfed5</x:v>
      </x:c>
      <x:c r="B278" t="str">
        <x:v>Equipment</x:v>
      </x:c>
      <x:c r="C278" t="str">
        <x:v>Geometry</x:v>
      </x:c>
      <x:c r="D278" t="str">
        <x:v>Meshy/BaseGeometry/equipment_heavy_helmet_t07_base_geometry.txt</x:v>
      </x:c>
      <x:c r="E278" t="n">
        <x:v>1921</x:v>
      </x:c>
      <x:c r="F278" t="n">
        <x:v>266</x:v>
      </x:c>
      <x:c r="G278" t="str">
        <x:v>a56f3ba8acf5ba0e3348f86b19356e549e1e2c64fac7a9ae8a3f58cc93510a33</x:v>
      </x:c>
    </x:row>
    <x:row r="279">
      <x:c r="A279" t="str">
        <x:v>1f51fc680791</x:v>
      </x:c>
      <x:c r="B279" t="str">
        <x:v>Equipment</x:v>
      </x:c>
      <x:c r="C279" t="str">
        <x:v>Geometry</x:v>
      </x:c>
      <x:c r="D279" t="str">
        <x:v>Meshy/BaseGeometry/equipment_heavy_helmet_t08_base_geometry.txt</x:v>
      </x:c>
      <x:c r="E279" t="n">
        <x:v>1906</x:v>
      </x:c>
      <x:c r="F279" t="n">
        <x:v>263</x:v>
      </x:c>
      <x:c r="G279" t="str">
        <x:v>8f5eb04b427a953f2ca72722a5d228e257dc858d6bfa313c43bf1255c959fd6f</x:v>
      </x:c>
    </x:row>
    <x:row r="280">
      <x:c r="A280" t="str">
        <x:v>27735a66a58b</x:v>
      </x:c>
      <x:c r="B280" t="str">
        <x:v>Equipment</x:v>
      </x:c>
      <x:c r="C280" t="str">
        <x:v>Geometry</x:v>
      </x:c>
      <x:c r="D280" t="str">
        <x:v>Meshy/BaseGeometry/equipment_heavy_helmet_t09_base_geometry.txt</x:v>
      </x:c>
      <x:c r="E280" t="n">
        <x:v>1926</x:v>
      </x:c>
      <x:c r="F280" t="n">
        <x:v>266</x:v>
      </x:c>
      <x:c r="G280" t="str">
        <x:v>3747426c13ed10065178d3e89abc1c4bd14d49616024ad39792decd70e71ac67</x:v>
      </x:c>
    </x:row>
    <x:row r="281">
      <x:c r="A281" t="str">
        <x:v>3aa434bb2d0c</x:v>
      </x:c>
      <x:c r="B281" t="str">
        <x:v>Equipment</x:v>
      </x:c>
      <x:c r="C281" t="str">
        <x:v>Geometry</x:v>
      </x:c>
      <x:c r="D281" t="str">
        <x:v>Meshy/BaseGeometry/equipment_light_boots_t01_base_geometry.txt</x:v>
      </x:c>
      <x:c r="E281" t="n">
        <x:v>1879</x:v>
      </x:c>
      <x:c r="F281" t="n">
        <x:v>261</x:v>
      </x:c>
      <x:c r="G281" t="str">
        <x:v>a550aeac5838a47e66ee801b6da0db7269be4730315ef21aa2e617e010f945a7</x:v>
      </x:c>
    </x:row>
    <x:row r="282">
      <x:c r="A282" t="str">
        <x:v>2da9868f937f</x:v>
      </x:c>
      <x:c r="B282" t="str">
        <x:v>Equipment</x:v>
      </x:c>
      <x:c r="C282" t="str">
        <x:v>Geometry</x:v>
      </x:c>
      <x:c r="D282" t="str">
        <x:v>Meshy/BaseGeometry/equipment_light_boots_t02_base_geometry.txt</x:v>
      </x:c>
      <x:c r="E282" t="n">
        <x:v>1891</x:v>
      </x:c>
      <x:c r="F282" t="n">
        <x:v>260</x:v>
      </x:c>
      <x:c r="G282" t="str">
        <x:v>c2817c8af231d8053718094ef144d5299b3d029c4bfd375b3378f459f06ca4e0</x:v>
      </x:c>
    </x:row>
    <x:row r="283">
      <x:c r="A283" t="str">
        <x:v>b04e997d2355</x:v>
      </x:c>
      <x:c r="B283" t="str">
        <x:v>Equipment</x:v>
      </x:c>
      <x:c r="C283" t="str">
        <x:v>Geometry</x:v>
      </x:c>
      <x:c r="D283" t="str">
        <x:v>Meshy/BaseGeometry/equipment_light_boots_t03_base_geometry.txt</x:v>
      </x:c>
      <x:c r="E283" t="n">
        <x:v>1891</x:v>
      </x:c>
      <x:c r="F283" t="n">
        <x:v>262</x:v>
      </x:c>
      <x:c r="G283" t="str">
        <x:v>a873ba825d7445d1dfb56c0b40133dace1d636313aea94b824415f763eae5b7c</x:v>
      </x:c>
    </x:row>
    <x:row r="284">
      <x:c r="A284" t="str">
        <x:v>d8f9324bb8e7</x:v>
      </x:c>
      <x:c r="B284" t="str">
        <x:v>Equipment</x:v>
      </x:c>
      <x:c r="C284" t="str">
        <x:v>Geometry</x:v>
      </x:c>
      <x:c r="D284" t="str">
        <x:v>Meshy/BaseGeometry/equipment_light_boots_t04_base_geometry.txt</x:v>
      </x:c>
      <x:c r="E284" t="n">
        <x:v>1857</x:v>
      </x:c>
      <x:c r="F284" t="n">
        <x:v>255</x:v>
      </x:c>
      <x:c r="G284" t="str">
        <x:v>64886e787e82467b7c5a556a8f5f380c71c00d27af226aa23eb4adbdc51fe289</x:v>
      </x:c>
    </x:row>
    <x:row r="285">
      <x:c r="A285" t="str">
        <x:v>6c233b16f300</x:v>
      </x:c>
      <x:c r="B285" t="str">
        <x:v>Equipment</x:v>
      </x:c>
      <x:c r="C285" t="str">
        <x:v>Geometry</x:v>
      </x:c>
      <x:c r="D285" t="str">
        <x:v>Meshy/BaseGeometry/equipment_light_boots_t05_base_geometry.txt</x:v>
      </x:c>
      <x:c r="E285" t="n">
        <x:v>1894</x:v>
      </x:c>
      <x:c r="F285" t="n">
        <x:v>261</x:v>
      </x:c>
      <x:c r="G285" t="str">
        <x:v>87d54aea20bde90e60d0ef59323aee8fc90f919c835668da772fb82a3009f82e</x:v>
      </x:c>
    </x:row>
    <x:row r="286">
      <x:c r="A286" t="str">
        <x:v>d2e6e19a5148</x:v>
      </x:c>
      <x:c r="B286" t="str">
        <x:v>Equipment</x:v>
      </x:c>
      <x:c r="C286" t="str">
        <x:v>Geometry</x:v>
      </x:c>
      <x:c r="D286" t="str">
        <x:v>Meshy/BaseGeometry/equipment_light_boots_t06_base_geometry.txt</x:v>
      </x:c>
      <x:c r="E286" t="n">
        <x:v>1882</x:v>
      </x:c>
      <x:c r="F286" t="n">
        <x:v>260</x:v>
      </x:c>
      <x:c r="G286" t="str">
        <x:v>b4afe8327798e41f1a4e71ca34748a4cd4a3a75efc8e55a7d5ad57084f097ad1</x:v>
      </x:c>
    </x:row>
    <x:row r="287">
      <x:c r="A287" t="str">
        <x:v>c5759f3e08ca</x:v>
      </x:c>
      <x:c r="B287" t="str">
        <x:v>Equipment</x:v>
      </x:c>
      <x:c r="C287" t="str">
        <x:v>Geometry</x:v>
      </x:c>
      <x:c r="D287" t="str">
        <x:v>Meshy/BaseGeometry/equipment_light_boots_t07_base_geometry.txt</x:v>
      </x:c>
      <x:c r="E287" t="n">
        <x:v>1896</x:v>
      </x:c>
      <x:c r="F287" t="n">
        <x:v>263</x:v>
      </x:c>
      <x:c r="G287" t="str">
        <x:v>f5d5fd0138e4fa1be404ff7975ec4a006e3bbdae5bc882fe73d1968897323ad3</x:v>
      </x:c>
    </x:row>
    <x:row r="288">
      <x:c r="A288" t="str">
        <x:v>85ab336b680b</x:v>
      </x:c>
      <x:c r="B288" t="str">
        <x:v>Equipment</x:v>
      </x:c>
      <x:c r="C288" t="str">
        <x:v>Geometry</x:v>
      </x:c>
      <x:c r="D288" t="str">
        <x:v>Meshy/BaseGeometry/equipment_light_boots_t08_base_geometry.txt</x:v>
      </x:c>
      <x:c r="E288" t="n">
        <x:v>1883</x:v>
      </x:c>
      <x:c r="F288" t="n">
        <x:v>260</x:v>
      </x:c>
      <x:c r="G288" t="str">
        <x:v>2c0a3d1f400643e1e249bd8598fdce74f9ce89da0312fbf1323ca0bb2d47f333</x:v>
      </x:c>
    </x:row>
    <x:row r="289">
      <x:c r="A289" t="str">
        <x:v>66f05cfc125e</x:v>
      </x:c>
      <x:c r="B289" t="str">
        <x:v>Equipment</x:v>
      </x:c>
      <x:c r="C289" t="str">
        <x:v>Geometry</x:v>
      </x:c>
      <x:c r="D289" t="str">
        <x:v>Meshy/BaseGeometry/equipment_light_boots_t09_base_geometry.txt</x:v>
      </x:c>
      <x:c r="E289" t="n">
        <x:v>1897</x:v>
      </x:c>
      <x:c r="F289" t="n">
        <x:v>262</x:v>
      </x:c>
      <x:c r="G289" t="str">
        <x:v>af57720ce27a8f7c44d544bb742d51904acd0e4d088d777b55b86b102cfdd291</x:v>
      </x:c>
    </x:row>
    <x:row r="290">
      <x:c r="A290" t="str">
        <x:v>de7c5da9d59c</x:v>
      </x:c>
      <x:c r="B290" t="str">
        <x:v>Equipment</x:v>
      </x:c>
      <x:c r="C290" t="str">
        <x:v>Geometry</x:v>
      </x:c>
      <x:c r="D290" t="str">
        <x:v>Meshy/BaseGeometry/equipment_light_chest_t01_base_geometry.txt</x:v>
      </x:c>
      <x:c r="E290" t="n">
        <x:v>1897</x:v>
      </x:c>
      <x:c r="F290" t="n">
        <x:v>262</x:v>
      </x:c>
      <x:c r="G290" t="str">
        <x:v>bf793b83e502e86d10b2b73995b5dc1aa6b1fdabefdcc9c68ef2f20837bfeec1</x:v>
      </x:c>
    </x:row>
    <x:row r="291">
      <x:c r="A291" t="str">
        <x:v>3d3f7e0bcb50</x:v>
      </x:c>
      <x:c r="B291" t="str">
        <x:v>Equipment</x:v>
      </x:c>
      <x:c r="C291" t="str">
        <x:v>Geometry</x:v>
      </x:c>
      <x:c r="D291" t="str">
        <x:v>Meshy/BaseGeometry/equipment_light_chest_t02_base_geometry.txt</x:v>
      </x:c>
      <x:c r="E291" t="n">
        <x:v>1909</x:v>
      </x:c>
      <x:c r="F291" t="n">
        <x:v>261</x:v>
      </x:c>
      <x:c r="G291" t="str">
        <x:v>41ee4e9a14332e7137c592d1c6322bcfef690e8babcb4aa02ac17ff69d7232ae</x:v>
      </x:c>
    </x:row>
    <x:row r="292">
      <x:c r="A292" t="str">
        <x:v>f14c957ad0d9</x:v>
      </x:c>
      <x:c r="B292" t="str">
        <x:v>Equipment</x:v>
      </x:c>
      <x:c r="C292" t="str">
        <x:v>Geometry</x:v>
      </x:c>
      <x:c r="D292" t="str">
        <x:v>Meshy/BaseGeometry/equipment_light_chest_t03_base_geometry.txt</x:v>
      </x:c>
      <x:c r="E292" t="n">
        <x:v>1909</x:v>
      </x:c>
      <x:c r="F292" t="n">
        <x:v>263</x:v>
      </x:c>
      <x:c r="G292" t="str">
        <x:v>ffd5ee0f58ba389fd483b067d51e1065aad78a7486b03e2a80b98044bbf71046</x:v>
      </x:c>
    </x:row>
    <x:row r="293">
      <x:c r="A293" t="str">
        <x:v>1511d4328825</x:v>
      </x:c>
      <x:c r="B293" t="str">
        <x:v>Equipment</x:v>
      </x:c>
      <x:c r="C293" t="str">
        <x:v>Geometry</x:v>
      </x:c>
      <x:c r="D293" t="str">
        <x:v>Meshy/BaseGeometry/equipment_light_chest_t04_base_geometry.txt</x:v>
      </x:c>
      <x:c r="E293" t="n">
        <x:v>1875</x:v>
      </x:c>
      <x:c r="F293" t="n">
        <x:v>256</x:v>
      </x:c>
      <x:c r="G293" t="str">
        <x:v>2b085af5b79804c48b41c1d9b1f185d5a55adfb59c113712960ca496ea5fc8ee</x:v>
      </x:c>
    </x:row>
    <x:row r="294">
      <x:c r="A294" t="str">
        <x:v>b7d20d81aa2e</x:v>
      </x:c>
      <x:c r="B294" t="str">
        <x:v>Equipment</x:v>
      </x:c>
      <x:c r="C294" t="str">
        <x:v>Geometry</x:v>
      </x:c>
      <x:c r="D294" t="str">
        <x:v>Meshy/BaseGeometry/equipment_light_chest_t05_base_geometry.txt</x:v>
      </x:c>
      <x:c r="E294" t="n">
        <x:v>1912</x:v>
      </x:c>
      <x:c r="F294" t="n">
        <x:v>262</x:v>
      </x:c>
      <x:c r="G294" t="str">
        <x:v>6164b9a6967f8d23aac06bb6bf31561683e7ac19570996aec369186f6e6d4e4b</x:v>
      </x:c>
    </x:row>
    <x:row r="295">
      <x:c r="A295" t="str">
        <x:v>9d25f4cbfd9e</x:v>
      </x:c>
      <x:c r="B295" t="str">
        <x:v>Equipment</x:v>
      </x:c>
      <x:c r="C295" t="str">
        <x:v>Geometry</x:v>
      </x:c>
      <x:c r="D295" t="str">
        <x:v>Meshy/BaseGeometry/equipment_light_chest_t06_base_geometry.txt</x:v>
      </x:c>
      <x:c r="E295" t="n">
        <x:v>1900</x:v>
      </x:c>
      <x:c r="F295" t="n">
        <x:v>261</x:v>
      </x:c>
      <x:c r="G295" t="str">
        <x:v>12af634ab7732954a31b2ba0e7b50a3ff6f44b1a1ad7f83f4cbe571b9e0aec8f</x:v>
      </x:c>
    </x:row>
    <x:row r="296">
      <x:c r="A296" t="str">
        <x:v>9d38b248f4ae</x:v>
      </x:c>
      <x:c r="B296" t="str">
        <x:v>Equipment</x:v>
      </x:c>
      <x:c r="C296" t="str">
        <x:v>Geometry</x:v>
      </x:c>
      <x:c r="D296" t="str">
        <x:v>Meshy/BaseGeometry/equipment_light_chest_t07_base_geometry.txt</x:v>
      </x:c>
      <x:c r="E296" t="n">
        <x:v>1914</x:v>
      </x:c>
      <x:c r="F296" t="n">
        <x:v>264</x:v>
      </x:c>
      <x:c r="G296" t="str">
        <x:v>115aee11ed21687bfba0efedcaa312d550b236ee0324c6a84b054b6723a5731a</x:v>
      </x:c>
    </x:row>
    <x:row r="297">
      <x:c r="A297" t="str">
        <x:v>9c8c33696a73</x:v>
      </x:c>
      <x:c r="B297" t="str">
        <x:v>Equipment</x:v>
      </x:c>
      <x:c r="C297" t="str">
        <x:v>Geometry</x:v>
      </x:c>
      <x:c r="D297" t="str">
        <x:v>Meshy/BaseGeometry/equipment_light_chest_t08_base_geometry.txt</x:v>
      </x:c>
      <x:c r="E297" t="n">
        <x:v>1901</x:v>
      </x:c>
      <x:c r="F297" t="n">
        <x:v>261</x:v>
      </x:c>
      <x:c r="G297" t="str">
        <x:v>810cc95d4c19132da29c76cd61ee7013a96ff93b1bc7836de144d9f6c8830fc2</x:v>
      </x:c>
    </x:row>
    <x:row r="298">
      <x:c r="A298" t="str">
        <x:v>8dc1d4106fd2</x:v>
      </x:c>
      <x:c r="B298" t="str">
        <x:v>Equipment</x:v>
      </x:c>
      <x:c r="C298" t="str">
        <x:v>Geometry</x:v>
      </x:c>
      <x:c r="D298" t="str">
        <x:v>Meshy/BaseGeometry/equipment_light_chest_t09_base_geometry.txt</x:v>
      </x:c>
      <x:c r="E298" t="n">
        <x:v>1915</x:v>
      </x:c>
      <x:c r="F298" t="n">
        <x:v>263</x:v>
      </x:c>
      <x:c r="G298" t="str">
        <x:v>2d792703fc4d9708c2dbb828fd4874acc36ccd90a2cc71a51f03f70134ed0fd8</x:v>
      </x:c>
    </x:row>
    <x:row r="299">
      <x:c r="A299" t="str">
        <x:v>7836ab572d9f</x:v>
      </x:c>
      <x:c r="B299" t="str">
        <x:v>Equipment</x:v>
      </x:c>
      <x:c r="C299" t="str">
        <x:v>Geometry</x:v>
      </x:c>
      <x:c r="D299" t="str">
        <x:v>Meshy/BaseGeometry/equipment_light_gloves_t01_base_geometry.txt</x:v>
      </x:c>
      <x:c r="E299" t="n">
        <x:v>1877</x:v>
      </x:c>
      <x:c r="F299" t="n">
        <x:v>259</x:v>
      </x:c>
      <x:c r="G299" t="str">
        <x:v>6bdb7439e838d5ba48c488e204be2a5e57e4fa4c79bccbe80e55593b95c239c7</x:v>
      </x:c>
    </x:row>
    <x:row r="300">
      <x:c r="A300" t="str">
        <x:v>975dcfb2c727</x:v>
      </x:c>
      <x:c r="B300" t="str">
        <x:v>Equipment</x:v>
      </x:c>
      <x:c r="C300" t="str">
        <x:v>Geometry</x:v>
      </x:c>
      <x:c r="D300" t="str">
        <x:v>Meshy/BaseGeometry/equipment_light_gloves_t02_base_geometry.txt</x:v>
      </x:c>
      <x:c r="E300" t="n">
        <x:v>1889</x:v>
      </x:c>
      <x:c r="F300" t="n">
        <x:v>258</x:v>
      </x:c>
      <x:c r="G300" t="str">
        <x:v>6d0426d94d050022c014eaa2d10979dc4512bcd08a4f44279866f8657094eec1</x:v>
      </x:c>
    </x:row>
    <x:row r="301">
      <x:c r="A301" t="str">
        <x:v>2e3365b86efc</x:v>
      </x:c>
      <x:c r="B301" t="str">
        <x:v>Equipment</x:v>
      </x:c>
      <x:c r="C301" t="str">
        <x:v>Geometry</x:v>
      </x:c>
      <x:c r="D301" t="str">
        <x:v>Meshy/BaseGeometry/equipment_light_gloves_t03_base_geometry.txt</x:v>
      </x:c>
      <x:c r="E301" t="n">
        <x:v>1889</x:v>
      </x:c>
      <x:c r="F301" t="n">
        <x:v>260</x:v>
      </x:c>
      <x:c r="G301" t="str">
        <x:v>0a340b54b1bada6a27f163928061577bcaeeb35cc5612fb75227681ee7bd3123</x:v>
      </x:c>
    </x:row>
    <x:row r="302">
      <x:c r="A302" t="str">
        <x:v>5cb89d145c0d</x:v>
      </x:c>
      <x:c r="B302" t="str">
        <x:v>Equipment</x:v>
      </x:c>
      <x:c r="C302" t="str">
        <x:v>Geometry</x:v>
      </x:c>
      <x:c r="D302" t="str">
        <x:v>Meshy/BaseGeometry/equipment_light_gloves_t04_base_geometry.txt</x:v>
      </x:c>
      <x:c r="E302" t="n">
        <x:v>1855</x:v>
      </x:c>
      <x:c r="F302" t="n">
        <x:v>253</x:v>
      </x:c>
      <x:c r="G302" t="str">
        <x:v>2c58d4f3784125cbad07de0a37b26ceffa159c2ec1ed2ca8d989711a145f88e8</x:v>
      </x:c>
    </x:row>
    <x:row r="303">
      <x:c r="A303" t="str">
        <x:v>4cc99b168f43</x:v>
      </x:c>
      <x:c r="B303" t="str">
        <x:v>Equipment</x:v>
      </x:c>
      <x:c r="C303" t="str">
        <x:v>Geometry</x:v>
      </x:c>
      <x:c r="D303" t="str">
        <x:v>Meshy/BaseGeometry/equipment_light_gloves_t05_base_geometry.txt</x:v>
      </x:c>
      <x:c r="E303" t="n">
        <x:v>1892</x:v>
      </x:c>
      <x:c r="F303" t="n">
        <x:v>259</x:v>
      </x:c>
      <x:c r="G303" t="str">
        <x:v>5e645b7c706bec26d8b8e0acd24dad34af9df174445aafdef4a3821bbdf72f38</x:v>
      </x:c>
    </x:row>
    <x:row r="304">
      <x:c r="A304" t="str">
        <x:v>78b01dd28c16</x:v>
      </x:c>
      <x:c r="B304" t="str">
        <x:v>Equipment</x:v>
      </x:c>
      <x:c r="C304" t="str">
        <x:v>Geometry</x:v>
      </x:c>
      <x:c r="D304" t="str">
        <x:v>Meshy/BaseGeometry/equipment_light_gloves_t06_base_geometry.txt</x:v>
      </x:c>
      <x:c r="E304" t="n">
        <x:v>1880</x:v>
      </x:c>
      <x:c r="F304" t="n">
        <x:v>258</x:v>
      </x:c>
      <x:c r="G304" t="str">
        <x:v>06240377a75535a945a5153133056c7a9eee8baa4edefe012238aa60ff29e538</x:v>
      </x:c>
    </x:row>
    <x:row r="305">
      <x:c r="A305" t="str">
        <x:v>0937f6ea4afe</x:v>
      </x:c>
      <x:c r="B305" t="str">
        <x:v>Equipment</x:v>
      </x:c>
      <x:c r="C305" t="str">
        <x:v>Geometry</x:v>
      </x:c>
      <x:c r="D305" t="str">
        <x:v>Meshy/BaseGeometry/equipment_light_gloves_t07_base_geometry.txt</x:v>
      </x:c>
      <x:c r="E305" t="n">
        <x:v>1894</x:v>
      </x:c>
      <x:c r="F305" t="n">
        <x:v>261</x:v>
      </x:c>
      <x:c r="G305" t="str">
        <x:v>641fc2550a6c231deb296529852e1aec8d4f79b408c35721b797d9bbdf940f39</x:v>
      </x:c>
    </x:row>
    <x:row r="306">
      <x:c r="A306" t="str">
        <x:v>ff09f1150ab6</x:v>
      </x:c>
      <x:c r="B306" t="str">
        <x:v>Equipment</x:v>
      </x:c>
      <x:c r="C306" t="str">
        <x:v>Geometry</x:v>
      </x:c>
      <x:c r="D306" t="str">
        <x:v>Meshy/BaseGeometry/equipment_light_gloves_t08_base_geometry.txt</x:v>
      </x:c>
      <x:c r="E306" t="n">
        <x:v>1881</x:v>
      </x:c>
      <x:c r="F306" t="n">
        <x:v>258</x:v>
      </x:c>
      <x:c r="G306" t="str">
        <x:v>03407cc2a015cfae994b5a79cd8d06eb060e55ab5ee2a05fa0d7d5aff640e0b0</x:v>
      </x:c>
    </x:row>
    <x:row r="307">
      <x:c r="A307" t="str">
        <x:v>60fe4751c493</x:v>
      </x:c>
      <x:c r="B307" t="str">
        <x:v>Equipment</x:v>
      </x:c>
      <x:c r="C307" t="str">
        <x:v>Geometry</x:v>
      </x:c>
      <x:c r="D307" t="str">
        <x:v>Meshy/BaseGeometry/equipment_light_gloves_t09_base_geometry.txt</x:v>
      </x:c>
      <x:c r="E307" t="n">
        <x:v>1895</x:v>
      </x:c>
      <x:c r="F307" t="n">
        <x:v>260</x:v>
      </x:c>
      <x:c r="G307" t="str">
        <x:v>400cb349b78bcf359db2b4e323d53d2544949c0c489a179d1591b0f026175151</x:v>
      </x:c>
    </x:row>
    <x:row r="308">
      <x:c r="A308" t="str">
        <x:v>e67d5e430cc6</x:v>
      </x:c>
      <x:c r="B308" t="str">
        <x:v>Equipment</x:v>
      </x:c>
      <x:c r="C308" t="str">
        <x:v>Geometry</x:v>
      </x:c>
      <x:c r="D308" t="str">
        <x:v>Meshy/BaseGeometry/equipment_light_hood_t01_base_geometry.txt</x:v>
      </x:c>
      <x:c r="E308" t="n">
        <x:v>1889</x:v>
      </x:c>
      <x:c r="F308" t="n">
        <x:v>263</x:v>
      </x:c>
      <x:c r="G308" t="str">
        <x:v>7b3c6e272b3cdb7c651cd0afef42e8eb44665577518190b550cb67fdb7690d22</x:v>
      </x:c>
    </x:row>
    <x:row r="309">
      <x:c r="A309" t="str">
        <x:v>146aaa09edaf</x:v>
      </x:c>
      <x:c r="B309" t="str">
        <x:v>Equipment</x:v>
      </x:c>
      <x:c r="C309" t="str">
        <x:v>Geometry</x:v>
      </x:c>
      <x:c r="D309" t="str">
        <x:v>Meshy/BaseGeometry/equipment_light_hood_t02_base_geometry.txt</x:v>
      </x:c>
      <x:c r="E309" t="n">
        <x:v>1901</x:v>
      </x:c>
      <x:c r="F309" t="n">
        <x:v>262</x:v>
      </x:c>
      <x:c r="G309" t="str">
        <x:v>de8434c74d2a53010ef70fd301f926d053bb5ad16ea9eaaa36f5db358161067d</x:v>
      </x:c>
    </x:row>
    <x:row r="310">
      <x:c r="A310" t="str">
        <x:v>c9835f4dc43d</x:v>
      </x:c>
      <x:c r="B310" t="str">
        <x:v>Equipment</x:v>
      </x:c>
      <x:c r="C310" t="str">
        <x:v>Geometry</x:v>
      </x:c>
      <x:c r="D310" t="str">
        <x:v>Meshy/BaseGeometry/equipment_light_hood_t03_base_geometry.txt</x:v>
      </x:c>
      <x:c r="E310" t="n">
        <x:v>1901</x:v>
      </x:c>
      <x:c r="F310" t="n">
        <x:v>264</x:v>
      </x:c>
      <x:c r="G310" t="str">
        <x:v>f9f744aa96e14770d9ecaaa651ee6dd7554238958278f9b66338ec3f099bb8cb</x:v>
      </x:c>
    </x:row>
    <x:row r="311">
      <x:c r="A311" t="str">
        <x:v>3efe5466b497</x:v>
      </x:c>
      <x:c r="B311" t="str">
        <x:v>Equipment</x:v>
      </x:c>
      <x:c r="C311" t="str">
        <x:v>Geometry</x:v>
      </x:c>
      <x:c r="D311" t="str">
        <x:v>Meshy/BaseGeometry/equipment_light_hood_t04_base_geometry.txt</x:v>
      </x:c>
      <x:c r="E311" t="n">
        <x:v>1867</x:v>
      </x:c>
      <x:c r="F311" t="n">
        <x:v>257</x:v>
      </x:c>
      <x:c r="G311" t="str">
        <x:v>623e3615ac6456e943f1368782588763bdd56e8d80dcfb224699d228ba7103f7</x:v>
      </x:c>
    </x:row>
    <x:row r="312">
      <x:c r="A312" t="str">
        <x:v>5dda9d389057</x:v>
      </x:c>
      <x:c r="B312" t="str">
        <x:v>Equipment</x:v>
      </x:c>
      <x:c r="C312" t="str">
        <x:v>Geometry</x:v>
      </x:c>
      <x:c r="D312" t="str">
        <x:v>Meshy/BaseGeometry/equipment_light_hood_t05_base_geometry.txt</x:v>
      </x:c>
      <x:c r="E312" t="n">
        <x:v>1904</x:v>
      </x:c>
      <x:c r="F312" t="n">
        <x:v>263</x:v>
      </x:c>
      <x:c r="G312" t="str">
        <x:v>3a4050c5416e718dd89358a9e852002efc759f425464d03ae4aef5acd0ae66e3</x:v>
      </x:c>
    </x:row>
    <x:row r="313">
      <x:c r="A313" t="str">
        <x:v>f131cb83caca</x:v>
      </x:c>
      <x:c r="B313" t="str">
        <x:v>Equipment</x:v>
      </x:c>
      <x:c r="C313" t="str">
        <x:v>Geometry</x:v>
      </x:c>
      <x:c r="D313" t="str">
        <x:v>Meshy/BaseGeometry/equipment_light_hood_t06_base_geometry.txt</x:v>
      </x:c>
      <x:c r="E313" t="n">
        <x:v>1892</x:v>
      </x:c>
      <x:c r="F313" t="n">
        <x:v>262</x:v>
      </x:c>
      <x:c r="G313" t="str">
        <x:v>705724dc07cece2ab97ee01a1495ebf359d5b7814ddc622ffa05ad2423087fe6</x:v>
      </x:c>
    </x:row>
    <x:row r="314">
      <x:c r="A314" t="str">
        <x:v>51bc114fbe9f</x:v>
      </x:c>
      <x:c r="B314" t="str">
        <x:v>Equipment</x:v>
      </x:c>
      <x:c r="C314" t="str">
        <x:v>Geometry</x:v>
      </x:c>
      <x:c r="D314" t="str">
        <x:v>Meshy/BaseGeometry/equipment_light_hood_t07_base_geometry.txt</x:v>
      </x:c>
      <x:c r="E314" t="n">
        <x:v>1906</x:v>
      </x:c>
      <x:c r="F314" t="n">
        <x:v>265</x:v>
      </x:c>
      <x:c r="G314" t="str">
        <x:v>1f8f67cad027599cfaa4be87bd27522f0692cc8cab95322db04585234ab563c0</x:v>
      </x:c>
    </x:row>
    <x:row r="315">
      <x:c r="A315" t="str">
        <x:v>1d83a9193825</x:v>
      </x:c>
      <x:c r="B315" t="str">
        <x:v>Equipment</x:v>
      </x:c>
      <x:c r="C315" t="str">
        <x:v>Geometry</x:v>
      </x:c>
      <x:c r="D315" t="str">
        <x:v>Meshy/BaseGeometry/equipment_light_hood_t08_base_geometry.txt</x:v>
      </x:c>
      <x:c r="E315" t="n">
        <x:v>1893</x:v>
      </x:c>
      <x:c r="F315" t="n">
        <x:v>262</x:v>
      </x:c>
      <x:c r="G315" t="str">
        <x:v>fc9e588f86e7733c5d60bdf31aef8189a9fdcb815b85d556830be96bc92192cd</x:v>
      </x:c>
    </x:row>
    <x:row r="316">
      <x:c r="A316" t="str">
        <x:v>fa804c691a4c</x:v>
      </x:c>
      <x:c r="B316" t="str">
        <x:v>Equipment</x:v>
      </x:c>
      <x:c r="C316" t="str">
        <x:v>Geometry</x:v>
      </x:c>
      <x:c r="D316" t="str">
        <x:v>Meshy/BaseGeometry/equipment_light_hood_t09_base_geometry.txt</x:v>
      </x:c>
      <x:c r="E316" t="n">
        <x:v>1907</x:v>
      </x:c>
      <x:c r="F316" t="n">
        <x:v>264</x:v>
      </x:c>
      <x:c r="G316" t="str">
        <x:v>fbaff48697fa3a04917ed3f8a894a525187e99040d05e3c0737d6c75752ed746</x:v>
      </x:c>
    </x:row>
    <x:row r="317">
      <x:c r="A317" t="str">
        <x:v>b53a30198fba</x:v>
      </x:c>
      <x:c r="B317" t="str">
        <x:v>Equipment</x:v>
      </x:c>
      <x:c r="C317" t="str">
        <x:v>Geometry</x:v>
      </x:c>
      <x:c r="D317" t="str">
        <x:v>Meshy/BaseGeometry/equipment_longbow_t01_base_geometry.txt</x:v>
      </x:c>
      <x:c r="E317" t="n">
        <x:v>1861</x:v>
      </x:c>
      <x:c r="F317" t="n">
        <x:v>259</x:v>
      </x:c>
      <x:c r="G317" t="str">
        <x:v>0726272a595706a9ae3f5a2845872f24e61f5f08bf457aae0912e8e03a049851</x:v>
      </x:c>
    </x:row>
    <x:row r="318">
      <x:c r="A318" t="str">
        <x:v>707850426cfb</x:v>
      </x:c>
      <x:c r="B318" t="str">
        <x:v>Equipment</x:v>
      </x:c>
      <x:c r="C318" t="str">
        <x:v>Geometry</x:v>
      </x:c>
      <x:c r="D318" t="str">
        <x:v>Meshy/BaseGeometry/equipment_longbow_t02_base_geometry.txt</x:v>
      </x:c>
      <x:c r="E318" t="n">
        <x:v>1861</x:v>
      </x:c>
      <x:c r="F318" t="n">
        <x:v>258</x:v>
      </x:c>
      <x:c r="G318" t="str">
        <x:v>46e8ab67d68ab1839e479d3f94b2aa4de9894638b674e838d2b3ccc71709d878</x:v>
      </x:c>
    </x:row>
    <x:row r="319">
      <x:c r="A319" t="str">
        <x:v>8b0fc8b461ce</x:v>
      </x:c>
      <x:c r="B319" t="str">
        <x:v>Equipment</x:v>
      </x:c>
      <x:c r="C319" t="str">
        <x:v>Geometry</x:v>
      </x:c>
      <x:c r="D319" t="str">
        <x:v>Meshy/BaseGeometry/equipment_longbow_t03_base_geometry.txt</x:v>
      </x:c>
      <x:c r="E319" t="n">
        <x:v>1884</x:v>
      </x:c>
      <x:c r="F319" t="n">
        <x:v>261</x:v>
      </x:c>
      <x:c r="G319" t="str">
        <x:v>ea03d96050b3d84fbd167697912c3e6c5e6e967a701a3adde715b1df0fc80cb9</x:v>
      </x:c>
    </x:row>
    <x:row r="320">
      <x:c r="A320" t="str">
        <x:v>1b51382b0532</x:v>
      </x:c>
      <x:c r="B320" t="str">
        <x:v>Equipment</x:v>
      </x:c>
      <x:c r="C320" t="str">
        <x:v>Geometry</x:v>
      </x:c>
      <x:c r="D320" t="str">
        <x:v>Meshy/BaseGeometry/equipment_longbow_t04_base_geometry.txt</x:v>
      </x:c>
      <x:c r="E320" t="n">
        <x:v>1855</x:v>
      </x:c>
      <x:c r="F320" t="n">
        <x:v>257</x:v>
      </x:c>
      <x:c r="G320" t="str">
        <x:v>b9c3a1b5b56ca89f26a3d7b88284c8a9db58c084b1a35495e4f36f44a39c1224</x:v>
      </x:c>
    </x:row>
    <x:row r="321">
      <x:c r="A321" t="str">
        <x:v>543219e8f3d0</x:v>
      </x:c>
      <x:c r="B321" t="str">
        <x:v>Equipment</x:v>
      </x:c>
      <x:c r="C321" t="str">
        <x:v>Geometry</x:v>
      </x:c>
      <x:c r="D321" t="str">
        <x:v>Meshy/BaseGeometry/equipment_longbow_t05_base_geometry.txt</x:v>
      </x:c>
      <x:c r="E321" t="n">
        <x:v>1891</x:v>
      </x:c>
      <x:c r="F321" t="n">
        <x:v>262</x:v>
      </x:c>
      <x:c r="G321" t="str">
        <x:v>4e8db6d204e9513a95d10c51dee94b44c57a01856a0f61aa3a5ffb1d7ace24b4</x:v>
      </x:c>
    </x:row>
    <x:row r="322">
      <x:c r="A322" t="str">
        <x:v>1cef2dbb224f</x:v>
      </x:c>
      <x:c r="B322" t="str">
        <x:v>Equipment</x:v>
      </x:c>
      <x:c r="C322" t="str">
        <x:v>Geometry</x:v>
      </x:c>
      <x:c r="D322" t="str">
        <x:v>Meshy/BaseGeometry/equipment_longbow_t06_base_geometry.txt</x:v>
      </x:c>
      <x:c r="E322" t="n">
        <x:v>1900</x:v>
      </x:c>
      <x:c r="F322" t="n">
        <x:v>264</x:v>
      </x:c>
      <x:c r="G322" t="str">
        <x:v>ca2a9f034b87974f248d6dd1d04a8b13022cbb3240ca9fd6f250ffb668f633cb</x:v>
      </x:c>
    </x:row>
    <x:row r="323">
      <x:c r="A323" t="str">
        <x:v>6011eac6d243</x:v>
      </x:c>
      <x:c r="B323" t="str">
        <x:v>Equipment</x:v>
      </x:c>
      <x:c r="C323" t="str">
        <x:v>Geometry</x:v>
      </x:c>
      <x:c r="D323" t="str">
        <x:v>Meshy/BaseGeometry/equipment_longbow_t07_base_geometry.txt</x:v>
      </x:c>
      <x:c r="E323" t="n">
        <x:v>1883</x:v>
      </x:c>
      <x:c r="F323" t="n">
        <x:v>262</x:v>
      </x:c>
      <x:c r="G323" t="str">
        <x:v>ad39ba1f4389946a0b461ddaa539e184f1c4ece04a7e1580f8f49912da121a09</x:v>
      </x:c>
    </x:row>
    <x:row r="324">
      <x:c r="A324" t="str">
        <x:v>639ce5ba117c</x:v>
      </x:c>
      <x:c r="B324" t="str">
        <x:v>Equipment</x:v>
      </x:c>
      <x:c r="C324" t="str">
        <x:v>Geometry</x:v>
      </x:c>
      <x:c r="D324" t="str">
        <x:v>Meshy/BaseGeometry/equipment_longbow_t08_base_geometry.txt</x:v>
      </x:c>
      <x:c r="E324" t="n">
        <x:v>1887</x:v>
      </x:c>
      <x:c r="F324" t="n">
        <x:v>261</x:v>
      </x:c>
      <x:c r="G324" t="str">
        <x:v>c24cfd239a6bb3a8ab18c51725b466fea4be6cafb7421044104efd12f0cc8fbf</x:v>
      </x:c>
    </x:row>
    <x:row r="325">
      <x:c r="A325" t="str">
        <x:v>4a0e76fd3c13</x:v>
      </x:c>
      <x:c r="B325" t="str">
        <x:v>Equipment</x:v>
      </x:c>
      <x:c r="C325" t="str">
        <x:v>Geometry</x:v>
      </x:c>
      <x:c r="D325" t="str">
        <x:v>Meshy/BaseGeometry/equipment_longbow_t09_base_geometry.txt</x:v>
      </x:c>
      <x:c r="E325" t="n">
        <x:v>1902</x:v>
      </x:c>
      <x:c r="F325" t="n">
        <x:v>263</x:v>
      </x:c>
      <x:c r="G325" t="str">
        <x:v>4543410456ffdba876e4a62f24d71b573adb0cf18b6f071098928e6f4a10b6e1</x:v>
      </x:c>
    </x:row>
    <x:row r="326">
      <x:c r="A326" t="str">
        <x:v>715f725fa70c</x:v>
      </x:c>
      <x:c r="B326" t="str">
        <x:v>Equipment</x:v>
      </x:c>
      <x:c r="C326" t="str">
        <x:v>Geometry</x:v>
      </x:c>
      <x:c r="D326" t="str">
        <x:v>Meshy/BaseGeometry/equipment_ring_t01_base_geometry.txt</x:v>
      </x:c>
      <x:c r="E326" t="n">
        <x:v>1872</x:v>
      </x:c>
      <x:c r="F326" t="n">
        <x:v>260</x:v>
      </x:c>
      <x:c r="G326" t="str">
        <x:v>b2259a4df495ad82bc2e3730bcb544ef10543a9b6cb54a429f73efe50c529c65</x:v>
      </x:c>
    </x:row>
    <x:row r="327">
      <x:c r="A327" t="str">
        <x:v>9c511d2c8a9f</x:v>
      </x:c>
      <x:c r="B327" t="str">
        <x:v>Equipment</x:v>
      </x:c>
      <x:c r="C327" t="str">
        <x:v>Geometry</x:v>
      </x:c>
      <x:c r="D327" t="str">
        <x:v>Meshy/BaseGeometry/equipment_ring_t02_base_geometry.txt</x:v>
      </x:c>
      <x:c r="E327" t="n">
        <x:v>1885</x:v>
      </x:c>
      <x:c r="F327" t="n">
        <x:v>258</x:v>
      </x:c>
      <x:c r="G327" t="str">
        <x:v>9cc2d0f817c50dddd768d334f2987260e1cd712ee738b7b32c710ed2b4ced60f</x:v>
      </x:c>
    </x:row>
    <x:row r="328">
      <x:c r="A328" t="str">
        <x:v>118e6cb22a6c</x:v>
      </x:c>
      <x:c r="B328" t="str">
        <x:v>Equipment</x:v>
      </x:c>
      <x:c r="C328" t="str">
        <x:v>Geometry</x:v>
      </x:c>
      <x:c r="D328" t="str">
        <x:v>Meshy/BaseGeometry/equipment_ring_t03_base_geometry.txt</x:v>
      </x:c>
      <x:c r="E328" t="n">
        <x:v>1898</x:v>
      </x:c>
      <x:c r="F328" t="n">
        <x:v>262</x:v>
      </x:c>
      <x:c r="G328" t="str">
        <x:v>feee90db799cb3bfba4c461ded660947ec0d5f31b1aee74e7022055e33dbeb23</x:v>
      </x:c>
    </x:row>
    <x:row r="329">
      <x:c r="A329" t="str">
        <x:v>22e28af5a283</x:v>
      </x:c>
      <x:c r="B329" t="str">
        <x:v>Equipment</x:v>
      </x:c>
      <x:c r="C329" t="str">
        <x:v>Geometry</x:v>
      </x:c>
      <x:c r="D329" t="str">
        <x:v>Meshy/BaseGeometry/equipment_ring_t04_base_geometry.txt</x:v>
      </x:c>
      <x:c r="E329" t="n">
        <x:v>1839</x:v>
      </x:c>
      <x:c r="F329" t="n">
        <x:v>253</x:v>
      </x:c>
      <x:c r="G329" t="str">
        <x:v>fc7f96618fea58313d36f3e6b195bd4da2ff576dd75d9a8efa07f93a23b4b6e3</x:v>
      </x:c>
    </x:row>
    <x:row r="330">
      <x:c r="A330" t="str">
        <x:v>90f49fafa9d7</x:v>
      </x:c>
      <x:c r="B330" t="str">
        <x:v>Equipment</x:v>
      </x:c>
      <x:c r="C330" t="str">
        <x:v>Geometry</x:v>
      </x:c>
      <x:c r="D330" t="str">
        <x:v>Meshy/BaseGeometry/equipment_ring_t05_base_geometry.txt</x:v>
      </x:c>
      <x:c r="E330" t="n">
        <x:v>1905</x:v>
      </x:c>
      <x:c r="F330" t="n">
        <x:v>262</x:v>
      </x:c>
      <x:c r="G330" t="str">
        <x:v>52c60c4cb0c36090d5e7b8a58c7bdde8dc166245e45e87823204dd64f9da7bdd</x:v>
      </x:c>
    </x:row>
    <x:row r="331">
      <x:c r="A331" t="str">
        <x:v>a1c492197138</x:v>
      </x:c>
      <x:c r="B331" t="str">
        <x:v>Equipment</x:v>
      </x:c>
      <x:c r="C331" t="str">
        <x:v>Geometry</x:v>
      </x:c>
      <x:c r="D331" t="str">
        <x:v>Meshy/BaseGeometry/equipment_ring_t06_base_geometry.txt</x:v>
      </x:c>
      <x:c r="E331" t="n">
        <x:v>1902</x:v>
      </x:c>
      <x:c r="F331" t="n">
        <x:v>261</x:v>
      </x:c>
      <x:c r="G331" t="str">
        <x:v>66fed7173db8ea2245d81c901b037b0a317036fad2eb527fd098f448af02044a</x:v>
      </x:c>
    </x:row>
    <x:row r="332">
      <x:c r="A332" t="str">
        <x:v>2723448b6b91</x:v>
      </x:c>
      <x:c r="B332" t="str">
        <x:v>Equipment</x:v>
      </x:c>
      <x:c r="C332" t="str">
        <x:v>Geometry</x:v>
      </x:c>
      <x:c r="D332" t="str">
        <x:v>Meshy/BaseGeometry/equipment_ring_t07_base_geometry.txt</x:v>
      </x:c>
      <x:c r="E332" t="n">
        <x:v>1908</x:v>
      </x:c>
      <x:c r="F332" t="n">
        <x:v>265</x:v>
      </x:c>
      <x:c r="G332" t="str">
        <x:v>87db3d7d0b456edea0f143fb732b3d15296f2257d06b84eac64a4025c00c4521</x:v>
      </x:c>
    </x:row>
    <x:row r="333">
      <x:c r="A333" t="str">
        <x:v>6a7723b56920</x:v>
      </x:c>
      <x:c r="B333" t="str">
        <x:v>Equipment</x:v>
      </x:c>
      <x:c r="C333" t="str">
        <x:v>Geometry</x:v>
      </x:c>
      <x:c r="D333" t="str">
        <x:v>Meshy/BaseGeometry/equipment_ring_t08_base_geometry.txt</x:v>
      </x:c>
      <x:c r="E333" t="n">
        <x:v>1884</x:v>
      </x:c>
      <x:c r="F333" t="n">
        <x:v>260</x:v>
      </x:c>
      <x:c r="G333" t="str">
        <x:v>2b3bb9bf5863221b37324cce18a0c942205aeba32a1c3b376ba45ccc340269d7</x:v>
      </x:c>
    </x:row>
    <x:row r="334">
      <x:c r="A334" t="str">
        <x:v>3e0259276d00</x:v>
      </x:c>
      <x:c r="B334" t="str">
        <x:v>Equipment</x:v>
      </x:c>
      <x:c r="C334" t="str">
        <x:v>Geometry</x:v>
      </x:c>
      <x:c r="D334" t="str">
        <x:v>Meshy/BaseGeometry/equipment_ring_t09_base_geometry.txt</x:v>
      </x:c>
      <x:c r="E334" t="n">
        <x:v>1913</x:v>
      </x:c>
      <x:c r="F334" t="n">
        <x:v>264</x:v>
      </x:c>
      <x:c r="G334" t="str">
        <x:v>72ce9e95ab4a150a69aea9375a33b1cff44b64a4d748d8d94b92d78730a64807</x:v>
      </x:c>
    </x:row>
    <x:row r="335">
      <x:c r="A335" t="str">
        <x:v>52c06302856d</x:v>
      </x:c>
      <x:c r="B335" t="str">
        <x:v>Equipment</x:v>
      </x:c>
      <x:c r="C335" t="str">
        <x:v>Geometry</x:v>
      </x:c>
      <x:c r="D335" t="str">
        <x:v>Meshy/BaseGeometry/equipment_shield_t01_base_geometry.txt</x:v>
      </x:c>
      <x:c r="E335" t="n">
        <x:v>1870</x:v>
      </x:c>
      <x:c r="F335" t="n">
        <x:v>261</x:v>
      </x:c>
      <x:c r="G335" t="str">
        <x:v>3307f4562203b2acd35cb976866ae849178ebffa51e47ea2be826bca14191d98</x:v>
      </x:c>
    </x:row>
    <x:row r="336">
      <x:c r="A336" t="str">
        <x:v>87d34fce09c7</x:v>
      </x:c>
      <x:c r="B336" t="str">
        <x:v>Equipment</x:v>
      </x:c>
      <x:c r="C336" t="str">
        <x:v>Geometry</x:v>
      </x:c>
      <x:c r="D336" t="str">
        <x:v>Meshy/BaseGeometry/equipment_shield_t02_base_geometry.txt</x:v>
      </x:c>
      <x:c r="E336" t="n">
        <x:v>1880</x:v>
      </x:c>
      <x:c r="F336" t="n">
        <x:v>259</x:v>
      </x:c>
      <x:c r="G336" t="str">
        <x:v>dfcbbe0163337832e98dc00c255e1107dd3396bb17029cf0d147a1817672c44b</x:v>
      </x:c>
    </x:row>
    <x:row r="337">
      <x:c r="A337" t="str">
        <x:v>c6f56e7724ef</x:v>
      </x:c>
      <x:c r="B337" t="str">
        <x:v>Equipment</x:v>
      </x:c>
      <x:c r="C337" t="str">
        <x:v>Geometry</x:v>
      </x:c>
      <x:c r="D337" t="str">
        <x:v>Meshy/BaseGeometry/equipment_shield_t03_base_geometry.txt</x:v>
      </x:c>
      <x:c r="E337" t="n">
        <x:v>1891</x:v>
      </x:c>
      <x:c r="F337" t="n">
        <x:v>262</x:v>
      </x:c>
      <x:c r="G337" t="str">
        <x:v>20b2ef68c0c1b846db3f067488474d7a6d6f1d769536b2a05ec68275391a7756</x:v>
      </x:c>
    </x:row>
    <x:row r="338">
      <x:c r="A338" t="str">
        <x:v>bbe0e643c6b8</x:v>
      </x:c>
      <x:c r="B338" t="str">
        <x:v>Equipment</x:v>
      </x:c>
      <x:c r="C338" t="str">
        <x:v>Geometry</x:v>
      </x:c>
      <x:c r="D338" t="str">
        <x:v>Meshy/BaseGeometry/equipment_shield_t04_base_geometry.txt</x:v>
      </x:c>
      <x:c r="E338" t="n">
        <x:v>1860</x:v>
      </x:c>
      <x:c r="F338" t="n">
        <x:v>257</x:v>
      </x:c>
      <x:c r="G338" t="str">
        <x:v>e47322d393e863b4e15bfdecb4fb0389373554a2dc59f0d2c4bb4fb3a37218b3</x:v>
      </x:c>
    </x:row>
    <x:row r="339">
      <x:c r="A339" t="str">
        <x:v>9d3ab6213ee0</x:v>
      </x:c>
      <x:c r="B339" t="str">
        <x:v>Equipment</x:v>
      </x:c>
      <x:c r="C339" t="str">
        <x:v>Geometry</x:v>
      </x:c>
      <x:c r="D339" t="str">
        <x:v>Meshy/BaseGeometry/equipment_shield_t05_base_geometry.txt</x:v>
      </x:c>
      <x:c r="E339" t="n">
        <x:v>1896</x:v>
      </x:c>
      <x:c r="F339" t="n">
        <x:v>262</x:v>
      </x:c>
      <x:c r="G339" t="str">
        <x:v>954c77e7042f6249f48000f5b1e7761752fb79e23e7d98b3e1000188b5d3b8f2</x:v>
      </x:c>
    </x:row>
    <x:row r="340">
      <x:c r="A340" t="str">
        <x:v>0b96ce8bd812</x:v>
      </x:c>
      <x:c r="B340" t="str">
        <x:v>Equipment</x:v>
      </x:c>
      <x:c r="C340" t="str">
        <x:v>Geometry</x:v>
      </x:c>
      <x:c r="D340" t="str">
        <x:v>Meshy/BaseGeometry/equipment_shield_t06_base_geometry.txt</x:v>
      </x:c>
      <x:c r="E340" t="n">
        <x:v>1888</x:v>
      </x:c>
      <x:c r="F340" t="n">
        <x:v>261</x:v>
      </x:c>
      <x:c r="G340" t="str">
        <x:v>c480c7cea08387b915701b529e2165e96e35f62494145b9528af5d3583d7302e</x:v>
      </x:c>
    </x:row>
    <x:row r="341">
      <x:c r="A341" t="str">
        <x:v>96cc9b821a2a</x:v>
      </x:c>
      <x:c r="B341" t="str">
        <x:v>Equipment</x:v>
      </x:c>
      <x:c r="C341" t="str">
        <x:v>Geometry</x:v>
      </x:c>
      <x:c r="D341" t="str">
        <x:v>Meshy/BaseGeometry/equipment_shield_t07_base_geometry.txt</x:v>
      </x:c>
      <x:c r="E341" t="n">
        <x:v>1898</x:v>
      </x:c>
      <x:c r="F341" t="n">
        <x:v>264</x:v>
      </x:c>
      <x:c r="G341" t="str">
        <x:v>54af99fb4e93e55dc82dd481159ab7f29566a82de3a0fa0bc3e9d25e95867dac</x:v>
      </x:c>
    </x:row>
    <x:row r="342">
      <x:c r="A342" t="str">
        <x:v>1e832bea5dd9</x:v>
      </x:c>
      <x:c r="B342" t="str">
        <x:v>Equipment</x:v>
      </x:c>
      <x:c r="C342" t="str">
        <x:v>Geometry</x:v>
      </x:c>
      <x:c r="D342" t="str">
        <x:v>Meshy/BaseGeometry/equipment_shield_t08_base_geometry.txt</x:v>
      </x:c>
      <x:c r="E342" t="n">
        <x:v>1883</x:v>
      </x:c>
      <x:c r="F342" t="n">
        <x:v>261</x:v>
      </x:c>
      <x:c r="G342" t="str">
        <x:v>01f316bc293b8786e04a636f268279ef59d02a7f9c05406c3fec7cb14743dc20</x:v>
      </x:c>
    </x:row>
    <x:row r="343">
      <x:c r="A343" t="str">
        <x:v>3488f7e48542</x:v>
      </x:c>
      <x:c r="B343" t="str">
        <x:v>Equipment</x:v>
      </x:c>
      <x:c r="C343" t="str">
        <x:v>Geometry</x:v>
      </x:c>
      <x:c r="D343" t="str">
        <x:v>Meshy/BaseGeometry/equipment_shield_t09_base_geometry.txt</x:v>
      </x:c>
      <x:c r="E343" t="n">
        <x:v>1903</x:v>
      </x:c>
      <x:c r="F343" t="n">
        <x:v>264</x:v>
      </x:c>
      <x:c r="G343" t="str">
        <x:v>a37f825abc4ad384cc38dad0e12be7edfee39bddf94f1aa79b1dd500882e1b8b</x:v>
      </x:c>
    </x:row>
    <x:row r="344">
      <x:c r="A344" t="str">
        <x:v>6c78148eef3f</x:v>
      </x:c>
      <x:c r="B344" t="str">
        <x:v>Equipment</x:v>
      </x:c>
      <x:c r="C344" t="str">
        <x:v>Geometry</x:v>
      </x:c>
      <x:c r="D344" t="str">
        <x:v>Meshy/BaseGeometry/equipment_staff_t01_base_geometry.txt</x:v>
      </x:c>
      <x:c r="E344" t="n">
        <x:v>1874</x:v>
      </x:c>
      <x:c r="F344" t="n">
        <x:v>259</x:v>
      </x:c>
      <x:c r="G344" t="str">
        <x:v>933fe53d9bd276568dca2f418952892e7fa18e9c04de19d1c4e448e76b6897bd</x:v>
      </x:c>
    </x:row>
    <x:row r="345">
      <x:c r="A345" t="str">
        <x:v>281d5361fc59</x:v>
      </x:c>
      <x:c r="B345" t="str">
        <x:v>Equipment</x:v>
      </x:c>
      <x:c r="C345" t="str">
        <x:v>Geometry</x:v>
      </x:c>
      <x:c r="D345" t="str">
        <x:v>Meshy/BaseGeometry/equipment_staff_t02_base_geometry.txt</x:v>
      </x:c>
      <x:c r="E345" t="n">
        <x:v>1877</x:v>
      </x:c>
      <x:c r="F345" t="n">
        <x:v>258</x:v>
      </x:c>
      <x:c r="G345" t="str">
        <x:v>2d7e35231ba9d27e348f8c0305f782bf9a7ea24b72d70177c764d8effe8a3b11</x:v>
      </x:c>
    </x:row>
    <x:row r="346">
      <x:c r="A346" t="str">
        <x:v>0879c006c8e7</x:v>
      </x:c>
      <x:c r="B346" t="str">
        <x:v>Equipment</x:v>
      </x:c>
      <x:c r="C346" t="str">
        <x:v>Geometry</x:v>
      </x:c>
      <x:c r="D346" t="str">
        <x:v>Meshy/BaseGeometry/equipment_staff_t03_base_geometry.txt</x:v>
      </x:c>
      <x:c r="E346" t="n">
        <x:v>1902</x:v>
      </x:c>
      <x:c r="F346" t="n">
        <x:v>262</x:v>
      </x:c>
      <x:c r="G346" t="str">
        <x:v>a3c3ae1cda9c0407027386c59ff2de565552c6d6f68587bb2ed7b5150a01295c</x:v>
      </x:c>
    </x:row>
    <x:row r="347">
      <x:c r="A347" t="str">
        <x:v>b99de473b062</x:v>
      </x:c>
      <x:c r="B347" t="str">
        <x:v>Equipment</x:v>
      </x:c>
      <x:c r="C347" t="str">
        <x:v>Geometry</x:v>
      </x:c>
      <x:c r="D347" t="str">
        <x:v>Meshy/BaseGeometry/equipment_staff_t04_base_geometry.txt</x:v>
      </x:c>
      <x:c r="E347" t="n">
        <x:v>1845</x:v>
      </x:c>
      <x:c r="F347" t="n">
        <x:v>254</x:v>
      </x:c>
      <x:c r="G347" t="str">
        <x:v>1919c6f8c84a3149bde2aa4d88d3f5621e6cf5005bca3cf97505d1f2de5aaaa6</x:v>
      </x:c>
    </x:row>
    <x:row r="348">
      <x:c r="A348" t="str">
        <x:v>386ace51b93d</x:v>
      </x:c>
      <x:c r="B348" t="str">
        <x:v>Equipment</x:v>
      </x:c>
      <x:c r="C348" t="str">
        <x:v>Geometry</x:v>
      </x:c>
      <x:c r="D348" t="str">
        <x:v>Meshy/BaseGeometry/equipment_staff_t05_base_geometry.txt</x:v>
      </x:c>
      <x:c r="E348" t="n">
        <x:v>1911</x:v>
      </x:c>
      <x:c r="F348" t="n">
        <x:v>263</x:v>
      </x:c>
      <x:c r="G348" t="str">
        <x:v>40ef44c2c73904225eded074ed2d53d7b8cc1631b6ce889b8cf6d233fc442f39</x:v>
      </x:c>
    </x:row>
    <x:row r="349">
      <x:c r="A349" t="str">
        <x:v>0a989b2e28ed</x:v>
      </x:c>
      <x:c r="B349" t="str">
        <x:v>Equipment</x:v>
      </x:c>
      <x:c r="C349" t="str">
        <x:v>Geometry</x:v>
      </x:c>
      <x:c r="D349" t="str">
        <x:v>Meshy/BaseGeometry/equipment_staff_t06_base_geometry.txt</x:v>
      </x:c>
      <x:c r="E349" t="n">
        <x:v>1925</x:v>
      </x:c>
      <x:c r="F349" t="n">
        <x:v>265</x:v>
      </x:c>
      <x:c r="G349" t="str">
        <x:v>1ab2ff8d8bfe36f9c97835293504dceea93c6e0ac325af6351316543854e43e7</x:v>
      </x:c>
    </x:row>
    <x:row r="350">
      <x:c r="A350" t="str">
        <x:v>7068fccf3a6d</x:v>
      </x:c>
      <x:c r="B350" t="str">
        <x:v>Equipment</x:v>
      </x:c>
      <x:c r="C350" t="str">
        <x:v>Geometry</x:v>
      </x:c>
      <x:c r="D350" t="str">
        <x:v>Meshy/BaseGeometry/equipment_staff_t07_base_geometry.txt</x:v>
      </x:c>
      <x:c r="E350" t="n">
        <x:v>1904</x:v>
      </x:c>
      <x:c r="F350" t="n">
        <x:v>264</x:v>
      </x:c>
      <x:c r="G350" t="str">
        <x:v>7845047106e4da594f1b3c0d05665aeb77b5820781778287b3d4a1e736b633d6</x:v>
      </x:c>
    </x:row>
    <x:row r="351">
      <x:c r="A351" t="str">
        <x:v>a47ebab8eda0</x:v>
      </x:c>
      <x:c r="B351" t="str">
        <x:v>Equipment</x:v>
      </x:c>
      <x:c r="C351" t="str">
        <x:v>Geometry</x:v>
      </x:c>
      <x:c r="D351" t="str">
        <x:v>Meshy/BaseGeometry/equipment_staff_t08_base_geometry.txt</x:v>
      </x:c>
      <x:c r="E351" t="n">
        <x:v>1899</x:v>
      </x:c>
      <x:c r="F351" t="n">
        <x:v>261</x:v>
      </x:c>
      <x:c r="G351" t="str">
        <x:v>8ae6a8482a97d208dc970253c06c9bf951d0d60941e36e2eff93b7732edf81a6</x:v>
      </x:c>
    </x:row>
    <x:row r="352">
      <x:c r="A352" t="str">
        <x:v>a8937dc162d0</x:v>
      </x:c>
      <x:c r="B352" t="str">
        <x:v>Equipment</x:v>
      </x:c>
      <x:c r="C352" t="str">
        <x:v>Geometry</x:v>
      </x:c>
      <x:c r="D352" t="str">
        <x:v>Meshy/BaseGeometry/equipment_staff_t09_base_geometry.txt</x:v>
      </x:c>
      <x:c r="E352" t="n">
        <x:v>1923</x:v>
      </x:c>
      <x:c r="F352" t="n">
        <x:v>264</x:v>
      </x:c>
      <x:c r="G352" t="str">
        <x:v>b8dd920e412863f053bfff90923509d6be62cbc681d1a90e2cb8cba219c8d714</x:v>
      </x:c>
    </x:row>
    <x:row r="353">
      <x:c r="A353" t="str">
        <x:v>131c3e461a52</x:v>
      </x:c>
      <x:c r="B353" t="str">
        <x:v>Equipment</x:v>
      </x:c>
      <x:c r="C353" t="str">
        <x:v>Geometry</x:v>
      </x:c>
      <x:c r="D353" t="str">
        <x:v>Meshy/BaseGeometry/equipment_sword_1h_t01_base_geometry.txt</x:v>
      </x:c>
      <x:c r="E353" t="n">
        <x:v>1877</x:v>
      </x:c>
      <x:c r="F353" t="n">
        <x:v>259</x:v>
      </x:c>
      <x:c r="G353" t="str">
        <x:v>87342f58686236cefd6fd5c5f6516ea50c8e51024a93cc1b68626bb61806ecda</x:v>
      </x:c>
    </x:row>
    <x:row r="354">
      <x:c r="A354" t="str">
        <x:v>9cb47c5cc64f</x:v>
      </x:c>
      <x:c r="B354" t="str">
        <x:v>Equipment</x:v>
      </x:c>
      <x:c r="C354" t="str">
        <x:v>Geometry</x:v>
      </x:c>
      <x:c r="D354" t="str">
        <x:v>Meshy/BaseGeometry/equipment_sword_1h_t02_base_geometry.txt</x:v>
      </x:c>
      <x:c r="E354" t="n">
        <x:v>1887</x:v>
      </x:c>
      <x:c r="F354" t="n">
        <x:v>257</x:v>
      </x:c>
      <x:c r="G354" t="str">
        <x:v>34eaea3a107ff6bf9f5032c158281b640885054539b8ecaa4610df94802256e5</x:v>
      </x:c>
    </x:row>
    <x:row r="355">
      <x:c r="A355" t="str">
        <x:v>f09d33dece0c</x:v>
      </x:c>
      <x:c r="B355" t="str">
        <x:v>Equipment</x:v>
      </x:c>
      <x:c r="C355" t="str">
        <x:v>Geometry</x:v>
      </x:c>
      <x:c r="D355" t="str">
        <x:v>Meshy/BaseGeometry/equipment_sword_1h_t03_base_geometry.txt</x:v>
      </x:c>
      <x:c r="E355" t="n">
        <x:v>1898</x:v>
      </x:c>
      <x:c r="F355" t="n">
        <x:v>260</x:v>
      </x:c>
      <x:c r="G355" t="str">
        <x:v>b71ea0aa152cfea3734fd0e44c7ff3df11ca0c3165fc6f9561ccd262eb52156d</x:v>
      </x:c>
    </x:row>
    <x:row r="356">
      <x:c r="A356" t="str">
        <x:v>c44f1d4299b8</x:v>
      </x:c>
      <x:c r="B356" t="str">
        <x:v>Equipment</x:v>
      </x:c>
      <x:c r="C356" t="str">
        <x:v>Geometry</x:v>
      </x:c>
      <x:c r="D356" t="str">
        <x:v>Meshy/BaseGeometry/equipment_sword_1h_t04_base_geometry.txt</x:v>
      </x:c>
      <x:c r="E356" t="n">
        <x:v>1867</x:v>
      </x:c>
      <x:c r="F356" t="n">
        <x:v>255</x:v>
      </x:c>
      <x:c r="G356" t="str">
        <x:v>c2bbb19b92748d90387f6cdfdc7ad2c51d78a3e4cd6e4bcb5001bf13aa93ada3</x:v>
      </x:c>
    </x:row>
    <x:row r="357">
      <x:c r="A357" t="str">
        <x:v>f9896d1c4e16</x:v>
      </x:c>
      <x:c r="B357" t="str">
        <x:v>Equipment</x:v>
      </x:c>
      <x:c r="C357" t="str">
        <x:v>Geometry</x:v>
      </x:c>
      <x:c r="D357" t="str">
        <x:v>Meshy/BaseGeometry/equipment_sword_1h_t05_base_geometry.txt</x:v>
      </x:c>
      <x:c r="E357" t="n">
        <x:v>1903</x:v>
      </x:c>
      <x:c r="F357" t="n">
        <x:v>260</x:v>
      </x:c>
      <x:c r="G357" t="str">
        <x:v>cad2e126eb2079c79b0fc916add24f345fc49c8c903f2b732f32aeb9b90f104d</x:v>
      </x:c>
    </x:row>
    <x:row r="358">
      <x:c r="A358" t="str">
        <x:v>8ea0b3b6b02d</x:v>
      </x:c>
      <x:c r="B358" t="str">
        <x:v>Equipment</x:v>
      </x:c>
      <x:c r="C358" t="str">
        <x:v>Geometry</x:v>
      </x:c>
      <x:c r="D358" t="str">
        <x:v>Meshy/BaseGeometry/equipment_sword_1h_t06_base_geometry.txt</x:v>
      </x:c>
      <x:c r="E358" t="n">
        <x:v>1895</x:v>
      </x:c>
      <x:c r="F358" t="n">
        <x:v>259</x:v>
      </x:c>
      <x:c r="G358" t="str">
        <x:v>9c575a6bedb8b986d439a7487df01d4120125422a96e5c22ec72500ada466b52</x:v>
      </x:c>
    </x:row>
    <x:row r="359">
      <x:c r="A359" t="str">
        <x:v>f7b123b5facd</x:v>
      </x:c>
      <x:c r="B359" t="str">
        <x:v>Equipment</x:v>
      </x:c>
      <x:c r="C359" t="str">
        <x:v>Geometry</x:v>
      </x:c>
      <x:c r="D359" t="str">
        <x:v>Meshy/BaseGeometry/equipment_sword_1h_t07_base_geometry.txt</x:v>
      </x:c>
      <x:c r="E359" t="n">
        <x:v>1905</x:v>
      </x:c>
      <x:c r="F359" t="n">
        <x:v>262</x:v>
      </x:c>
      <x:c r="G359" t="str">
        <x:v>20deaf51298810cbbc54bee87bca957011b6fbc60c1aa54b7093ff91649dd3ce</x:v>
      </x:c>
    </x:row>
    <x:row r="360">
      <x:c r="A360" t="str">
        <x:v>bc1fafd1965f</x:v>
      </x:c>
      <x:c r="B360" t="str">
        <x:v>Equipment</x:v>
      </x:c>
      <x:c r="C360" t="str">
        <x:v>Geometry</x:v>
      </x:c>
      <x:c r="D360" t="str">
        <x:v>Meshy/BaseGeometry/equipment_sword_1h_t08_base_geometry.txt</x:v>
      </x:c>
      <x:c r="E360" t="n">
        <x:v>1890</x:v>
      </x:c>
      <x:c r="F360" t="n">
        <x:v>259</x:v>
      </x:c>
      <x:c r="G360" t="str">
        <x:v>4a325b0079a2b8c1832672c1ce93be1f7f02953e9c0a86eb9bb6eb12964ade84</x:v>
      </x:c>
    </x:row>
    <x:row r="361">
      <x:c r="A361" t="str">
        <x:v>af47dc2cd762</x:v>
      </x:c>
      <x:c r="B361" t="str">
        <x:v>Equipment</x:v>
      </x:c>
      <x:c r="C361" t="str">
        <x:v>Geometry</x:v>
      </x:c>
      <x:c r="D361" t="str">
        <x:v>Meshy/BaseGeometry/equipment_sword_1h_t09_base_geometry.txt</x:v>
      </x:c>
      <x:c r="E361" t="n">
        <x:v>1910</x:v>
      </x:c>
      <x:c r="F361" t="n">
        <x:v>262</x:v>
      </x:c>
      <x:c r="G361" t="str">
        <x:v>5c4d112834bea559aa0ba086168c04b248cae55aec585d390b797c01d67c6a34</x:v>
      </x:c>
    </x:row>
    <x:row r="362">
      <x:c r="A362" t="str">
        <x:v>f9eb169bf8c8</x:v>
      </x:c>
      <x:c r="B362" t="str">
        <x:v>Equipment</x:v>
      </x:c>
      <x:c r="C362" t="str">
        <x:v>Texture</x:v>
      </x:c>
      <x:c r="D362" t="str">
        <x:v>TextureVariants/equipment_amulet_t01_base_rarity_variants.txt</x:v>
      </x:c>
      <x:c r="E362" t="n">
        <x:v>4528</x:v>
      </x:c>
      <x:c r="F362" t="n">
        <x:v>641</x:v>
      </x:c>
      <x:c r="G362" t="str">
        <x:v>628d649bdf530a129651b2839f712ad87ae93a5b983022d7194ae0157158ad7c</x:v>
      </x:c>
    </x:row>
    <x:row r="363">
      <x:c r="A363" t="str">
        <x:v>a5658b0bbf52</x:v>
      </x:c>
      <x:c r="B363" t="str">
        <x:v>Equipment</x:v>
      </x:c>
      <x:c r="C363" t="str">
        <x:v>Texture</x:v>
      </x:c>
      <x:c r="D363" t="str">
        <x:v>TextureVariants/equipment_amulet_t02_base_rarity_variants.txt</x:v>
      </x:c>
      <x:c r="E363" t="n">
        <x:v>4597</x:v>
      </x:c>
      <x:c r="F363" t="n">
        <x:v>634</x:v>
      </x:c>
      <x:c r="G363" t="str">
        <x:v>fcb115a2a55d7b7acbb756bb29caeb53dbb1fbf36d320bc60e39ac7baa5b5d3b</x:v>
      </x:c>
    </x:row>
    <x:row r="364">
      <x:c r="A364" t="str">
        <x:v>8e1ac2a450fd</x:v>
      </x:c>
      <x:c r="B364" t="str">
        <x:v>Equipment</x:v>
      </x:c>
      <x:c r="C364" t="str">
        <x:v>Texture</x:v>
      </x:c>
      <x:c r="D364" t="str">
        <x:v>TextureVariants/equipment_amulet_t03_base_rarity_variants.txt</x:v>
      </x:c>
      <x:c r="E364" t="n">
        <x:v>4602</x:v>
      </x:c>
      <x:c r="F364" t="n">
        <x:v>634</x:v>
      </x:c>
      <x:c r="G364" t="str">
        <x:v>85ad8db09a868168caf85d92a2fed00944dd3d5fec5a7ac7fcfc51a61d8170a7</x:v>
      </x:c>
    </x:row>
    <x:row r="365">
      <x:c r="A365" t="str">
        <x:v>4c4e420876a3</x:v>
      </x:c>
      <x:c r="B365" t="str">
        <x:v>Equipment</x:v>
      </x:c>
      <x:c r="C365" t="str">
        <x:v>Texture</x:v>
      </x:c>
      <x:c r="D365" t="str">
        <x:v>TextureVariants/equipment_amulet_t04_base_rarity_variants.txt</x:v>
      </x:c>
      <x:c r="E365" t="n">
        <x:v>4401</x:v>
      </x:c>
      <x:c r="F365" t="n">
        <x:v>613</x:v>
      </x:c>
      <x:c r="G365" t="str">
        <x:v>998165c8cc138954d4ce7c4ffe7a90e3db29c92cf293622f08569eb256a0b113</x:v>
      </x:c>
    </x:row>
    <x:row r="366">
      <x:c r="A366" t="str">
        <x:v>f0ad3b201335</x:v>
      </x:c>
      <x:c r="B366" t="str">
        <x:v>Equipment</x:v>
      </x:c>
      <x:c r="C366" t="str">
        <x:v>Texture</x:v>
      </x:c>
      <x:c r="D366" t="str">
        <x:v>TextureVariants/equipment_amulet_t05_base_rarity_variants.txt</x:v>
      </x:c>
      <x:c r="E366" t="n">
        <x:v>4599</x:v>
      </x:c>
      <x:c r="F366" t="n">
        <x:v>634</x:v>
      </x:c>
      <x:c r="G366" t="str">
        <x:v>ab84b6099237a7ae4f710add2cf1add329dc77097752976f5e6ab9857db960c5</x:v>
      </x:c>
    </x:row>
    <x:row r="367">
      <x:c r="A367" t="str">
        <x:v>b0886cf2ec9d</x:v>
      </x:c>
      <x:c r="B367" t="str">
        <x:v>Equipment</x:v>
      </x:c>
      <x:c r="C367" t="str">
        <x:v>Texture</x:v>
      </x:c>
      <x:c r="D367" t="str">
        <x:v>TextureVariants/equipment_amulet_t06_base_rarity_variants.txt</x:v>
      </x:c>
      <x:c r="E367" t="n">
        <x:v>4633</x:v>
      </x:c>
      <x:c r="F367" t="n">
        <x:v>634</x:v>
      </x:c>
      <x:c r="G367" t="str">
        <x:v>49ce0981030307c772fe49c9d4cdcc620e800d1e7f49795646111983dc9b4d70</x:v>
      </x:c>
    </x:row>
    <x:row r="368">
      <x:c r="A368" t="str">
        <x:v>de5c021f0aa4</x:v>
      </x:c>
      <x:c r="B368" t="str">
        <x:v>Equipment</x:v>
      </x:c>
      <x:c r="C368" t="str">
        <x:v>Texture</x:v>
      </x:c>
      <x:c r="D368" t="str">
        <x:v>TextureVariants/equipment_amulet_t07_base_rarity_variants.txt</x:v>
      </x:c>
      <x:c r="E368" t="n">
        <x:v>4561</x:v>
      </x:c>
      <x:c r="F368" t="n">
        <x:v>641</x:v>
      </x:c>
      <x:c r="G368" t="str">
        <x:v>14ae6a720887e7be37b97f96ff4814ea8abd7a17c42cebdc3b70c4945bda038a</x:v>
      </x:c>
    </x:row>
    <x:row r="369">
      <x:c r="A369" t="str">
        <x:v>7bbad530c5ab</x:v>
      </x:c>
      <x:c r="B369" t="str">
        <x:v>Equipment</x:v>
      </x:c>
      <x:c r="C369" t="str">
        <x:v>Texture</x:v>
      </x:c>
      <x:c r="D369" t="str">
        <x:v>TextureVariants/equipment_amulet_t08_base_rarity_variants.txt</x:v>
      </x:c>
      <x:c r="E369" t="n">
        <x:v>4508</x:v>
      </x:c>
      <x:c r="F369" t="n">
        <x:v>627</x:v>
      </x:c>
      <x:c r="G369" t="str">
        <x:v>b1009eed6a62bf10f485f1a29a86a2322f5882138f78d1d41395a14d8dbc508c</x:v>
      </x:c>
    </x:row>
    <x:row r="370">
      <x:c r="A370" t="str">
        <x:v>79de164d7dc0</x:v>
      </x:c>
      <x:c r="B370" t="str">
        <x:v>Equipment</x:v>
      </x:c>
      <x:c r="C370" t="str">
        <x:v>Texture</x:v>
      </x:c>
      <x:c r="D370" t="str">
        <x:v>TextureVariants/equipment_amulet_t09_base_rarity_variants.txt</x:v>
      </x:c>
      <x:c r="E370" t="n">
        <x:v>4605</x:v>
      </x:c>
      <x:c r="F370" t="n">
        <x:v>641</x:v>
      </x:c>
      <x:c r="G370" t="str">
        <x:v>270a0fb0eb55c367fac490a821c4113d42454ae5d92a08095ffd94f875eef9e3</x:v>
      </x:c>
    </x:row>
    <x:row r="371">
      <x:c r="A371" t="str">
        <x:v>1a587a86146c</x:v>
      </x:c>
      <x:c r="B371" t="str">
        <x:v>Equipment</x:v>
      </x:c>
      <x:c r="C371" t="str">
        <x:v>Texture</x:v>
      </x:c>
      <x:c r="D371" t="str">
        <x:v>TextureVariants/equipment_cloth_boots_t01_base_rarity_variants.txt</x:v>
      </x:c>
      <x:c r="E371" t="n">
        <x:v>4504</x:v>
      </x:c>
      <x:c r="F371" t="n">
        <x:v>635</x:v>
      </x:c>
      <x:c r="G371" t="str">
        <x:v>1005ef5912d0b9e45c1671a79e5db23694aca5486dd08bfe19f0b6646ebf4b61</x:v>
      </x:c>
    </x:row>
    <x:row r="372">
      <x:c r="A372" t="str">
        <x:v>2b6db9ce66a8</x:v>
      </x:c>
      <x:c r="B372" t="str">
        <x:v>Equipment</x:v>
      </x:c>
      <x:c r="C372" t="str">
        <x:v>Texture</x:v>
      </x:c>
      <x:c r="D372" t="str">
        <x:v>TextureVariants/equipment_cloth_boots_t02_base_rarity_variants.txt</x:v>
      </x:c>
      <x:c r="E372" t="n">
        <x:v>4587</x:v>
      </x:c>
      <x:c r="F372" t="n">
        <x:v>635</x:v>
      </x:c>
      <x:c r="G372" t="str">
        <x:v>2f83e94b1ee402d0d24d8e12d313ba9f8072339b9050e3380f57fbdf2d31b2ba</x:v>
      </x:c>
    </x:row>
    <x:row r="373">
      <x:c r="A373" t="str">
        <x:v>543989b15b52</x:v>
      </x:c>
      <x:c r="B373" t="str">
        <x:v>Equipment</x:v>
      </x:c>
      <x:c r="C373" t="str">
        <x:v>Texture</x:v>
      </x:c>
      <x:c r="D373" t="str">
        <x:v>TextureVariants/equipment_cloth_boots_t03_base_rarity_variants.txt</x:v>
      </x:c>
      <x:c r="E373" t="n">
        <x:v>4515</x:v>
      </x:c>
      <x:c r="F373" t="n">
        <x:v>628</x:v>
      </x:c>
      <x:c r="G373" t="str">
        <x:v>b715c021e2b804595f21dcf8a0c7522111b8029c3741cbe1be7aec676cbf3d6f</x:v>
      </x:c>
    </x:row>
    <x:row r="374">
      <x:c r="A374" t="str">
        <x:v>15d9cff84534</x:v>
      </x:c>
      <x:c r="B374" t="str">
        <x:v>Equipment</x:v>
      </x:c>
      <x:c r="C374" t="str">
        <x:v>Texture</x:v>
      </x:c>
      <x:c r="D374" t="str">
        <x:v>TextureVariants/equipment_cloth_boots_t04_base_rarity_variants.txt</x:v>
      </x:c>
      <x:c r="E374" t="n">
        <x:v>4293</x:v>
      </x:c>
      <x:c r="F374" t="n">
        <x:v>593</x:v>
      </x:c>
      <x:c r="G374" t="str">
        <x:v>b1401a040781242a34dd442b95bd7fc7d46917aaf38cf1ac309b5f30ff7f202f</x:v>
      </x:c>
    </x:row>
    <x:row r="375">
      <x:c r="A375" t="str">
        <x:v>d4814d3cb3f2</x:v>
      </x:c>
      <x:c r="B375" t="str">
        <x:v>Equipment</x:v>
      </x:c>
      <x:c r="C375" t="str">
        <x:v>Texture</x:v>
      </x:c>
      <x:c r="D375" t="str">
        <x:v>TextureVariants/equipment_cloth_boots_t05_base_rarity_variants.txt</x:v>
      </x:c>
      <x:c r="E375" t="n">
        <x:v>4498</x:v>
      </x:c>
      <x:c r="F375" t="n">
        <x:v>621</x:v>
      </x:c>
      <x:c r="G375" t="str">
        <x:v>5512654e413aa9041d8588fd955e0de0566d0725485178cd9cc3cb07bd303058</x:v>
      </x:c>
    </x:row>
    <x:row r="376">
      <x:c r="A376" t="str">
        <x:v>59967f937301</x:v>
      </x:c>
      <x:c r="B376" t="str">
        <x:v>Equipment</x:v>
      </x:c>
      <x:c r="C376" t="str">
        <x:v>Texture</x:v>
      </x:c>
      <x:c r="D376" t="str">
        <x:v>TextureVariants/equipment_cloth_boots_t06_base_rarity_variants.txt</x:v>
      </x:c>
      <x:c r="E376" t="n">
        <x:v>4504</x:v>
      </x:c>
      <x:c r="F376" t="n">
        <x:v>621</x:v>
      </x:c>
      <x:c r="G376" t="str">
        <x:v>887f93de657849b243458a873976d7dd1ffe29bbb8f44f7014a0e5bec741d0c2</x:v>
      </x:c>
    </x:row>
    <x:row r="377">
      <x:c r="A377" t="str">
        <x:v>bc30b8a1d45c</x:v>
      </x:c>
      <x:c r="B377" t="str">
        <x:v>Equipment</x:v>
      </x:c>
      <x:c r="C377" t="str">
        <x:v>Texture</x:v>
      </x:c>
      <x:c r="D377" t="str">
        <x:v>TextureVariants/equipment_cloth_boots_t07_base_rarity_variants.txt</x:v>
      </x:c>
      <x:c r="E377" t="n">
        <x:v>4460</x:v>
      </x:c>
      <x:c r="F377" t="n">
        <x:v>628</x:v>
      </x:c>
      <x:c r="G377" t="str">
        <x:v>bfaa5130178bc126ef7f53f13449a592af0d9aa633947aa07e41d567d866dbed</x:v>
      </x:c>
    </x:row>
    <x:row r="378">
      <x:c r="A378" t="str">
        <x:v>f05f14cb3c06</x:v>
      </x:c>
      <x:c r="B378" t="str">
        <x:v>Equipment</x:v>
      </x:c>
      <x:c r="C378" t="str">
        <x:v>Texture</x:v>
      </x:c>
      <x:c r="D378" t="str">
        <x:v>TextureVariants/equipment_cloth_boots_t08_base_rarity_variants.txt</x:v>
      </x:c>
      <x:c r="E378" t="n">
        <x:v>4421</x:v>
      </x:c>
      <x:c r="F378" t="n">
        <x:v>614</x:v>
      </x:c>
      <x:c r="G378" t="str">
        <x:v>f3273a6abce13f7da9eba70318b59df9f00309562eaadc4fc90aa7cfe7e10b2b</x:v>
      </x:c>
    </x:row>
    <x:row r="379">
      <x:c r="A379" t="str">
        <x:v>202a6a993a6b</x:v>
      </x:c>
      <x:c r="B379" t="str">
        <x:v>Equipment</x:v>
      </x:c>
      <x:c r="C379" t="str">
        <x:v>Texture</x:v>
      </x:c>
      <x:c r="D379" t="str">
        <x:v>TextureVariants/equipment_cloth_boots_t09_base_rarity_variants.txt</x:v>
      </x:c>
      <x:c r="E379" t="n">
        <x:v>4476</x:v>
      </x:c>
      <x:c r="F379" t="n">
        <x:v>621</x:v>
      </x:c>
      <x:c r="G379" t="str">
        <x:v>3483894b83d82d111701adc5b8611052cc0704948afb04a8a65959a802132e0b</x:v>
      </x:c>
    </x:row>
    <x:row r="380">
      <x:c r="A380" t="str">
        <x:v>ccd84542317c</x:v>
      </x:c>
      <x:c r="B380" t="str">
        <x:v>Equipment</x:v>
      </x:c>
      <x:c r="C380" t="str">
        <x:v>Texture</x:v>
      </x:c>
      <x:c r="D380" t="str">
        <x:v>TextureVariants/equipment_cloth_gloves_t01_base_rarity_variants.txt</x:v>
      </x:c>
      <x:c r="E380" t="n">
        <x:v>4506</x:v>
      </x:c>
      <x:c r="F380" t="n">
        <x:v>635</x:v>
      </x:c>
      <x:c r="G380" t="str">
        <x:v>a29c4269efff1e016d088ed1aaf2abfb371c28e42a23be496faac6087225ac23</x:v>
      </x:c>
    </x:row>
    <x:row r="381">
      <x:c r="A381" t="str">
        <x:v>74ca1e770ebc</x:v>
      </x:c>
      <x:c r="B381" t="str">
        <x:v>Equipment</x:v>
      </x:c>
      <x:c r="C381" t="str">
        <x:v>Texture</x:v>
      </x:c>
      <x:c r="D381" t="str">
        <x:v>TextureVariants/equipment_cloth_gloves_t02_base_rarity_variants.txt</x:v>
      </x:c>
      <x:c r="E381" t="n">
        <x:v>4589</x:v>
      </x:c>
      <x:c r="F381" t="n">
        <x:v>635</x:v>
      </x:c>
      <x:c r="G381" t="str">
        <x:v>e263dd5c75085072fc59e635790b35c3906655ca98b546b5db8b80459ae4c1ba</x:v>
      </x:c>
    </x:row>
    <x:row r="382">
      <x:c r="A382" t="str">
        <x:v>13d5b2bcbb96</x:v>
      </x:c>
      <x:c r="B382" t="str">
        <x:v>Equipment</x:v>
      </x:c>
      <x:c r="C382" t="str">
        <x:v>Texture</x:v>
      </x:c>
      <x:c r="D382" t="str">
        <x:v>TextureVariants/equipment_cloth_gloves_t03_base_rarity_variants.txt</x:v>
      </x:c>
      <x:c r="E382" t="n">
        <x:v>4517</x:v>
      </x:c>
      <x:c r="F382" t="n">
        <x:v>628</x:v>
      </x:c>
      <x:c r="G382" t="str">
        <x:v>4565c7171fafbcd0ab480210346cb0aa6789a63f1e44dfd69951bb68bf35d4eb</x:v>
      </x:c>
    </x:row>
    <x:row r="383">
      <x:c r="A383" t="str">
        <x:v>b8fcf175611e</x:v>
      </x:c>
      <x:c r="B383" t="str">
        <x:v>Equipment</x:v>
      </x:c>
      <x:c r="C383" t="str">
        <x:v>Texture</x:v>
      </x:c>
      <x:c r="D383" t="str">
        <x:v>TextureVariants/equipment_cloth_gloves_t04_base_rarity_variants.txt</x:v>
      </x:c>
      <x:c r="E383" t="n">
        <x:v>4295</x:v>
      </x:c>
      <x:c r="F383" t="n">
        <x:v>593</x:v>
      </x:c>
      <x:c r="G383" t="str">
        <x:v>0ff0b51de95565c58a4e6f6ca615397dfc2b659c8eeecc866e673118ed3701f6</x:v>
      </x:c>
    </x:row>
    <x:row r="384">
      <x:c r="A384" t="str">
        <x:v>881305dee602</x:v>
      </x:c>
      <x:c r="B384" t="str">
        <x:v>Equipment</x:v>
      </x:c>
      <x:c r="C384" t="str">
        <x:v>Texture</x:v>
      </x:c>
      <x:c r="D384" t="str">
        <x:v>TextureVariants/equipment_cloth_gloves_t05_base_rarity_variants.txt</x:v>
      </x:c>
      <x:c r="E384" t="n">
        <x:v>4500</x:v>
      </x:c>
      <x:c r="F384" t="n">
        <x:v>621</x:v>
      </x:c>
      <x:c r="G384" t="str">
        <x:v>544d17bd5287aa1770b0f0028a48bdf7ae09c59ef8add1aaeb5cf55159351a35</x:v>
      </x:c>
    </x:row>
    <x:row r="385">
      <x:c r="A385" t="str">
        <x:v>f8dcd24ad000</x:v>
      </x:c>
      <x:c r="B385" t="str">
        <x:v>Equipment</x:v>
      </x:c>
      <x:c r="C385" t="str">
        <x:v>Texture</x:v>
      </x:c>
      <x:c r="D385" t="str">
        <x:v>TextureVariants/equipment_cloth_gloves_t06_base_rarity_variants.txt</x:v>
      </x:c>
      <x:c r="E385" t="n">
        <x:v>4506</x:v>
      </x:c>
      <x:c r="F385" t="n">
        <x:v>621</x:v>
      </x:c>
      <x:c r="G385" t="str">
        <x:v>2a5d2334f7646b3e84e72e167e0522e8d9077e4f88a7b686a37fd16b19a9f61c</x:v>
      </x:c>
    </x:row>
    <x:row r="386">
      <x:c r="A386" t="str">
        <x:v>80c18afce5ee</x:v>
      </x:c>
      <x:c r="B386" t="str">
        <x:v>Equipment</x:v>
      </x:c>
      <x:c r="C386" t="str">
        <x:v>Texture</x:v>
      </x:c>
      <x:c r="D386" t="str">
        <x:v>TextureVariants/equipment_cloth_gloves_t07_base_rarity_variants.txt</x:v>
      </x:c>
      <x:c r="E386" t="n">
        <x:v>4462</x:v>
      </x:c>
      <x:c r="F386" t="n">
        <x:v>628</x:v>
      </x:c>
      <x:c r="G386" t="str">
        <x:v>c9fb6849a7143f7cca354481fb3f8871484d569d6444999afa8a15d3d1872a15</x:v>
      </x:c>
    </x:row>
    <x:row r="387">
      <x:c r="A387" t="str">
        <x:v>c77b0dc8297c</x:v>
      </x:c>
      <x:c r="B387" t="str">
        <x:v>Equipment</x:v>
      </x:c>
      <x:c r="C387" t="str">
        <x:v>Texture</x:v>
      </x:c>
      <x:c r="D387" t="str">
        <x:v>TextureVariants/equipment_cloth_gloves_t08_base_rarity_variants.txt</x:v>
      </x:c>
      <x:c r="E387" t="n">
        <x:v>4423</x:v>
      </x:c>
      <x:c r="F387" t="n">
        <x:v>614</x:v>
      </x:c>
      <x:c r="G387" t="str">
        <x:v>3469601698982fe277846e862c57560580109f07aafe671a8d3fae5a9640f2f3</x:v>
      </x:c>
    </x:row>
    <x:row r="388">
      <x:c r="A388" t="str">
        <x:v>b47c88171b1a</x:v>
      </x:c>
      <x:c r="B388" t="str">
        <x:v>Equipment</x:v>
      </x:c>
      <x:c r="C388" t="str">
        <x:v>Texture</x:v>
      </x:c>
      <x:c r="D388" t="str">
        <x:v>TextureVariants/equipment_cloth_gloves_t09_base_rarity_variants.txt</x:v>
      </x:c>
      <x:c r="E388" t="n">
        <x:v>4478</x:v>
      </x:c>
      <x:c r="F388" t="n">
        <x:v>621</x:v>
      </x:c>
      <x:c r="G388" t="str">
        <x:v>af90e2905514b68ab87464bc04573a08b4dea6f6b37141145e93afa93ad72d4b</x:v>
      </x:c>
    </x:row>
    <x:row r="389">
      <x:c r="A389" t="str">
        <x:v>934c58b1c67a</x:v>
      </x:c>
      <x:c r="B389" t="str">
        <x:v>Equipment</x:v>
      </x:c>
      <x:c r="C389" t="str">
        <x:v>Texture</x:v>
      </x:c>
      <x:c r="D389" t="str">
        <x:v>TextureVariants/equipment_cloth_hood_t01_base_rarity_variants.txt</x:v>
      </x:c>
      <x:c r="E389" t="n">
        <x:v>4502</x:v>
      </x:c>
      <x:c r="F389" t="n">
        <x:v>635</x:v>
      </x:c>
      <x:c r="G389" t="str">
        <x:v>6ad9bc19ec20981d23c11d5ea7b0fd159e02ad1a90ddd0ffceb53a278cd3e982</x:v>
      </x:c>
    </x:row>
    <x:row r="390">
      <x:c r="A390" t="str">
        <x:v>a5e5b78629c3</x:v>
      </x:c>
      <x:c r="B390" t="str">
        <x:v>Equipment</x:v>
      </x:c>
      <x:c r="C390" t="str">
        <x:v>Texture</x:v>
      </x:c>
      <x:c r="D390" t="str">
        <x:v>TextureVariants/equipment_cloth_hood_t02_base_rarity_variants.txt</x:v>
      </x:c>
      <x:c r="E390" t="n">
        <x:v>4585</x:v>
      </x:c>
      <x:c r="F390" t="n">
        <x:v>635</x:v>
      </x:c>
      <x:c r="G390" t="str">
        <x:v>e4bc72962bd456890c4e303e36d127eadff631d6f139b936875bae25f2691537</x:v>
      </x:c>
    </x:row>
    <x:row r="391">
      <x:c r="A391" t="str">
        <x:v>4aac34e74ff4</x:v>
      </x:c>
      <x:c r="B391" t="str">
        <x:v>Equipment</x:v>
      </x:c>
      <x:c r="C391" t="str">
        <x:v>Texture</x:v>
      </x:c>
      <x:c r="D391" t="str">
        <x:v>TextureVariants/equipment_cloth_hood_t03_base_rarity_variants.txt</x:v>
      </x:c>
      <x:c r="E391" t="n">
        <x:v>4513</x:v>
      </x:c>
      <x:c r="F391" t="n">
        <x:v>628</x:v>
      </x:c>
      <x:c r="G391" t="str">
        <x:v>e3650ca465fec5d6dc09aa8b53e69efe75e492343ad71b62ae3535f4ebdeccbe</x:v>
      </x:c>
    </x:row>
    <x:row r="392">
      <x:c r="A392" t="str">
        <x:v>5db092171a8e</x:v>
      </x:c>
      <x:c r="B392" t="str">
        <x:v>Equipment</x:v>
      </x:c>
      <x:c r="C392" t="str">
        <x:v>Texture</x:v>
      </x:c>
      <x:c r="D392" t="str">
        <x:v>TextureVariants/equipment_cloth_hood_t04_base_rarity_variants.txt</x:v>
      </x:c>
      <x:c r="E392" t="n">
        <x:v>4291</x:v>
      </x:c>
      <x:c r="F392" t="n">
        <x:v>593</x:v>
      </x:c>
      <x:c r="G392" t="str">
        <x:v>d4f4643358e9f909be0a9f17d4e8a13c047f70026b23c1dfe448d15d96c677d3</x:v>
      </x:c>
    </x:row>
    <x:row r="393">
      <x:c r="A393" t="str">
        <x:v>0656fe2f4e5d</x:v>
      </x:c>
      <x:c r="B393" t="str">
        <x:v>Equipment</x:v>
      </x:c>
      <x:c r="C393" t="str">
        <x:v>Texture</x:v>
      </x:c>
      <x:c r="D393" t="str">
        <x:v>TextureVariants/equipment_cloth_hood_t05_base_rarity_variants.txt</x:v>
      </x:c>
      <x:c r="E393" t="n">
        <x:v>4496</x:v>
      </x:c>
      <x:c r="F393" t="n">
        <x:v>621</x:v>
      </x:c>
      <x:c r="G393" t="str">
        <x:v>cfbb756209552f3dee3a5d7eadc40a3e7ee65f84c8185f4c123a86dacf386d5e</x:v>
      </x:c>
    </x:row>
    <x:row r="394">
      <x:c r="A394" t="str">
        <x:v>1a818302d531</x:v>
      </x:c>
      <x:c r="B394" t="str">
        <x:v>Equipment</x:v>
      </x:c>
      <x:c r="C394" t="str">
        <x:v>Texture</x:v>
      </x:c>
      <x:c r="D394" t="str">
        <x:v>TextureVariants/equipment_cloth_hood_t06_base_rarity_variants.txt</x:v>
      </x:c>
      <x:c r="E394" t="n">
        <x:v>4502</x:v>
      </x:c>
      <x:c r="F394" t="n">
        <x:v>621</x:v>
      </x:c>
      <x:c r="G394" t="str">
        <x:v>55c62d83602a4c7e436e955646c59b067ef7198718611da114b7049c39c92228</x:v>
      </x:c>
    </x:row>
    <x:row r="395">
      <x:c r="A395" t="str">
        <x:v>bd1a3cad0586</x:v>
      </x:c>
      <x:c r="B395" t="str">
        <x:v>Equipment</x:v>
      </x:c>
      <x:c r="C395" t="str">
        <x:v>Texture</x:v>
      </x:c>
      <x:c r="D395" t="str">
        <x:v>TextureVariants/equipment_cloth_hood_t07_base_rarity_variants.txt</x:v>
      </x:c>
      <x:c r="E395" t="n">
        <x:v>4458</x:v>
      </x:c>
      <x:c r="F395" t="n">
        <x:v>628</x:v>
      </x:c>
      <x:c r="G395" t="str">
        <x:v>16775bfb403e436e6e63bf9e94286fe1d93008aa80ff46411c1b3f19b3702ce0</x:v>
      </x:c>
    </x:row>
    <x:row r="396">
      <x:c r="A396" t="str">
        <x:v>4c6c7246d6a5</x:v>
      </x:c>
      <x:c r="B396" t="str">
        <x:v>Equipment</x:v>
      </x:c>
      <x:c r="C396" t="str">
        <x:v>Texture</x:v>
      </x:c>
      <x:c r="D396" t="str">
        <x:v>TextureVariants/equipment_cloth_hood_t08_base_rarity_variants.txt</x:v>
      </x:c>
      <x:c r="E396" t="n">
        <x:v>4419</x:v>
      </x:c>
      <x:c r="F396" t="n">
        <x:v>614</x:v>
      </x:c>
      <x:c r="G396" t="str">
        <x:v>4fd948d8cc12335c8f6db49b6b925f935e3fd592b1c4616e79b8a5564a360544</x:v>
      </x:c>
    </x:row>
    <x:row r="397">
      <x:c r="A397" t="str">
        <x:v>27a6aa2b59fc</x:v>
      </x:c>
      <x:c r="B397" t="str">
        <x:v>Equipment</x:v>
      </x:c>
      <x:c r="C397" t="str">
        <x:v>Texture</x:v>
      </x:c>
      <x:c r="D397" t="str">
        <x:v>TextureVariants/equipment_cloth_hood_t09_base_rarity_variants.txt</x:v>
      </x:c>
      <x:c r="E397" t="n">
        <x:v>4474</x:v>
      </x:c>
      <x:c r="F397" t="n">
        <x:v>621</x:v>
      </x:c>
      <x:c r="G397" t="str">
        <x:v>75b6bb0c4a505fdb2a3f3d36ccbc7e104c2e8d4178aca6a523de2311dd64136e</x:v>
      </x:c>
    </x:row>
    <x:row r="398">
      <x:c r="A398" t="str">
        <x:v>2f8accca713e</x:v>
      </x:c>
      <x:c r="B398" t="str">
        <x:v>Equipment</x:v>
      </x:c>
      <x:c r="C398" t="str">
        <x:v>Texture</x:v>
      </x:c>
      <x:c r="D398" t="str">
        <x:v>TextureVariants/equipment_cloth_robe_t01_base_rarity_variants.txt</x:v>
      </x:c>
      <x:c r="E398" t="n">
        <x:v>4502</x:v>
      </x:c>
      <x:c r="F398" t="n">
        <x:v>635</x:v>
      </x:c>
      <x:c r="G398" t="str">
        <x:v>8ac95d9781631e77e1520e3d017ca2dffe7aa46354f5a33a8c36fc9d3f78ae55</x:v>
      </x:c>
    </x:row>
    <x:row r="399">
      <x:c r="A399" t="str">
        <x:v>89aa2f9efef1</x:v>
      </x:c>
      <x:c r="B399" t="str">
        <x:v>Equipment</x:v>
      </x:c>
      <x:c r="C399" t="str">
        <x:v>Texture</x:v>
      </x:c>
      <x:c r="D399" t="str">
        <x:v>TextureVariants/equipment_cloth_robe_t02_base_rarity_variants.txt</x:v>
      </x:c>
      <x:c r="E399" t="n">
        <x:v>4585</x:v>
      </x:c>
      <x:c r="F399" t="n">
        <x:v>635</x:v>
      </x:c>
      <x:c r="G399" t="str">
        <x:v>4af3dc95564ebfa8a914cca84c6259846633db32b8e21ab5fcb914643016d76a</x:v>
      </x:c>
    </x:row>
    <x:row r="400">
      <x:c r="A400" t="str">
        <x:v>66f5d8db37d0</x:v>
      </x:c>
      <x:c r="B400" t="str">
        <x:v>Equipment</x:v>
      </x:c>
      <x:c r="C400" t="str">
        <x:v>Texture</x:v>
      </x:c>
      <x:c r="D400" t="str">
        <x:v>TextureVariants/equipment_cloth_robe_t03_base_rarity_variants.txt</x:v>
      </x:c>
      <x:c r="E400" t="n">
        <x:v>4513</x:v>
      </x:c>
      <x:c r="F400" t="n">
        <x:v>628</x:v>
      </x:c>
      <x:c r="G400" t="str">
        <x:v>04890fa63db0bbf0feeffd02628739d8c4cb5ed246cb07a504561254e6910ef9</x:v>
      </x:c>
    </x:row>
    <x:row r="401">
      <x:c r="A401" t="str">
        <x:v>bfcffde7de47</x:v>
      </x:c>
      <x:c r="B401" t="str">
        <x:v>Equipment</x:v>
      </x:c>
      <x:c r="C401" t="str">
        <x:v>Texture</x:v>
      </x:c>
      <x:c r="D401" t="str">
        <x:v>TextureVariants/equipment_cloth_robe_t04_base_rarity_variants.txt</x:v>
      </x:c>
      <x:c r="E401" t="n">
        <x:v>4291</x:v>
      </x:c>
      <x:c r="F401" t="n">
        <x:v>593</x:v>
      </x:c>
      <x:c r="G401" t="str">
        <x:v>fb6830f7c491a705f4f76b76af47861454257cbe3561297cb7563a19945af861</x:v>
      </x:c>
    </x:row>
    <x:row r="402">
      <x:c r="A402" t="str">
        <x:v>28796b09bfe1</x:v>
      </x:c>
      <x:c r="B402" t="str">
        <x:v>Equipment</x:v>
      </x:c>
      <x:c r="C402" t="str">
        <x:v>Texture</x:v>
      </x:c>
      <x:c r="D402" t="str">
        <x:v>TextureVariants/equipment_cloth_robe_t05_base_rarity_variants.txt</x:v>
      </x:c>
      <x:c r="E402" t="n">
        <x:v>4496</x:v>
      </x:c>
      <x:c r="F402" t="n">
        <x:v>621</x:v>
      </x:c>
      <x:c r="G402" t="str">
        <x:v>2cf4575ebbd4087ff5a586204a9934b2163b82c0d8274eb5e2c5a6b0aea3778c</x:v>
      </x:c>
    </x:row>
    <x:row r="403">
      <x:c r="A403" t="str">
        <x:v>ec9270339700</x:v>
      </x:c>
      <x:c r="B403" t="str">
        <x:v>Equipment</x:v>
      </x:c>
      <x:c r="C403" t="str">
        <x:v>Texture</x:v>
      </x:c>
      <x:c r="D403" t="str">
        <x:v>TextureVariants/equipment_cloth_robe_t06_base_rarity_variants.txt</x:v>
      </x:c>
      <x:c r="E403" t="n">
        <x:v>4502</x:v>
      </x:c>
      <x:c r="F403" t="n">
        <x:v>621</x:v>
      </x:c>
      <x:c r="G403" t="str">
        <x:v>ac8a762b5bec89141dcfbe74445915e403d3659a5678b5b03fee6a86571368e1</x:v>
      </x:c>
    </x:row>
    <x:row r="404">
      <x:c r="A404" t="str">
        <x:v>4bada4a9c9b7</x:v>
      </x:c>
      <x:c r="B404" t="str">
        <x:v>Equipment</x:v>
      </x:c>
      <x:c r="C404" t="str">
        <x:v>Texture</x:v>
      </x:c>
      <x:c r="D404" t="str">
        <x:v>TextureVariants/equipment_cloth_robe_t07_base_rarity_variants.txt</x:v>
      </x:c>
      <x:c r="E404" t="n">
        <x:v>4458</x:v>
      </x:c>
      <x:c r="F404" t="n">
        <x:v>628</x:v>
      </x:c>
      <x:c r="G404" t="str">
        <x:v>9be94d7a95d02d624734c660080aa69d03d34e579c7e0668eb73a844a989f5d7</x:v>
      </x:c>
    </x:row>
    <x:row r="405">
      <x:c r="A405" t="str">
        <x:v>df1ed69cd5c7</x:v>
      </x:c>
      <x:c r="B405" t="str">
        <x:v>Equipment</x:v>
      </x:c>
      <x:c r="C405" t="str">
        <x:v>Texture</x:v>
      </x:c>
      <x:c r="D405" t="str">
        <x:v>TextureVariants/equipment_cloth_robe_t08_base_rarity_variants.txt</x:v>
      </x:c>
      <x:c r="E405" t="n">
        <x:v>4419</x:v>
      </x:c>
      <x:c r="F405" t="n">
        <x:v>614</x:v>
      </x:c>
      <x:c r="G405" t="str">
        <x:v>0f6c7f8ed34ec6361aa3b52510f1c3f6a751aa6e8e52db665549ba7fca38c72c</x:v>
      </x:c>
    </x:row>
    <x:row r="406">
      <x:c r="A406" t="str">
        <x:v>3e2e74152bea</x:v>
      </x:c>
      <x:c r="B406" t="str">
        <x:v>Equipment</x:v>
      </x:c>
      <x:c r="C406" t="str">
        <x:v>Texture</x:v>
      </x:c>
      <x:c r="D406" t="str">
        <x:v>TextureVariants/equipment_cloth_robe_t09_base_rarity_variants.txt</x:v>
      </x:c>
      <x:c r="E406" t="n">
        <x:v>4474</x:v>
      </x:c>
      <x:c r="F406" t="n">
        <x:v>621</x:v>
      </x:c>
      <x:c r="G406" t="str">
        <x:v>b3e913da89658c8f6704c755a40cf7489688545ccdb30c9770be5b9008975d35</x:v>
      </x:c>
    </x:row>
    <x:row r="407">
      <x:c r="A407" t="str">
        <x:v>e68bc70abc51</x:v>
      </x:c>
      <x:c r="B407" t="str">
        <x:v>Equipment</x:v>
      </x:c>
      <x:c r="C407" t="str">
        <x:v>Texture</x:v>
      </x:c>
      <x:c r="D407" t="str">
        <x:v>TextureVariants/equipment_heavy_boots_t01_base_rarity_variants.txt</x:v>
      </x:c>
      <x:c r="E407" t="n">
        <x:v>4664</x:v>
      </x:c>
      <x:c r="F407" t="n">
        <x:v>663</x:v>
      </x:c>
      <x:c r="G407" t="str">
        <x:v>fe9a31f16a3c8259ef13d85c7a85e1ff7c2c3bf9a5d56ecb00cb2087215ac5c4</x:v>
      </x:c>
    </x:row>
    <x:row r="408">
      <x:c r="A408" t="str">
        <x:v>c950b85690d4</x:v>
      </x:c>
      <x:c r="B408" t="str">
        <x:v>Equipment</x:v>
      </x:c>
      <x:c r="C408" t="str">
        <x:v>Texture</x:v>
      </x:c>
      <x:c r="D408" t="str">
        <x:v>TextureVariants/equipment_heavy_boots_t02_base_rarity_variants.txt</x:v>
      </x:c>
      <x:c r="E408" t="n">
        <x:v>4726</x:v>
      </x:c>
      <x:c r="F408" t="n">
        <x:v>649</x:v>
      </x:c>
      <x:c r="G408" t="str">
        <x:v>8082f7477c501df55e891642338d0dfb6588cc887722817ed43e97e7e1daa3a2</x:v>
      </x:c>
    </x:row>
    <x:row r="409">
      <x:c r="A409" t="str">
        <x:v>35c110563d8d</x:v>
      </x:c>
      <x:c r="B409" t="str">
        <x:v>Equipment</x:v>
      </x:c>
      <x:c r="C409" t="str">
        <x:v>Texture</x:v>
      </x:c>
      <x:c r="D409" t="str">
        <x:v>TextureVariants/equipment_heavy_boots_t03_base_rarity_variants.txt</x:v>
      </x:c>
      <x:c r="E409" t="n">
        <x:v>4752</x:v>
      </x:c>
      <x:c r="F409" t="n">
        <x:v>649</x:v>
      </x:c>
      <x:c r="G409" t="str">
        <x:v>98422fc85eb4d6674a8c99f39ca7e87baf99edeca82d7a3a848001f50e0d421f</x:v>
      </x:c>
    </x:row>
    <x:row r="410">
      <x:c r="A410" t="str">
        <x:v>461e82d01588</x:v>
      </x:c>
      <x:c r="B410" t="str">
        <x:v>Equipment</x:v>
      </x:c>
      <x:c r="C410" t="str">
        <x:v>Texture</x:v>
      </x:c>
      <x:c r="D410" t="str">
        <x:v>TextureVariants/equipment_heavy_boots_t04_base_rarity_variants.txt</x:v>
      </x:c>
      <x:c r="E410" t="n">
        <x:v>4551</x:v>
      </x:c>
      <x:c r="F410" t="n">
        <x:v>628</x:v>
      </x:c>
      <x:c r="G410" t="str">
        <x:v>eb3b961360a11789e5864f7bd330dfc702f930250236302c9bcb2b4b1a70a5ab</x:v>
      </x:c>
    </x:row>
    <x:row r="411">
      <x:c r="A411" t="str">
        <x:v>6c68b088e957</x:v>
      </x:c>
      <x:c r="B411" t="str">
        <x:v>Equipment</x:v>
      </x:c>
      <x:c r="C411" t="str">
        <x:v>Texture</x:v>
      </x:c>
      <x:c r="D411" t="str">
        <x:v>TextureVariants/equipment_heavy_boots_t05_base_rarity_variants.txt</x:v>
      </x:c>
      <x:c r="E411" t="n">
        <x:v>4721</x:v>
      </x:c>
      <x:c r="F411" t="n">
        <x:v>649</x:v>
      </x:c>
      <x:c r="G411" t="str">
        <x:v>959fe8bfac86df11a5441990120a089ce99a6cc241e355c33c8cfaeb680b30e6</x:v>
      </x:c>
    </x:row>
    <x:row r="412">
      <x:c r="A412" t="str">
        <x:v>ca18b0e88894</x:v>
      </x:c>
      <x:c r="B412" t="str">
        <x:v>Equipment</x:v>
      </x:c>
      <x:c r="C412" t="str">
        <x:v>Texture</x:v>
      </x:c>
      <x:c r="D412" t="str">
        <x:v>TextureVariants/equipment_heavy_boots_t06_base_rarity_variants.txt</x:v>
      </x:c>
      <x:c r="E412" t="n">
        <x:v>4741</x:v>
      </x:c>
      <x:c r="F412" t="n">
        <x:v>649</x:v>
      </x:c>
      <x:c r="G412" t="str">
        <x:v>04502484febf85165b0b4bbc7d82284743d1b58426ada9bd94cdc9da338282ca</x:v>
      </x:c>
    </x:row>
    <x:row r="413">
      <x:c r="A413" t="str">
        <x:v>f73b93c64c15</x:v>
      </x:c>
      <x:c r="B413" t="str">
        <x:v>Equipment</x:v>
      </x:c>
      <x:c r="C413" t="str">
        <x:v>Texture</x:v>
      </x:c>
      <x:c r="D413" t="str">
        <x:v>TextureVariants/equipment_heavy_boots_t07_base_rarity_variants.txt</x:v>
      </x:c>
      <x:c r="E413" t="n">
        <x:v>4669</x:v>
      </x:c>
      <x:c r="F413" t="n">
        <x:v>656</x:v>
      </x:c>
      <x:c r="G413" t="str">
        <x:v>c586e1ae90e7ee65d42a78f9059e0ab295691a50476a37dd87a35c9a6b206747</x:v>
      </x:c>
    </x:row>
    <x:row r="414">
      <x:c r="A414" t="str">
        <x:v>665fd092abd3</x:v>
      </x:c>
      <x:c r="B414" t="str">
        <x:v>Equipment</x:v>
      </x:c>
      <x:c r="C414" t="str">
        <x:v>Texture</x:v>
      </x:c>
      <x:c r="D414" t="str">
        <x:v>TextureVariants/equipment_heavy_boots_t08_base_rarity_variants.txt</x:v>
      </x:c>
      <x:c r="E414" t="n">
        <x:v>4609</x:v>
      </x:c>
      <x:c r="F414" t="n">
        <x:v>642</x:v>
      </x:c>
      <x:c r="G414" t="str">
        <x:v>ec132383dd04f2aaca2e18e2466f8de8c46e5ea68773830a4b7c3ce596a35d91</x:v>
      </x:c>
    </x:row>
    <x:row r="415">
      <x:c r="A415" t="str">
        <x:v>c15861d7392c</x:v>
      </x:c>
      <x:c r="B415" t="str">
        <x:v>Equipment</x:v>
      </x:c>
      <x:c r="C415" t="str">
        <x:v>Texture</x:v>
      </x:c>
      <x:c r="D415" t="str">
        <x:v>TextureVariants/equipment_heavy_boots_t09_base_rarity_variants.txt</x:v>
      </x:c>
      <x:c r="E415" t="n">
        <x:v>4713</x:v>
      </x:c>
      <x:c r="F415" t="n">
        <x:v>656</x:v>
      </x:c>
      <x:c r="G415" t="str">
        <x:v>b23920318f32fcae23906e70822f59a3935440d465ddb3a87c1b9a7f718634e3</x:v>
      </x:c>
    </x:row>
    <x:row r="416">
      <x:c r="A416" t="str">
        <x:v>9d2abb390470</x:v>
      </x:c>
      <x:c r="B416" t="str">
        <x:v>Equipment</x:v>
      </x:c>
      <x:c r="C416" t="str">
        <x:v>Texture</x:v>
      </x:c>
      <x:c r="D416" t="str">
        <x:v>TextureVariants/equipment_heavy_chest_t01_base_rarity_variants.txt</x:v>
      </x:c>
      <x:c r="E416" t="n">
        <x:v>4670</x:v>
      </x:c>
      <x:c r="F416" t="n">
        <x:v>664</x:v>
      </x:c>
      <x:c r="G416" t="str">
        <x:v>d0c279f51646a73ab37dabc3642d7674ce87469c09a23b49d3511972760decf7</x:v>
      </x:c>
    </x:row>
    <x:row r="417">
      <x:c r="A417" t="str">
        <x:v>92a534a2dd98</x:v>
      </x:c>
      <x:c r="B417" t="str">
        <x:v>Equipment</x:v>
      </x:c>
      <x:c r="C417" t="str">
        <x:v>Texture</x:v>
      </x:c>
      <x:c r="D417" t="str">
        <x:v>TextureVariants/equipment_heavy_chest_t02_base_rarity_variants.txt</x:v>
      </x:c>
      <x:c r="E417" t="n">
        <x:v>4732</x:v>
      </x:c>
      <x:c r="F417" t="n">
        <x:v>650</x:v>
      </x:c>
      <x:c r="G417" t="str">
        <x:v>c2ac72e253f30574d4759564ab893d401f1ecfc83a5d6236b035edb87745d23f</x:v>
      </x:c>
    </x:row>
    <x:row r="418">
      <x:c r="A418" t="str">
        <x:v>06ced97a1306</x:v>
      </x:c>
      <x:c r="B418" t="str">
        <x:v>Equipment</x:v>
      </x:c>
      <x:c r="C418" t="str">
        <x:v>Texture</x:v>
      </x:c>
      <x:c r="D418" t="str">
        <x:v>TextureVariants/equipment_heavy_chest_t03_base_rarity_variants.txt</x:v>
      </x:c>
      <x:c r="E418" t="n">
        <x:v>4758</x:v>
      </x:c>
      <x:c r="F418" t="n">
        <x:v>650</x:v>
      </x:c>
      <x:c r="G418" t="str">
        <x:v>dd3ef0fd3c162107d6521cf9483635407bd3f83500b652424c6df0e33b0fd1bb</x:v>
      </x:c>
    </x:row>
    <x:row r="419">
      <x:c r="A419" t="str">
        <x:v>2f5403a6a062</x:v>
      </x:c>
      <x:c r="B419" t="str">
        <x:v>Equipment</x:v>
      </x:c>
      <x:c r="C419" t="str">
        <x:v>Texture</x:v>
      </x:c>
      <x:c r="D419" t="str">
        <x:v>TextureVariants/equipment_heavy_chest_t04_base_rarity_variants.txt</x:v>
      </x:c>
      <x:c r="E419" t="n">
        <x:v>4557</x:v>
      </x:c>
      <x:c r="F419" t="n">
        <x:v>629</x:v>
      </x:c>
      <x:c r="G419" t="str">
        <x:v>f069a755accd8310ab69ba9f3dd1625274774db6024c4075d7981a1c6fc0a7e9</x:v>
      </x:c>
    </x:row>
    <x:row r="420">
      <x:c r="A420" t="str">
        <x:v>63276d9861e6</x:v>
      </x:c>
      <x:c r="B420" t="str">
        <x:v>Equipment</x:v>
      </x:c>
      <x:c r="C420" t="str">
        <x:v>Texture</x:v>
      </x:c>
      <x:c r="D420" t="str">
        <x:v>TextureVariants/equipment_heavy_chest_t05_base_rarity_variants.txt</x:v>
      </x:c>
      <x:c r="E420" t="n">
        <x:v>4727</x:v>
      </x:c>
      <x:c r="F420" t="n">
        <x:v>650</x:v>
      </x:c>
      <x:c r="G420" t="str">
        <x:v>594e1b6fd67172dabdeaaf2e0ea4dad14359e82784f4034f0dabbd28e723cd9a</x:v>
      </x:c>
    </x:row>
    <x:row r="421">
      <x:c r="A421" t="str">
        <x:v>a87d028f0999</x:v>
      </x:c>
      <x:c r="B421" t="str">
        <x:v>Equipment</x:v>
      </x:c>
      <x:c r="C421" t="str">
        <x:v>Texture</x:v>
      </x:c>
      <x:c r="D421" t="str">
        <x:v>TextureVariants/equipment_heavy_chest_t06_base_rarity_variants.txt</x:v>
      </x:c>
      <x:c r="E421" t="n">
        <x:v>4747</x:v>
      </x:c>
      <x:c r="F421" t="n">
        <x:v>650</x:v>
      </x:c>
      <x:c r="G421" t="str">
        <x:v>e5f6ea7b5c4c8e47333b1c02f4f0b928e17504fb14e02df3be6972b0aa283c62</x:v>
      </x:c>
    </x:row>
    <x:row r="422">
      <x:c r="A422" t="str">
        <x:v>a68d3e3ec4f4</x:v>
      </x:c>
      <x:c r="B422" t="str">
        <x:v>Equipment</x:v>
      </x:c>
      <x:c r="C422" t="str">
        <x:v>Texture</x:v>
      </x:c>
      <x:c r="D422" t="str">
        <x:v>TextureVariants/equipment_heavy_chest_t07_base_rarity_variants.txt</x:v>
      </x:c>
      <x:c r="E422" t="n">
        <x:v>4675</x:v>
      </x:c>
      <x:c r="F422" t="n">
        <x:v>657</x:v>
      </x:c>
      <x:c r="G422" t="str">
        <x:v>c5826ddd7b09fd5271c3426138a581b7f84801f9d27529ccb0223084700d369a</x:v>
      </x:c>
    </x:row>
    <x:row r="423">
      <x:c r="A423" t="str">
        <x:v>4a82861ed15a</x:v>
      </x:c>
      <x:c r="B423" t="str">
        <x:v>Equipment</x:v>
      </x:c>
      <x:c r="C423" t="str">
        <x:v>Texture</x:v>
      </x:c>
      <x:c r="D423" t="str">
        <x:v>TextureVariants/equipment_heavy_chest_t08_base_rarity_variants.txt</x:v>
      </x:c>
      <x:c r="E423" t="n">
        <x:v>4615</x:v>
      </x:c>
      <x:c r="F423" t="n">
        <x:v>643</x:v>
      </x:c>
      <x:c r="G423" t="str">
        <x:v>fca67a0492079680f420460240584e8b5f8c5453f60b6138b76d581b978ace93</x:v>
      </x:c>
    </x:row>
    <x:row r="424">
      <x:c r="A424" t="str">
        <x:v>76108f4a8360</x:v>
      </x:c>
      <x:c r="B424" t="str">
        <x:v>Equipment</x:v>
      </x:c>
      <x:c r="C424" t="str">
        <x:v>Texture</x:v>
      </x:c>
      <x:c r="D424" t="str">
        <x:v>TextureVariants/equipment_heavy_chest_t09_base_rarity_variants.txt</x:v>
      </x:c>
      <x:c r="E424" t="n">
        <x:v>4719</x:v>
      </x:c>
      <x:c r="F424" t="n">
        <x:v>657</x:v>
      </x:c>
      <x:c r="G424" t="str">
        <x:v>cb213448f1cf978b14f014040a46153623269a9953f010102f544fbf1867c74d</x:v>
      </x:c>
    </x:row>
    <x:row r="425">
      <x:c r="A425" t="str">
        <x:v>11accb1fa481</x:v>
      </x:c>
      <x:c r="B425" t="str">
        <x:v>Equipment</x:v>
      </x:c>
      <x:c r="C425" t="str">
        <x:v>Texture</x:v>
      </x:c>
      <x:c r="D425" t="str">
        <x:v>TextureVariants/equipment_heavy_gloves_t01_base_rarity_variants.txt</x:v>
      </x:c>
      <x:c r="E425" t="n">
        <x:v>4669</x:v>
      </x:c>
      <x:c r="F425" t="n">
        <x:v>663</x:v>
      </x:c>
      <x:c r="G425" t="str">
        <x:v>6ba530fc7b5116ad6e27319c0f2e301bff65007048c12ce0bdd1cfdd0ed76c19</x:v>
      </x:c>
    </x:row>
    <x:row r="426">
      <x:c r="A426" t="str">
        <x:v>5c714c8be4ad</x:v>
      </x:c>
      <x:c r="B426" t="str">
        <x:v>Equipment</x:v>
      </x:c>
      <x:c r="C426" t="str">
        <x:v>Texture</x:v>
      </x:c>
      <x:c r="D426" t="str">
        <x:v>TextureVariants/equipment_heavy_gloves_t02_base_rarity_variants.txt</x:v>
      </x:c>
      <x:c r="E426" t="n">
        <x:v>4731</x:v>
      </x:c>
      <x:c r="F426" t="n">
        <x:v>649</x:v>
      </x:c>
      <x:c r="G426" t="str">
        <x:v>7abeed3a7ecded8c972438874cc141c85942a0e86f5a5b4ad2f55728895cf2e1</x:v>
      </x:c>
    </x:row>
    <x:row r="427">
      <x:c r="A427" t="str">
        <x:v>e8ae281c884c</x:v>
      </x:c>
      <x:c r="B427" t="str">
        <x:v>Equipment</x:v>
      </x:c>
      <x:c r="C427" t="str">
        <x:v>Texture</x:v>
      </x:c>
      <x:c r="D427" t="str">
        <x:v>TextureVariants/equipment_heavy_gloves_t03_base_rarity_variants.txt</x:v>
      </x:c>
      <x:c r="E427" t="n">
        <x:v>4757</x:v>
      </x:c>
      <x:c r="F427" t="n">
        <x:v>649</x:v>
      </x:c>
      <x:c r="G427" t="str">
        <x:v>7218be4c37a7d531fa4af629930ff1c3f52dfd50f999bbcea9c5f9058a5be262</x:v>
      </x:c>
    </x:row>
    <x:row r="428">
      <x:c r="A428" t="str">
        <x:v>58ca7266b10f</x:v>
      </x:c>
      <x:c r="B428" t="str">
        <x:v>Equipment</x:v>
      </x:c>
      <x:c r="C428" t="str">
        <x:v>Texture</x:v>
      </x:c>
      <x:c r="D428" t="str">
        <x:v>TextureVariants/equipment_heavy_gloves_t04_base_rarity_variants.txt</x:v>
      </x:c>
      <x:c r="E428" t="n">
        <x:v>4556</x:v>
      </x:c>
      <x:c r="F428" t="n">
        <x:v>628</x:v>
      </x:c>
      <x:c r="G428" t="str">
        <x:v>f89cb6c6cd90a6091e52b864e606f4edf794363615f3fdb4b4fcafadf8b77689</x:v>
      </x:c>
    </x:row>
    <x:row r="429">
      <x:c r="A429" t="str">
        <x:v>110628b505c7</x:v>
      </x:c>
      <x:c r="B429" t="str">
        <x:v>Equipment</x:v>
      </x:c>
      <x:c r="C429" t="str">
        <x:v>Texture</x:v>
      </x:c>
      <x:c r="D429" t="str">
        <x:v>TextureVariants/equipment_heavy_gloves_t05_base_rarity_variants.txt</x:v>
      </x:c>
      <x:c r="E429" t="n">
        <x:v>4726</x:v>
      </x:c>
      <x:c r="F429" t="n">
        <x:v>649</x:v>
      </x:c>
      <x:c r="G429" t="str">
        <x:v>447bdd408d0003863495577b71faeb17bf7085a7c82e5b973909d52d8e908a38</x:v>
      </x:c>
    </x:row>
    <x:row r="430">
      <x:c r="A430" t="str">
        <x:v>35845b7d39d7</x:v>
      </x:c>
      <x:c r="B430" t="str">
        <x:v>Equipment</x:v>
      </x:c>
      <x:c r="C430" t="str">
        <x:v>Texture</x:v>
      </x:c>
      <x:c r="D430" t="str">
        <x:v>TextureVariants/equipment_heavy_gloves_t06_base_rarity_variants.txt</x:v>
      </x:c>
      <x:c r="E430" t="n">
        <x:v>4746</x:v>
      </x:c>
      <x:c r="F430" t="n">
        <x:v>649</x:v>
      </x:c>
      <x:c r="G430" t="str">
        <x:v>839042d18142bec772dd6bb9e003ac3c6b1130168a8e3ffeb01f6628a10f869c</x:v>
      </x:c>
    </x:row>
    <x:row r="431">
      <x:c r="A431" t="str">
        <x:v>3830d63d0461</x:v>
      </x:c>
      <x:c r="B431" t="str">
        <x:v>Equipment</x:v>
      </x:c>
      <x:c r="C431" t="str">
        <x:v>Texture</x:v>
      </x:c>
      <x:c r="D431" t="str">
        <x:v>TextureVariants/equipment_heavy_gloves_t07_base_rarity_variants.txt</x:v>
      </x:c>
      <x:c r="E431" t="n">
        <x:v>4674</x:v>
      </x:c>
      <x:c r="F431" t="n">
        <x:v>656</x:v>
      </x:c>
      <x:c r="G431" t="str">
        <x:v>37eda81983f0bdc47f073e67036a0120c581462de20db90eb885ec913a32252d</x:v>
      </x:c>
    </x:row>
    <x:row r="432">
      <x:c r="A432" t="str">
        <x:v>63026bf675e9</x:v>
      </x:c>
      <x:c r="B432" t="str">
        <x:v>Equipment</x:v>
      </x:c>
      <x:c r="C432" t="str">
        <x:v>Texture</x:v>
      </x:c>
      <x:c r="D432" t="str">
        <x:v>TextureVariants/equipment_heavy_gloves_t08_base_rarity_variants.txt</x:v>
      </x:c>
      <x:c r="E432" t="n">
        <x:v>4614</x:v>
      </x:c>
      <x:c r="F432" t="n">
        <x:v>642</x:v>
      </x:c>
      <x:c r="G432" t="str">
        <x:v>b948d050ec377a8d69f92dcedb65d59372862050eb666a4241d5fea0bf5dd239</x:v>
      </x:c>
    </x:row>
    <x:row r="433">
      <x:c r="A433" t="str">
        <x:v>78f9a063b07e</x:v>
      </x:c>
      <x:c r="B433" t="str">
        <x:v>Equipment</x:v>
      </x:c>
      <x:c r="C433" t="str">
        <x:v>Texture</x:v>
      </x:c>
      <x:c r="D433" t="str">
        <x:v>TextureVariants/equipment_heavy_gloves_t09_base_rarity_variants.txt</x:v>
      </x:c>
      <x:c r="E433" t="n">
        <x:v>4718</x:v>
      </x:c>
      <x:c r="F433" t="n">
        <x:v>656</x:v>
      </x:c>
      <x:c r="G433" t="str">
        <x:v>39fe45d1c24a14d1d9a213b99d30d0c7095ce3925ab156245de4aa132012b1e6</x:v>
      </x:c>
    </x:row>
    <x:row r="434">
      <x:c r="A434" t="str">
        <x:v>2888fe4180c1</x:v>
      </x:c>
      <x:c r="B434" t="str">
        <x:v>Equipment</x:v>
      </x:c>
      <x:c r="C434" t="str">
        <x:v>Texture</x:v>
      </x:c>
      <x:c r="D434" t="str">
        <x:v>TextureVariants/equipment_heavy_helmet_t01_base_rarity_variants.txt</x:v>
      </x:c>
      <x:c r="E434" t="n">
        <x:v>4666</x:v>
      </x:c>
      <x:c r="F434" t="n">
        <x:v>663</x:v>
      </x:c>
      <x:c r="G434" t="str">
        <x:v>2b37db1b936c2d042018b27386f09e96399fb6197488ffc7f21536d99f6ae4dd</x:v>
      </x:c>
    </x:row>
    <x:row r="435">
      <x:c r="A435" t="str">
        <x:v>4a18acaeb5d7</x:v>
      </x:c>
      <x:c r="B435" t="str">
        <x:v>Equipment</x:v>
      </x:c>
      <x:c r="C435" t="str">
        <x:v>Texture</x:v>
      </x:c>
      <x:c r="D435" t="str">
        <x:v>TextureVariants/equipment_heavy_helmet_t02_base_rarity_variants.txt</x:v>
      </x:c>
      <x:c r="E435" t="n">
        <x:v>4728</x:v>
      </x:c>
      <x:c r="F435" t="n">
        <x:v>649</x:v>
      </x:c>
      <x:c r="G435" t="str">
        <x:v>178720b3a3ed8e8707d4f169d7aebde2d719166bc1c8f61ca6feb532e94e035c</x:v>
      </x:c>
    </x:row>
    <x:row r="436">
      <x:c r="A436" t="str">
        <x:v>67405bd57d41</x:v>
      </x:c>
      <x:c r="B436" t="str">
        <x:v>Equipment</x:v>
      </x:c>
      <x:c r="C436" t="str">
        <x:v>Texture</x:v>
      </x:c>
      <x:c r="D436" t="str">
        <x:v>TextureVariants/equipment_heavy_helmet_t03_base_rarity_variants.txt</x:v>
      </x:c>
      <x:c r="E436" t="n">
        <x:v>4754</x:v>
      </x:c>
      <x:c r="F436" t="n">
        <x:v>649</x:v>
      </x:c>
      <x:c r="G436" t="str">
        <x:v>9417b52f92cb101fe95e01b930d01c075610cd0c3bc1a92c22e2bc254faa5fc9</x:v>
      </x:c>
    </x:row>
    <x:row r="437">
      <x:c r="A437" t="str">
        <x:v>46aca016b116</x:v>
      </x:c>
      <x:c r="B437" t="str">
        <x:v>Equipment</x:v>
      </x:c>
      <x:c r="C437" t="str">
        <x:v>Texture</x:v>
      </x:c>
      <x:c r="D437" t="str">
        <x:v>TextureVariants/equipment_heavy_helmet_t04_base_rarity_variants.txt</x:v>
      </x:c>
      <x:c r="E437" t="n">
        <x:v>4553</x:v>
      </x:c>
      <x:c r="F437" t="n">
        <x:v>628</x:v>
      </x:c>
      <x:c r="G437" t="str">
        <x:v>8be2e74fddf798b741793f09a33134d9a01c7d86c1f3eae3fa6f3aa53ee95bf9</x:v>
      </x:c>
    </x:row>
    <x:row r="438">
      <x:c r="A438" t="str">
        <x:v>1f4f51b5b854</x:v>
      </x:c>
      <x:c r="B438" t="str">
        <x:v>Equipment</x:v>
      </x:c>
      <x:c r="C438" t="str">
        <x:v>Texture</x:v>
      </x:c>
      <x:c r="D438" t="str">
        <x:v>TextureVariants/equipment_heavy_helmet_t05_base_rarity_variants.txt</x:v>
      </x:c>
      <x:c r="E438" t="n">
        <x:v>4723</x:v>
      </x:c>
      <x:c r="F438" t="n">
        <x:v>649</x:v>
      </x:c>
      <x:c r="G438" t="str">
        <x:v>83e79143491600dba2bbb631bb414d4abfb43d46e177476e919fc0a8b55811f4</x:v>
      </x:c>
    </x:row>
    <x:row r="439">
      <x:c r="A439" t="str">
        <x:v>a95904f27c4c</x:v>
      </x:c>
      <x:c r="B439" t="str">
        <x:v>Equipment</x:v>
      </x:c>
      <x:c r="C439" t="str">
        <x:v>Texture</x:v>
      </x:c>
      <x:c r="D439" t="str">
        <x:v>TextureVariants/equipment_heavy_helmet_t06_base_rarity_variants.txt</x:v>
      </x:c>
      <x:c r="E439" t="n">
        <x:v>4743</x:v>
      </x:c>
      <x:c r="F439" t="n">
        <x:v>649</x:v>
      </x:c>
      <x:c r="G439" t="str">
        <x:v>658d1b25018336e5d6321dd1ec003bbef44a5c76b4513c054e3947a005198599</x:v>
      </x:c>
    </x:row>
    <x:row r="440">
      <x:c r="A440" t="str">
        <x:v>62b5d9ae7e65</x:v>
      </x:c>
      <x:c r="B440" t="str">
        <x:v>Equipment</x:v>
      </x:c>
      <x:c r="C440" t="str">
        <x:v>Texture</x:v>
      </x:c>
      <x:c r="D440" t="str">
        <x:v>TextureVariants/equipment_heavy_helmet_t07_base_rarity_variants.txt</x:v>
      </x:c>
      <x:c r="E440" t="n">
        <x:v>4671</x:v>
      </x:c>
      <x:c r="F440" t="n">
        <x:v>656</x:v>
      </x:c>
      <x:c r="G440" t="str">
        <x:v>bf49d461cf2648083a4b2ed82d138ac32ec7c9aa89006af8c1845560a377ebea</x:v>
      </x:c>
    </x:row>
    <x:row r="441">
      <x:c r="A441" t="str">
        <x:v>b4e4043e1cd5</x:v>
      </x:c>
      <x:c r="B441" t="str">
        <x:v>Equipment</x:v>
      </x:c>
      <x:c r="C441" t="str">
        <x:v>Texture</x:v>
      </x:c>
      <x:c r="D441" t="str">
        <x:v>TextureVariants/equipment_heavy_helmet_t08_base_rarity_variants.txt</x:v>
      </x:c>
      <x:c r="E441" t="n">
        <x:v>4611</x:v>
      </x:c>
      <x:c r="F441" t="n">
        <x:v>642</x:v>
      </x:c>
      <x:c r="G441" t="str">
        <x:v>b43edcf8c46d4deec9cdb5d8c0444b4b101af3a1f55dfb6f6564953e264c9698</x:v>
      </x:c>
    </x:row>
    <x:row r="442">
      <x:c r="A442" t="str">
        <x:v>05a9ed5d57b0</x:v>
      </x:c>
      <x:c r="B442" t="str">
        <x:v>Equipment</x:v>
      </x:c>
      <x:c r="C442" t="str">
        <x:v>Texture</x:v>
      </x:c>
      <x:c r="D442" t="str">
        <x:v>TextureVariants/equipment_heavy_helmet_t09_base_rarity_variants.txt</x:v>
      </x:c>
      <x:c r="E442" t="n">
        <x:v>4715</x:v>
      </x:c>
      <x:c r="F442" t="n">
        <x:v>656</x:v>
      </x:c>
      <x:c r="G442" t="str">
        <x:v>927040c63ec488a95ede035a457f06ee48f94a0bb48d04f4325cdb752818bb1a</x:v>
      </x:c>
    </x:row>
    <x:row r="443">
      <x:c r="A443" t="str">
        <x:v>008d58a3e670</x:v>
      </x:c>
      <x:c r="B443" t="str">
        <x:v>Equipment</x:v>
      </x:c>
      <x:c r="C443" t="str">
        <x:v>Texture</x:v>
      </x:c>
      <x:c r="D443" t="str">
        <x:v>TextureVariants/equipment_light_boots_t01_base_rarity_variants.txt</x:v>
      </x:c>
      <x:c r="E443" t="n">
        <x:v>4629</x:v>
      </x:c>
      <x:c r="F443" t="n">
        <x:v>656</x:v>
      </x:c>
      <x:c r="G443" t="str">
        <x:v>1768323e30b3b754cab04ab494302ac6a5102951a81e1bffd1a8715cd32bb9b4</x:v>
      </x:c>
    </x:row>
    <x:row r="444">
      <x:c r="A444" t="str">
        <x:v>0cadd88ff9e3</x:v>
      </x:c>
      <x:c r="B444" t="str">
        <x:v>Equipment</x:v>
      </x:c>
      <x:c r="C444" t="str">
        <x:v>Texture</x:v>
      </x:c>
      <x:c r="D444" t="str">
        <x:v>TextureVariants/equipment_light_boots_t02_base_rarity_variants.txt</x:v>
      </x:c>
      <x:c r="E444" t="n">
        <x:v>4705</x:v>
      </x:c>
      <x:c r="F444" t="n">
        <x:v>649</x:v>
      </x:c>
      <x:c r="G444" t="str">
        <x:v>64630d02fa1a3e4e583607676accf3d173ff4efde4cebbf15d52fe51c019e63c</x:v>
      </x:c>
    </x:row>
    <x:row r="445">
      <x:c r="A445" t="str">
        <x:v>cb232db67190</x:v>
      </x:c>
      <x:c r="B445" t="str">
        <x:v>Equipment</x:v>
      </x:c>
      <x:c r="C445" t="str">
        <x:v>Texture</x:v>
      </x:c>
      <x:c r="D445" t="str">
        <x:v>TextureVariants/equipment_light_boots_t03_base_rarity_variants.txt</x:v>
      </x:c>
      <x:c r="E445" t="n">
        <x:v>4654</x:v>
      </x:c>
      <x:c r="F445" t="n">
        <x:v>642</x:v>
      </x:c>
      <x:c r="G445" t="str">
        <x:v>76f17196c66c28c4466efe8ae871e8609f36f3001834f34722112e375bf1952d</x:v>
      </x:c>
    </x:row>
    <x:row r="446">
      <x:c r="A446" t="str">
        <x:v>2751ba437513</x:v>
      </x:c>
      <x:c r="B446" t="str">
        <x:v>Equipment</x:v>
      </x:c>
      <x:c r="C446" t="str">
        <x:v>Texture</x:v>
      </x:c>
      <x:c r="D446" t="str">
        <x:v>TextureVariants/equipment_light_boots_t04_base_rarity_variants.txt</x:v>
      </x:c>
      <x:c r="E446" t="n">
        <x:v>4432</x:v>
      </x:c>
      <x:c r="F446" t="n">
        <x:v>607</x:v>
      </x:c>
      <x:c r="G446" t="str">
        <x:v>1519cd15a4554f5ef6173ddf185dfaa11ad3083ce0b0d0d560e25dc5e82f31fc</x:v>
      </x:c>
    </x:row>
    <x:row r="447">
      <x:c r="A447" t="str">
        <x:v>effbc2e0e717</x:v>
      </x:c>
      <x:c r="B447" t="str">
        <x:v>Equipment</x:v>
      </x:c>
      <x:c r="C447" t="str">
        <x:v>Texture</x:v>
      </x:c>
      <x:c r="D447" t="str">
        <x:v>TextureVariants/equipment_light_boots_t05_base_rarity_variants.txt</x:v>
      </x:c>
      <x:c r="E447" t="n">
        <x:v>4609</x:v>
      </x:c>
      <x:c r="F447" t="n">
        <x:v>635</x:v>
      </x:c>
      <x:c r="G447" t="str">
        <x:v>84e23d87b0fb8c0682885c73a22f101fd1757dc615eed309f261871a796f0cdd</x:v>
      </x:c>
    </x:row>
    <x:row r="448">
      <x:c r="A448" t="str">
        <x:v>69c59915d75d</x:v>
      </x:c>
      <x:c r="B448" t="str">
        <x:v>Equipment</x:v>
      </x:c>
      <x:c r="C448" t="str">
        <x:v>Texture</x:v>
      </x:c>
      <x:c r="D448" t="str">
        <x:v>TextureVariants/equipment_light_boots_t06_base_rarity_variants.txt</x:v>
      </x:c>
      <x:c r="E448" t="n">
        <x:v>4601</x:v>
      </x:c>
      <x:c r="F448" t="n">
        <x:v>635</x:v>
      </x:c>
      <x:c r="G448" t="str">
        <x:v>3b543b437132e7300a278eba94d7e68a63359dcc71e105d14d4a0a26773c264e</x:v>
      </x:c>
    </x:row>
    <x:row r="449">
      <x:c r="A449" t="str">
        <x:v>695c47e82fea</x:v>
      </x:c>
      <x:c r="B449" t="str">
        <x:v>Equipment</x:v>
      </x:c>
      <x:c r="C449" t="str">
        <x:v>Texture</x:v>
      </x:c>
      <x:c r="D449" t="str">
        <x:v>TextureVariants/equipment_light_boots_t07_base_rarity_variants.txt</x:v>
      </x:c>
      <x:c r="E449" t="n">
        <x:v>4557</x:v>
      </x:c>
      <x:c r="F449" t="n">
        <x:v>642</x:v>
      </x:c>
      <x:c r="G449" t="str">
        <x:v>60de2cc11b6c55003d7d005199c33ac203c591fe973785024e5d779766c84741</x:v>
      </x:c>
    </x:row>
    <x:row r="450">
      <x:c r="A450" t="str">
        <x:v>fd2ec7bfb6c2</x:v>
      </x:c>
      <x:c r="B450" t="str">
        <x:v>Equipment</x:v>
      </x:c>
      <x:c r="C450" t="str">
        <x:v>Texture</x:v>
      </x:c>
      <x:c r="D450" t="str">
        <x:v>TextureVariants/equipment_light_boots_t08_base_rarity_variants.txt</x:v>
      </x:c>
      <x:c r="E450" t="n">
        <x:v>4511</x:v>
      </x:c>
      <x:c r="F450" t="n">
        <x:v>628</x:v>
      </x:c>
      <x:c r="G450" t="str">
        <x:v>1cb74b93bc9e61bca8c4e237d784c21db958c799826319617896036ab469e230</x:v>
      </x:c>
    </x:row>
    <x:row r="451">
      <x:c r="A451" t="str">
        <x:v>267922e19850</x:v>
      </x:c>
      <x:c r="B451" t="str">
        <x:v>Equipment</x:v>
      </x:c>
      <x:c r="C451" t="str">
        <x:v>Texture</x:v>
      </x:c>
      <x:c r="D451" t="str">
        <x:v>TextureVariants/equipment_light_boots_t09_base_rarity_variants.txt</x:v>
      </x:c>
      <x:c r="E451" t="n">
        <x:v>4573</x:v>
      </x:c>
      <x:c r="F451" t="n">
        <x:v>635</x:v>
      </x:c>
      <x:c r="G451" t="str">
        <x:v>11cd6c39a9678b50da9117f42ff39c4538304d589223c6c7fa4506cc06c4faad</x:v>
      </x:c>
    </x:row>
    <x:row r="452">
      <x:c r="A452" t="str">
        <x:v>2c9ab6ffd1d5</x:v>
      </x:c>
      <x:c r="B452" t="str">
        <x:v>Equipment</x:v>
      </x:c>
      <x:c r="C452" t="str">
        <x:v>Texture</x:v>
      </x:c>
      <x:c r="D452" t="str">
        <x:v>TextureVariants/equipment_light_chest_t01_base_rarity_variants.txt</x:v>
      </x:c>
      <x:c r="E452" t="n">
        <x:v>4635</x:v>
      </x:c>
      <x:c r="F452" t="n">
        <x:v>657</x:v>
      </x:c>
      <x:c r="G452" t="str">
        <x:v>53ea0151374048206c4ab457d8eb3f55ec872af64e616566435dabce28710c3e</x:v>
      </x:c>
    </x:row>
    <x:row r="453">
      <x:c r="A453" t="str">
        <x:v>193d315e96d0</x:v>
      </x:c>
      <x:c r="B453" t="str">
        <x:v>Equipment</x:v>
      </x:c>
      <x:c r="C453" t="str">
        <x:v>Texture</x:v>
      </x:c>
      <x:c r="D453" t="str">
        <x:v>TextureVariants/equipment_light_chest_t02_base_rarity_variants.txt</x:v>
      </x:c>
      <x:c r="E453" t="n">
        <x:v>4711</x:v>
      </x:c>
      <x:c r="F453" t="n">
        <x:v>650</x:v>
      </x:c>
      <x:c r="G453" t="str">
        <x:v>f921f6e5a3cf4d424d61da53813aae9ed8c08b67b4a4ac3605dcd612d8ee6f42</x:v>
      </x:c>
    </x:row>
    <x:row r="454">
      <x:c r="A454" t="str">
        <x:v>418f2ba63a6c</x:v>
      </x:c>
      <x:c r="B454" t="str">
        <x:v>Equipment</x:v>
      </x:c>
      <x:c r="C454" t="str">
        <x:v>Texture</x:v>
      </x:c>
      <x:c r="D454" t="str">
        <x:v>TextureVariants/equipment_light_chest_t03_base_rarity_variants.txt</x:v>
      </x:c>
      <x:c r="E454" t="n">
        <x:v>4660</x:v>
      </x:c>
      <x:c r="F454" t="n">
        <x:v>643</x:v>
      </x:c>
      <x:c r="G454" t="str">
        <x:v>19277e5bff784961733b8e700850db80e57b977aeeda6152d9a7307b97ca5f05</x:v>
      </x:c>
    </x:row>
    <x:row r="455">
      <x:c r="A455" t="str">
        <x:v>7d8cc4c49503</x:v>
      </x:c>
      <x:c r="B455" t="str">
        <x:v>Equipment</x:v>
      </x:c>
      <x:c r="C455" t="str">
        <x:v>Texture</x:v>
      </x:c>
      <x:c r="D455" t="str">
        <x:v>TextureVariants/equipment_light_chest_t04_base_rarity_variants.txt</x:v>
      </x:c>
      <x:c r="E455" t="n">
        <x:v>4438</x:v>
      </x:c>
      <x:c r="F455" t="n">
        <x:v>608</x:v>
      </x:c>
      <x:c r="G455" t="str">
        <x:v>b082f0d7f755fa18d32a9987cb6b53e2a97540cc0a018c08afd1a2c36f73acc3</x:v>
      </x:c>
    </x:row>
    <x:row r="456">
      <x:c r="A456" t="str">
        <x:v>90b8fc4cb14c</x:v>
      </x:c>
      <x:c r="B456" t="str">
        <x:v>Equipment</x:v>
      </x:c>
      <x:c r="C456" t="str">
        <x:v>Texture</x:v>
      </x:c>
      <x:c r="D456" t="str">
        <x:v>TextureVariants/equipment_light_chest_t05_base_rarity_variants.txt</x:v>
      </x:c>
      <x:c r="E456" t="n">
        <x:v>4615</x:v>
      </x:c>
      <x:c r="F456" t="n">
        <x:v>636</x:v>
      </x:c>
      <x:c r="G456" t="str">
        <x:v>f0cd021e0cdb8aa5d78a0ca1cc284badb31302bf45fece0efd721552e04ddfe0</x:v>
      </x:c>
    </x:row>
    <x:row r="457">
      <x:c r="A457" t="str">
        <x:v>7575e0f51004</x:v>
      </x:c>
      <x:c r="B457" t="str">
        <x:v>Equipment</x:v>
      </x:c>
      <x:c r="C457" t="str">
        <x:v>Texture</x:v>
      </x:c>
      <x:c r="D457" t="str">
        <x:v>TextureVariants/equipment_light_chest_t06_base_rarity_variants.txt</x:v>
      </x:c>
      <x:c r="E457" t="n">
        <x:v>4607</x:v>
      </x:c>
      <x:c r="F457" t="n">
        <x:v>636</x:v>
      </x:c>
      <x:c r="G457" t="str">
        <x:v>e74ed799eb4226a13614be196c491b0631666178490f12fe070fe7a7f4733696</x:v>
      </x:c>
    </x:row>
    <x:row r="458">
      <x:c r="A458" t="str">
        <x:v>b70125504726</x:v>
      </x:c>
      <x:c r="B458" t="str">
        <x:v>Equipment</x:v>
      </x:c>
      <x:c r="C458" t="str">
        <x:v>Texture</x:v>
      </x:c>
      <x:c r="D458" t="str">
        <x:v>TextureVariants/equipment_light_chest_t07_base_rarity_variants.txt</x:v>
      </x:c>
      <x:c r="E458" t="n">
        <x:v>4563</x:v>
      </x:c>
      <x:c r="F458" t="n">
        <x:v>643</x:v>
      </x:c>
      <x:c r="G458" t="str">
        <x:v>f43b6037f876c3535b030bba8bbc3fdf98e6c2cf4a8efd89b2138a6c1e23061b</x:v>
      </x:c>
    </x:row>
    <x:row r="459">
      <x:c r="A459" t="str">
        <x:v>9f79027d8572</x:v>
      </x:c>
      <x:c r="B459" t="str">
        <x:v>Equipment</x:v>
      </x:c>
      <x:c r="C459" t="str">
        <x:v>Texture</x:v>
      </x:c>
      <x:c r="D459" t="str">
        <x:v>TextureVariants/equipment_light_chest_t08_base_rarity_variants.txt</x:v>
      </x:c>
      <x:c r="E459" t="n">
        <x:v>4517</x:v>
      </x:c>
      <x:c r="F459" t="n">
        <x:v>629</x:v>
      </x:c>
      <x:c r="G459" t="str">
        <x:v>9e9b7abde723787d0b45554b62f3971b78b3044a1b9ee9a16389380d46211fe3</x:v>
      </x:c>
    </x:row>
    <x:row r="460">
      <x:c r="A460" t="str">
        <x:v>38f1dc4520b3</x:v>
      </x:c>
      <x:c r="B460" t="str">
        <x:v>Equipment</x:v>
      </x:c>
      <x:c r="C460" t="str">
        <x:v>Texture</x:v>
      </x:c>
      <x:c r="D460" t="str">
        <x:v>TextureVariants/equipment_light_chest_t09_base_rarity_variants.txt</x:v>
      </x:c>
      <x:c r="E460" t="n">
        <x:v>4579</x:v>
      </x:c>
      <x:c r="F460" t="n">
        <x:v>636</x:v>
      </x:c>
      <x:c r="G460" t="str">
        <x:v>03fa358ddab1dc6ab029c81949629c64f09e19f5eb7b59dff728c698fad6cc50</x:v>
      </x:c>
    </x:row>
    <x:row r="461">
      <x:c r="A461" t="str">
        <x:v>e586f792e70f</x:v>
      </x:c>
      <x:c r="B461" t="str">
        <x:v>Equipment</x:v>
      </x:c>
      <x:c r="C461" t="str">
        <x:v>Texture</x:v>
      </x:c>
      <x:c r="D461" t="str">
        <x:v>TextureVariants/equipment_light_gloves_t01_base_rarity_variants.txt</x:v>
      </x:c>
      <x:c r="E461" t="n">
        <x:v>4631</x:v>
      </x:c>
      <x:c r="F461" t="n">
        <x:v>656</x:v>
      </x:c>
      <x:c r="G461" t="str">
        <x:v>d0cca86b04225c6f72b4e82dddfffbac64f9cc4ad927a007ed4457267c199150</x:v>
      </x:c>
    </x:row>
    <x:row r="462">
      <x:c r="A462" t="str">
        <x:v>c68cda4974b4</x:v>
      </x:c>
      <x:c r="B462" t="str">
        <x:v>Equipment</x:v>
      </x:c>
      <x:c r="C462" t="str">
        <x:v>Texture</x:v>
      </x:c>
      <x:c r="D462" t="str">
        <x:v>TextureVariants/equipment_light_gloves_t02_base_rarity_variants.txt</x:v>
      </x:c>
      <x:c r="E462" t="n">
        <x:v>4707</x:v>
      </x:c>
      <x:c r="F462" t="n">
        <x:v>649</x:v>
      </x:c>
      <x:c r="G462" t="str">
        <x:v>545b75ce621d8c45773a2f4a151e9ec33b6cadfbc73a22f6c367a5fb3b411539</x:v>
      </x:c>
    </x:row>
    <x:row r="463">
      <x:c r="A463" t="str">
        <x:v>20dc7c65281c</x:v>
      </x:c>
      <x:c r="B463" t="str">
        <x:v>Equipment</x:v>
      </x:c>
      <x:c r="C463" t="str">
        <x:v>Texture</x:v>
      </x:c>
      <x:c r="D463" t="str">
        <x:v>TextureVariants/equipment_light_gloves_t03_base_rarity_variants.txt</x:v>
      </x:c>
      <x:c r="E463" t="n">
        <x:v>4656</x:v>
      </x:c>
      <x:c r="F463" t="n">
        <x:v>642</x:v>
      </x:c>
      <x:c r="G463" t="str">
        <x:v>2b8a604e4c8671636c42863d2ee0aa3807e0cdc0c9916e84cc3b48bb7ea497b8</x:v>
      </x:c>
    </x:row>
    <x:row r="464">
      <x:c r="A464" t="str">
        <x:v>55966c546ca1</x:v>
      </x:c>
      <x:c r="B464" t="str">
        <x:v>Equipment</x:v>
      </x:c>
      <x:c r="C464" t="str">
        <x:v>Texture</x:v>
      </x:c>
      <x:c r="D464" t="str">
        <x:v>TextureVariants/equipment_light_gloves_t04_base_rarity_variants.txt</x:v>
      </x:c>
      <x:c r="E464" t="n">
        <x:v>4434</x:v>
      </x:c>
      <x:c r="F464" t="n">
        <x:v>607</x:v>
      </x:c>
      <x:c r="G464" t="str">
        <x:v>dc8c83cb78a3104696c67ceeac5e58d5092ca56d83583a9b10d1a52d4276d8e9</x:v>
      </x:c>
    </x:row>
    <x:row r="465">
      <x:c r="A465" t="str">
        <x:v>ad879726fe74</x:v>
      </x:c>
      <x:c r="B465" t="str">
        <x:v>Equipment</x:v>
      </x:c>
      <x:c r="C465" t="str">
        <x:v>Texture</x:v>
      </x:c>
      <x:c r="D465" t="str">
        <x:v>TextureVariants/equipment_light_gloves_t05_base_rarity_variants.txt</x:v>
      </x:c>
      <x:c r="E465" t="n">
        <x:v>4611</x:v>
      </x:c>
      <x:c r="F465" t="n">
        <x:v>635</x:v>
      </x:c>
      <x:c r="G465" t="str">
        <x:v>6003668b171513e1938635d1891e463de507d67c486249e1823892b10f96f4d4</x:v>
      </x:c>
    </x:row>
    <x:row r="466">
      <x:c r="A466" t="str">
        <x:v>576943fabd68</x:v>
      </x:c>
      <x:c r="B466" t="str">
        <x:v>Equipment</x:v>
      </x:c>
      <x:c r="C466" t="str">
        <x:v>Texture</x:v>
      </x:c>
      <x:c r="D466" t="str">
        <x:v>TextureVariants/equipment_light_gloves_t06_base_rarity_variants.txt</x:v>
      </x:c>
      <x:c r="E466" t="n">
        <x:v>4603</x:v>
      </x:c>
      <x:c r="F466" t="n">
        <x:v>635</x:v>
      </x:c>
      <x:c r="G466" t="str">
        <x:v>de5bd1f0fddd0ec6c031552a4f1ec05ac2e19f1bafde56ffa466fffa0eadfc03</x:v>
      </x:c>
    </x:row>
    <x:row r="467">
      <x:c r="A467" t="str">
        <x:v>bf248baca8c7</x:v>
      </x:c>
      <x:c r="B467" t="str">
        <x:v>Equipment</x:v>
      </x:c>
      <x:c r="C467" t="str">
        <x:v>Texture</x:v>
      </x:c>
      <x:c r="D467" t="str">
        <x:v>TextureVariants/equipment_light_gloves_t07_base_rarity_variants.txt</x:v>
      </x:c>
      <x:c r="E467" t="n">
        <x:v>4559</x:v>
      </x:c>
      <x:c r="F467" t="n">
        <x:v>642</x:v>
      </x:c>
      <x:c r="G467" t="str">
        <x:v>6bb5c6808c7ce1aca16901c5944e2365e760eeba36434c89d22b28006ec30260</x:v>
      </x:c>
    </x:row>
    <x:row r="468">
      <x:c r="A468" t="str">
        <x:v>88399b76e933</x:v>
      </x:c>
      <x:c r="B468" t="str">
        <x:v>Equipment</x:v>
      </x:c>
      <x:c r="C468" t="str">
        <x:v>Texture</x:v>
      </x:c>
      <x:c r="D468" t="str">
        <x:v>TextureVariants/equipment_light_gloves_t08_base_rarity_variants.txt</x:v>
      </x:c>
      <x:c r="E468" t="n">
        <x:v>4513</x:v>
      </x:c>
      <x:c r="F468" t="n">
        <x:v>628</x:v>
      </x:c>
      <x:c r="G468" t="str">
        <x:v>3261232ca15c81c5ca87f3703b4dc394c61865494869b0dd8140579bb04572f0</x:v>
      </x:c>
    </x:row>
    <x:row r="469">
      <x:c r="A469" t="str">
        <x:v>c2a37269964c</x:v>
      </x:c>
      <x:c r="B469" t="str">
        <x:v>Equipment</x:v>
      </x:c>
      <x:c r="C469" t="str">
        <x:v>Texture</x:v>
      </x:c>
      <x:c r="D469" t="str">
        <x:v>TextureVariants/equipment_light_gloves_t09_base_rarity_variants.txt</x:v>
      </x:c>
      <x:c r="E469" t="n">
        <x:v>4575</x:v>
      </x:c>
      <x:c r="F469" t="n">
        <x:v>635</x:v>
      </x:c>
      <x:c r="G469" t="str">
        <x:v>d8ffd5aef4d968496011daf495f0543359baaaca610eae9f74435a396eecaaf2</x:v>
      </x:c>
    </x:row>
    <x:row r="470">
      <x:c r="A470" t="str">
        <x:v>1b611b20b30f</x:v>
      </x:c>
      <x:c r="B470" t="str">
        <x:v>Equipment</x:v>
      </x:c>
      <x:c r="C470" t="str">
        <x:v>Texture</x:v>
      </x:c>
      <x:c r="D470" t="str">
        <x:v>TextureVariants/equipment_light_hood_t01_base_rarity_variants.txt</x:v>
      </x:c>
      <x:c r="E470" t="n">
        <x:v>4627</x:v>
      </x:c>
      <x:c r="F470" t="n">
        <x:v>656</x:v>
      </x:c>
      <x:c r="G470" t="str">
        <x:v>6975e0e904d280a0f38660ffb7d744f55f1729d6e2ea057634eb5a7caaace0d6</x:v>
      </x:c>
    </x:row>
    <x:row r="471">
      <x:c r="A471" t="str">
        <x:v>4855877a2a24</x:v>
      </x:c>
      <x:c r="B471" t="str">
        <x:v>Equipment</x:v>
      </x:c>
      <x:c r="C471" t="str">
        <x:v>Texture</x:v>
      </x:c>
      <x:c r="D471" t="str">
        <x:v>TextureVariants/equipment_light_hood_t02_base_rarity_variants.txt</x:v>
      </x:c>
      <x:c r="E471" t="n">
        <x:v>4703</x:v>
      </x:c>
      <x:c r="F471" t="n">
        <x:v>649</x:v>
      </x:c>
      <x:c r="G471" t="str">
        <x:v>61461c1bd8984408ce7693b0aa122233ac071c3607d14c67ee2925cba1c48419</x:v>
      </x:c>
    </x:row>
    <x:row r="472">
      <x:c r="A472" t="str">
        <x:v>96dd75522e9f</x:v>
      </x:c>
      <x:c r="B472" t="str">
        <x:v>Equipment</x:v>
      </x:c>
      <x:c r="C472" t="str">
        <x:v>Texture</x:v>
      </x:c>
      <x:c r="D472" t="str">
        <x:v>TextureVariants/equipment_light_hood_t03_base_rarity_variants.txt</x:v>
      </x:c>
      <x:c r="E472" t="n">
        <x:v>4652</x:v>
      </x:c>
      <x:c r="F472" t="n">
        <x:v>642</x:v>
      </x:c>
      <x:c r="G472" t="str">
        <x:v>419469292e6186eaec21c5f91f045a4b5b07e04c352c7a904c073c0d4c6530e2</x:v>
      </x:c>
    </x:row>
    <x:row r="473">
      <x:c r="A473" t="str">
        <x:v>ebd80e8c3f0c</x:v>
      </x:c>
      <x:c r="B473" t="str">
        <x:v>Equipment</x:v>
      </x:c>
      <x:c r="C473" t="str">
        <x:v>Texture</x:v>
      </x:c>
      <x:c r="D473" t="str">
        <x:v>TextureVariants/equipment_light_hood_t04_base_rarity_variants.txt</x:v>
      </x:c>
      <x:c r="E473" t="n">
        <x:v>4430</x:v>
      </x:c>
      <x:c r="F473" t="n">
        <x:v>607</x:v>
      </x:c>
      <x:c r="G473" t="str">
        <x:v>8f90c3d4137e657301d8ecd37582191fa40db6d07cd44315268b8111d7896a92</x:v>
      </x:c>
    </x:row>
    <x:row r="474">
      <x:c r="A474" t="str">
        <x:v>7c71856622d5</x:v>
      </x:c>
      <x:c r="B474" t="str">
        <x:v>Equipment</x:v>
      </x:c>
      <x:c r="C474" t="str">
        <x:v>Texture</x:v>
      </x:c>
      <x:c r="D474" t="str">
        <x:v>TextureVariants/equipment_light_hood_t05_base_rarity_variants.txt</x:v>
      </x:c>
      <x:c r="E474" t="n">
        <x:v>4607</x:v>
      </x:c>
      <x:c r="F474" t="n">
        <x:v>635</x:v>
      </x:c>
      <x:c r="G474" t="str">
        <x:v>e8b2b9498c64fcbd347450563e46686075e94908195ccf16dd33b878c6efee5b</x:v>
      </x:c>
    </x:row>
    <x:row r="475">
      <x:c r="A475" t="str">
        <x:v>e218ee00d920</x:v>
      </x:c>
      <x:c r="B475" t="str">
        <x:v>Equipment</x:v>
      </x:c>
      <x:c r="C475" t="str">
        <x:v>Texture</x:v>
      </x:c>
      <x:c r="D475" t="str">
        <x:v>TextureVariants/equipment_light_hood_t06_base_rarity_variants.txt</x:v>
      </x:c>
      <x:c r="E475" t="n">
        <x:v>4599</x:v>
      </x:c>
      <x:c r="F475" t="n">
        <x:v>635</x:v>
      </x:c>
      <x:c r="G475" t="str">
        <x:v>b3f14116ae98342f18f4a38d5e5be01070c823404ac0312de7b8aea6501f977d</x:v>
      </x:c>
    </x:row>
    <x:row r="476">
      <x:c r="A476" t="str">
        <x:v>d8e105628439</x:v>
      </x:c>
      <x:c r="B476" t="str">
        <x:v>Equipment</x:v>
      </x:c>
      <x:c r="C476" t="str">
        <x:v>Texture</x:v>
      </x:c>
      <x:c r="D476" t="str">
        <x:v>TextureVariants/equipment_light_hood_t07_base_rarity_variants.txt</x:v>
      </x:c>
      <x:c r="E476" t="n">
        <x:v>4555</x:v>
      </x:c>
      <x:c r="F476" t="n">
        <x:v>642</x:v>
      </x:c>
      <x:c r="G476" t="str">
        <x:v>bf95da59557c04ffa3f92246bef5b4d454c9c3b418e306e245906411e4e718f7</x:v>
      </x:c>
    </x:row>
    <x:row r="477">
      <x:c r="A477" t="str">
        <x:v>e46728dec864</x:v>
      </x:c>
      <x:c r="B477" t="str">
        <x:v>Equipment</x:v>
      </x:c>
      <x:c r="C477" t="str">
        <x:v>Texture</x:v>
      </x:c>
      <x:c r="D477" t="str">
        <x:v>TextureVariants/equipment_light_hood_t08_base_rarity_variants.txt</x:v>
      </x:c>
      <x:c r="E477" t="n">
        <x:v>4509</x:v>
      </x:c>
      <x:c r="F477" t="n">
        <x:v>628</x:v>
      </x:c>
      <x:c r="G477" t="str">
        <x:v>4aeb9169951602355ef06e6ee8c3ab421c681ffe650548a1fc5eb7542f7dd77f</x:v>
      </x:c>
    </x:row>
    <x:row r="478">
      <x:c r="A478" t="str">
        <x:v>b0e9f202a19a</x:v>
      </x:c>
      <x:c r="B478" t="str">
        <x:v>Equipment</x:v>
      </x:c>
      <x:c r="C478" t="str">
        <x:v>Texture</x:v>
      </x:c>
      <x:c r="D478" t="str">
        <x:v>TextureVariants/equipment_light_hood_t09_base_rarity_variants.txt</x:v>
      </x:c>
      <x:c r="E478" t="n">
        <x:v>4571</x:v>
      </x:c>
      <x:c r="F478" t="n">
        <x:v>635</x:v>
      </x:c>
      <x:c r="G478" t="str">
        <x:v>72172713772f05dabeb02df577bfb350ceecaf0056f265f6d7e01daa5cf59405</x:v>
      </x:c>
    </x:row>
    <x:row r="479">
      <x:c r="A479" t="str">
        <x:v>ca8894dd4b0c</x:v>
      </x:c>
      <x:c r="B479" t="str">
        <x:v>Equipment</x:v>
      </x:c>
      <x:c r="C479" t="str">
        <x:v>Texture</x:v>
      </x:c>
      <x:c r="D479" t="str">
        <x:v>TextureVariants/equipment_longbow_t01_base_rarity_variants.txt</x:v>
      </x:c>
      <x:c r="E479" t="n">
        <x:v>4565</x:v>
      </x:c>
      <x:c r="F479" t="n">
        <x:v>641</x:v>
      </x:c>
      <x:c r="G479" t="str">
        <x:v>89fd5acec23dd9f82baf453935c6d6822016ec3299de2d75b1b6e7d0fec47c03</x:v>
      </x:c>
    </x:row>
    <x:row r="480">
      <x:c r="A480" t="str">
        <x:v>a79cf2ec23d9</x:v>
      </x:c>
      <x:c r="B480" t="str">
        <x:v>Equipment</x:v>
      </x:c>
      <x:c r="C480" t="str">
        <x:v>Texture</x:v>
      </x:c>
      <x:c r="D480" t="str">
        <x:v>TextureVariants/equipment_longbow_t02_base_rarity_variants.txt</x:v>
      </x:c>
      <x:c r="E480" t="n">
        <x:v>4557</x:v>
      </x:c>
      <x:c r="F480" t="n">
        <x:v>634</x:v>
      </x:c>
      <x:c r="G480" t="str">
        <x:v>6ad79dbf1e7df7418abe01ca2fd9981c81c2b3ebca4ceb972008a0bebb99fca0</x:v>
      </x:c>
    </x:row>
    <x:row r="481">
      <x:c r="A481" t="str">
        <x:v>fe281e6956f2</x:v>
      </x:c>
      <x:c r="B481" t="str">
        <x:v>Equipment</x:v>
      </x:c>
      <x:c r="C481" t="str">
        <x:v>Texture</x:v>
      </x:c>
      <x:c r="D481" t="str">
        <x:v>TextureVariants/equipment_longbow_t03_base_rarity_variants.txt</x:v>
      </x:c>
      <x:c r="E481" t="n">
        <x:v>4667</x:v>
      </x:c>
      <x:c r="F481" t="n">
        <x:v>634</x:v>
      </x:c>
      <x:c r="G481" t="str">
        <x:v>509f51c46002136222f02af1b63bbd8453366e657e6e0074eb4a15cc502404ae</x:v>
      </x:c>
    </x:row>
    <x:row r="482">
      <x:c r="A482" t="str">
        <x:v>dfb304b246ab</x:v>
      </x:c>
      <x:c r="B482" t="str">
        <x:v>Equipment</x:v>
      </x:c>
      <x:c r="C482" t="str">
        <x:v>Texture</x:v>
      </x:c>
      <x:c r="D482" t="str">
        <x:v>TextureVariants/equipment_longbow_t04_base_rarity_variants.txt</x:v>
      </x:c>
      <x:c r="E482" t="n">
        <x:v>4480</x:v>
      </x:c>
      <x:c r="F482" t="n">
        <x:v>620</x:v>
      </x:c>
      <x:c r="G482" t="str">
        <x:v>832be42852c44f8deb28996a9f05b9817e411353921fd69a97c58aeca13b6ef7</x:v>
      </x:c>
    </x:row>
    <x:row r="483">
      <x:c r="A483" t="str">
        <x:v>9b4abbcf1186</x:v>
      </x:c>
      <x:c r="B483" t="str">
        <x:v>Equipment</x:v>
      </x:c>
      <x:c r="C483" t="str">
        <x:v>Texture</x:v>
      </x:c>
      <x:c r="D483" t="str">
        <x:v>TextureVariants/equipment_longbow_t05_base_rarity_variants.txt</x:v>
      </x:c>
      <x:c r="E483" t="n">
        <x:v>4650</x:v>
      </x:c>
      <x:c r="F483" t="n">
        <x:v>641</x:v>
      </x:c>
      <x:c r="G483" t="str">
        <x:v>85bcf8de1b983e7c75073a8229db6d936359a9c6c46682d7499dc4015161e627</x:v>
      </x:c>
    </x:row>
    <x:row r="484">
      <x:c r="A484" t="str">
        <x:v>31511d8377e0</x:v>
      </x:c>
      <x:c r="B484" t="str">
        <x:v>Equipment</x:v>
      </x:c>
      <x:c r="C484" t="str">
        <x:v>Texture</x:v>
      </x:c>
      <x:c r="D484" t="str">
        <x:v>TextureVariants/equipment_longbow_t06_base_rarity_variants.txt</x:v>
      </x:c>
      <x:c r="E484" t="n">
        <x:v>4789</x:v>
      </x:c>
      <x:c r="F484" t="n">
        <x:v>662</x:v>
      </x:c>
      <x:c r="G484" t="str">
        <x:v>cda44df07ae30279067380b5fe6f2f6f55dde9ef9647ad5d0572baf1943818be</x:v>
      </x:c>
    </x:row>
    <x:row r="485">
      <x:c r="A485" t="str">
        <x:v>e792023e01be</x:v>
      </x:c>
      <x:c r="B485" t="str">
        <x:v>Equipment</x:v>
      </x:c>
      <x:c r="C485" t="str">
        <x:v>Texture</x:v>
      </x:c>
      <x:c r="D485" t="str">
        <x:v>TextureVariants/equipment_longbow_t07_base_rarity_variants.txt</x:v>
      </x:c>
      <x:c r="E485" t="n">
        <x:v>4528</x:v>
      </x:c>
      <x:c r="F485" t="n">
        <x:v>634</x:v>
      </x:c>
      <x:c r="G485" t="str">
        <x:v>f272a525703b00823198e6fce5b24ba2c053de80418b93bcecd40478560f7034</x:v>
      </x:c>
    </x:row>
    <x:row r="486">
      <x:c r="A486" t="str">
        <x:v>1f7425931c75</x:v>
      </x:c>
      <x:c r="B486" t="str">
        <x:v>Equipment</x:v>
      </x:c>
      <x:c r="C486" t="str">
        <x:v>Texture</x:v>
      </x:c>
      <x:c r="D486" t="str">
        <x:v>TextureVariants/equipment_longbow_t08_base_rarity_variants.txt</x:v>
      </x:c>
      <x:c r="E486" t="n">
        <x:v>4601</x:v>
      </x:c>
      <x:c r="F486" t="n">
        <x:v>634</x:v>
      </x:c>
      <x:c r="G486" t="str">
        <x:v>e41a3eb55807285e90888ae5b1b2287d3262acb9a35d5b11909a4c346bc4319a</x:v>
      </x:c>
    </x:row>
    <x:row r="487">
      <x:c r="A487" t="str">
        <x:v>636be6eb05a1</x:v>
      </x:c>
      <x:c r="B487" t="str">
        <x:v>Equipment</x:v>
      </x:c>
      <x:c r="C487" t="str">
        <x:v>Texture</x:v>
      </x:c>
      <x:c r="D487" t="str">
        <x:v>TextureVariants/equipment_longbow_t09_base_rarity_variants.txt</x:v>
      </x:c>
      <x:c r="E487" t="n">
        <x:v>4670</x:v>
      </x:c>
      <x:c r="F487" t="n">
        <x:v>641</x:v>
      </x:c>
      <x:c r="G487" t="str">
        <x:v>a8a0e0dd15918f6c4e4c3b89596f83ded648c8748af0376560da7a03dd13a838</x:v>
      </x:c>
    </x:row>
    <x:row r="488">
      <x:c r="A488" t="str">
        <x:v>422fde4dc231</x:v>
      </x:c>
      <x:c r="B488" t="str">
        <x:v>Equipment</x:v>
      </x:c>
      <x:c r="C488" t="str">
        <x:v>Texture</x:v>
      </x:c>
      <x:c r="D488" t="str">
        <x:v>TextureVariants/equipment_ring_t01_base_rarity_variants.txt</x:v>
      </x:c>
      <x:c r="E488" t="n">
        <x:v>4524</x:v>
      </x:c>
      <x:c r="F488" t="n">
        <x:v>641</x:v>
      </x:c>
      <x:c r="G488" t="str">
        <x:v>e07ebff09186e44bb23bddf3d079eac79ab540bfb568dfb45b0ddc21cf7651e8</x:v>
      </x:c>
    </x:row>
    <x:row r="489">
      <x:c r="A489" t="str">
        <x:v>6516d8fcbe4e</x:v>
      </x:c>
      <x:c r="B489" t="str">
        <x:v>Equipment</x:v>
      </x:c>
      <x:c r="C489" t="str">
        <x:v>Texture</x:v>
      </x:c>
      <x:c r="D489" t="str">
        <x:v>TextureVariants/equipment_ring_t02_base_rarity_variants.txt</x:v>
      </x:c>
      <x:c r="E489" t="n">
        <x:v>4593</x:v>
      </x:c>
      <x:c r="F489" t="n">
        <x:v>634</x:v>
      </x:c>
      <x:c r="G489" t="str">
        <x:v>e57c51b0e5d2f692a72d3fe4a14b4e9f1d7d407c5f39a9c25ab4d976fbc0f0fb</x:v>
      </x:c>
    </x:row>
    <x:row r="490">
      <x:c r="A490" t="str">
        <x:v>0040f4392bde</x:v>
      </x:c>
      <x:c r="B490" t="str">
        <x:v>Equipment</x:v>
      </x:c>
      <x:c r="C490" t="str">
        <x:v>Texture</x:v>
      </x:c>
      <x:c r="D490" t="str">
        <x:v>TextureVariants/equipment_ring_t03_base_rarity_variants.txt</x:v>
      </x:c>
      <x:c r="E490" t="n">
        <x:v>4598</x:v>
      </x:c>
      <x:c r="F490" t="n">
        <x:v>634</x:v>
      </x:c>
      <x:c r="G490" t="str">
        <x:v>2b1d82226f2816a92091f80e376267f5ff91f51b6ddf8b3152cef2ee953e74e8</x:v>
      </x:c>
    </x:row>
    <x:row r="491">
      <x:c r="A491" t="str">
        <x:v>28af0613e469</x:v>
      </x:c>
      <x:c r="B491" t="str">
        <x:v>Equipment</x:v>
      </x:c>
      <x:c r="C491" t="str">
        <x:v>Texture</x:v>
      </x:c>
      <x:c r="D491" t="str">
        <x:v>TextureVariants/equipment_ring_t04_base_rarity_variants.txt</x:v>
      </x:c>
      <x:c r="E491" t="n">
        <x:v>4397</x:v>
      </x:c>
      <x:c r="F491" t="n">
        <x:v>613</x:v>
      </x:c>
      <x:c r="G491" t="str">
        <x:v>cb4bea1e97c9bedff23e329fc69ddeada19fe8b057d7ade755455ea9bb16870a</x:v>
      </x:c>
    </x:row>
    <x:row r="492">
      <x:c r="A492" t="str">
        <x:v>bbcda32d4571</x:v>
      </x:c>
      <x:c r="B492" t="str">
        <x:v>Equipment</x:v>
      </x:c>
      <x:c r="C492" t="str">
        <x:v>Texture</x:v>
      </x:c>
      <x:c r="D492" t="str">
        <x:v>TextureVariants/equipment_ring_t05_base_rarity_variants.txt</x:v>
      </x:c>
      <x:c r="E492" t="n">
        <x:v>4595</x:v>
      </x:c>
      <x:c r="F492" t="n">
        <x:v>634</x:v>
      </x:c>
      <x:c r="G492" t="str">
        <x:v>c2e70de9fb7d95e610b11e371e480de7ad22b965de910b177bd1c8dc8ec285db</x:v>
      </x:c>
    </x:row>
    <x:row r="493">
      <x:c r="A493" t="str">
        <x:v>04c73a433ddb</x:v>
      </x:c>
      <x:c r="B493" t="str">
        <x:v>Equipment</x:v>
      </x:c>
      <x:c r="C493" t="str">
        <x:v>Texture</x:v>
      </x:c>
      <x:c r="D493" t="str">
        <x:v>TextureVariants/equipment_ring_t06_base_rarity_variants.txt</x:v>
      </x:c>
      <x:c r="E493" t="n">
        <x:v>4629</x:v>
      </x:c>
      <x:c r="F493" t="n">
        <x:v>634</x:v>
      </x:c>
      <x:c r="G493" t="str">
        <x:v>ec3d459f44231d97480b68adeeb8371792f6b881bc593c956d8880491e0c130b</x:v>
      </x:c>
    </x:row>
    <x:row r="494">
      <x:c r="A494" t="str">
        <x:v>844f3df2b3ec</x:v>
      </x:c>
      <x:c r="B494" t="str">
        <x:v>Equipment</x:v>
      </x:c>
      <x:c r="C494" t="str">
        <x:v>Texture</x:v>
      </x:c>
      <x:c r="D494" t="str">
        <x:v>TextureVariants/equipment_ring_t07_base_rarity_variants.txt</x:v>
      </x:c>
      <x:c r="E494" t="n">
        <x:v>4557</x:v>
      </x:c>
      <x:c r="F494" t="n">
        <x:v>641</x:v>
      </x:c>
      <x:c r="G494" t="str">
        <x:v>ab529f98cd22920b2b1744bdfbe190b77a3fe1de1600ce73e39ab1c6f1751909</x:v>
      </x:c>
    </x:row>
    <x:row r="495">
      <x:c r="A495" t="str">
        <x:v>6f86146f148b</x:v>
      </x:c>
      <x:c r="B495" t="str">
        <x:v>Equipment</x:v>
      </x:c>
      <x:c r="C495" t="str">
        <x:v>Texture</x:v>
      </x:c>
      <x:c r="D495" t="str">
        <x:v>TextureVariants/equipment_ring_t08_base_rarity_variants.txt</x:v>
      </x:c>
      <x:c r="E495" t="n">
        <x:v>4504</x:v>
      </x:c>
      <x:c r="F495" t="n">
        <x:v>627</x:v>
      </x:c>
      <x:c r="G495" t="str">
        <x:v>5a4c1209e4ec385c7fcb95728f73af567651d51ee5b1e594cf945ad9decca7d4</x:v>
      </x:c>
    </x:row>
    <x:row r="496">
      <x:c r="A496" t="str">
        <x:v>77bc2129b511</x:v>
      </x:c>
      <x:c r="B496" t="str">
        <x:v>Equipment</x:v>
      </x:c>
      <x:c r="C496" t="str">
        <x:v>Texture</x:v>
      </x:c>
      <x:c r="D496" t="str">
        <x:v>TextureVariants/equipment_ring_t09_base_rarity_variants.txt</x:v>
      </x:c>
      <x:c r="E496" t="n">
        <x:v>4601</x:v>
      </x:c>
      <x:c r="F496" t="n">
        <x:v>641</x:v>
      </x:c>
      <x:c r="G496" t="str">
        <x:v>32323e35cb019a779e6dc26bd8acf9a55d3a9498b75c4dae7106a4d681c43a0f</x:v>
      </x:c>
    </x:row>
    <x:row r="497">
      <x:c r="A497" t="str">
        <x:v>782b2a65b11f</x:v>
      </x:c>
      <x:c r="B497" t="str">
        <x:v>Equipment</x:v>
      </x:c>
      <x:c r="C497" t="str">
        <x:v>Texture</x:v>
      </x:c>
      <x:c r="D497" t="str">
        <x:v>TextureVariants/equipment_shield_t01_base_rarity_variants.txt</x:v>
      </x:c>
      <x:c r="E497" t="n">
        <x:v>4654</x:v>
      </x:c>
      <x:c r="F497" t="n">
        <x:v>662</x:v>
      </x:c>
      <x:c r="G497" t="str">
        <x:v>66507aa0a6014922d5333fff7404861a8072684f93eb03226030930587e3881f</x:v>
      </x:c>
    </x:row>
    <x:row r="498">
      <x:c r="A498" t="str">
        <x:v>7c5d16eb2ce0</x:v>
      </x:c>
      <x:c r="B498" t="str">
        <x:v>Equipment</x:v>
      </x:c>
      <x:c r="C498" t="str">
        <x:v>Texture</x:v>
      </x:c>
      <x:c r="D498" t="str">
        <x:v>TextureVariants/equipment_shield_t02_base_rarity_variants.txt</x:v>
      </x:c>
      <x:c r="E498" t="n">
        <x:v>4716</x:v>
      </x:c>
      <x:c r="F498" t="n">
        <x:v>648</x:v>
      </x:c>
      <x:c r="G498" t="str">
        <x:v>413705d4b7d4ef8fc76ce44200872127dc2e134a560ddf3fdc9b2953a66db327</x:v>
      </x:c>
    </x:row>
    <x:row r="499">
      <x:c r="A499" t="str">
        <x:v>c91e9442ebd9</x:v>
      </x:c>
      <x:c r="B499" t="str">
        <x:v>Equipment</x:v>
      </x:c>
      <x:c r="C499" t="str">
        <x:v>Texture</x:v>
      </x:c>
      <x:c r="D499" t="str">
        <x:v>TextureVariants/equipment_shield_t03_base_rarity_variants.txt</x:v>
      </x:c>
      <x:c r="E499" t="n">
        <x:v>4742</x:v>
      </x:c>
      <x:c r="F499" t="n">
        <x:v>648</x:v>
      </x:c>
      <x:c r="G499" t="str">
        <x:v>de2a4a64251c33b787bd47f2e06204f8544cbf31aa0931270ef6377075230858</x:v>
      </x:c>
    </x:row>
    <x:row r="500">
      <x:c r="A500" t="str">
        <x:v>87095bf2174e</x:v>
      </x:c>
      <x:c r="B500" t="str">
        <x:v>Equipment</x:v>
      </x:c>
      <x:c r="C500" t="str">
        <x:v>Texture</x:v>
      </x:c>
      <x:c r="D500" t="str">
        <x:v>TextureVariants/equipment_shield_t04_base_rarity_variants.txt</x:v>
      </x:c>
      <x:c r="E500" t="n">
        <x:v>4541</x:v>
      </x:c>
      <x:c r="F500" t="n">
        <x:v>627</x:v>
      </x:c>
      <x:c r="G500" t="str">
        <x:v>90cc2dd326f41ee6be269559bb4c77b7eadf65d35cf0542f0743a6861132aa83</x:v>
      </x:c>
    </x:row>
    <x:row r="501">
      <x:c r="A501" t="str">
        <x:v>b90c57e18adc</x:v>
      </x:c>
      <x:c r="B501" t="str">
        <x:v>Equipment</x:v>
      </x:c>
      <x:c r="C501" t="str">
        <x:v>Texture</x:v>
      </x:c>
      <x:c r="D501" t="str">
        <x:v>TextureVariants/equipment_shield_t05_base_rarity_variants.txt</x:v>
      </x:c>
      <x:c r="E501" t="n">
        <x:v>4711</x:v>
      </x:c>
      <x:c r="F501" t="n">
        <x:v>648</x:v>
      </x:c>
      <x:c r="G501" t="str">
        <x:v>8944a21d99285ea7a2de2514af31a6e0c3c20ecd82b9ffa0646d781c85197b3a</x:v>
      </x:c>
    </x:row>
    <x:row r="502">
      <x:c r="A502" t="str">
        <x:v>86a4f3b1b57e</x:v>
      </x:c>
      <x:c r="B502" t="str">
        <x:v>Equipment</x:v>
      </x:c>
      <x:c r="C502" t="str">
        <x:v>Texture</x:v>
      </x:c>
      <x:c r="D502" t="str">
        <x:v>TextureVariants/equipment_shield_t06_base_rarity_variants.txt</x:v>
      </x:c>
      <x:c r="E502" t="n">
        <x:v>4731</x:v>
      </x:c>
      <x:c r="F502" t="n">
        <x:v>648</x:v>
      </x:c>
      <x:c r="G502" t="str">
        <x:v>8bf74e7bcb09dd19d42d463d296c2514e7a577b3a37283183de6b8c452ccdd4f</x:v>
      </x:c>
    </x:row>
    <x:row r="503">
      <x:c r="A503" t="str">
        <x:v>0dcd5e296a53</x:v>
      </x:c>
      <x:c r="B503" t="str">
        <x:v>Equipment</x:v>
      </x:c>
      <x:c r="C503" t="str">
        <x:v>Texture</x:v>
      </x:c>
      <x:c r="D503" t="str">
        <x:v>TextureVariants/equipment_shield_t07_base_rarity_variants.txt</x:v>
      </x:c>
      <x:c r="E503" t="n">
        <x:v>4659</x:v>
      </x:c>
      <x:c r="F503" t="n">
        <x:v>655</x:v>
      </x:c>
      <x:c r="G503" t="str">
        <x:v>bc82bb0c571abd06a781a695f9e025002328d274767ce1881118774681176aa6</x:v>
      </x:c>
    </x:row>
    <x:row r="504">
      <x:c r="A504" t="str">
        <x:v>3a35ce992832</x:v>
      </x:c>
      <x:c r="B504" t="str">
        <x:v>Equipment</x:v>
      </x:c>
      <x:c r="C504" t="str">
        <x:v>Texture</x:v>
      </x:c>
      <x:c r="D504" t="str">
        <x:v>TextureVariants/equipment_shield_t08_base_rarity_variants.txt</x:v>
      </x:c>
      <x:c r="E504" t="n">
        <x:v>4599</x:v>
      </x:c>
      <x:c r="F504" t="n">
        <x:v>641</x:v>
      </x:c>
      <x:c r="G504" t="str">
        <x:v>f29bb1a5109a27cf4edc7331a29b28d64db339976f894a609bf2eef3dc167344</x:v>
      </x:c>
    </x:row>
    <x:row r="505">
      <x:c r="A505" t="str">
        <x:v>84d6549dff6f</x:v>
      </x:c>
      <x:c r="B505" t="str">
        <x:v>Equipment</x:v>
      </x:c>
      <x:c r="C505" t="str">
        <x:v>Texture</x:v>
      </x:c>
      <x:c r="D505" t="str">
        <x:v>TextureVariants/equipment_shield_t09_base_rarity_variants.txt</x:v>
      </x:c>
      <x:c r="E505" t="n">
        <x:v>4703</x:v>
      </x:c>
      <x:c r="F505" t="n">
        <x:v>655</x:v>
      </x:c>
      <x:c r="G505" t="str">
        <x:v>0aead81960ee8045fc3687e7c1ad499817df2e03f7285e5ba931ff435120da12</x:v>
      </x:c>
    </x:row>
    <x:row r="506">
      <x:c r="A506" t="str">
        <x:v>49ace15b39ca</x:v>
      </x:c>
      <x:c r="B506" t="str">
        <x:v>Equipment</x:v>
      </x:c>
      <x:c r="C506" t="str">
        <x:v>Texture</x:v>
      </x:c>
      <x:c r="D506" t="str">
        <x:v>TextureVariants/equipment_staff_t01_base_rarity_variants.txt</x:v>
      </x:c>
      <x:c r="E506" t="n">
        <x:v>4435</x:v>
      </x:c>
      <x:c r="F506" t="n">
        <x:v>620</x:v>
      </x:c>
      <x:c r="G506" t="str">
        <x:v>1d57bb8529ee63e48e99c277302c44098b9337a5a492e49316e4dbc028a5e1d3</x:v>
      </x:c>
    </x:row>
    <x:row r="507">
      <x:c r="A507" t="str">
        <x:v>165166d8c946</x:v>
      </x:c>
      <x:c r="B507" t="str">
        <x:v>Equipment</x:v>
      </x:c>
      <x:c r="C507" t="str">
        <x:v>Texture</x:v>
      </x:c>
      <x:c r="D507" t="str">
        <x:v>TextureVariants/equipment_staff_t02_base_rarity_variants.txt</x:v>
      </x:c>
      <x:c r="E507" t="n">
        <x:v>4434</x:v>
      </x:c>
      <x:c r="F507" t="n">
        <x:v>620</x:v>
      </x:c>
      <x:c r="G507" t="str">
        <x:v>f8e7ffe5c8ef92129aaf6a742987dd63af0488fdd3b69d305075ea947ca2f1b1</x:v>
      </x:c>
    </x:row>
    <x:row r="508">
      <x:c r="A508" t="str">
        <x:v>f52e7cc168e6</x:v>
      </x:c>
      <x:c r="B508" t="str">
        <x:v>Equipment</x:v>
      </x:c>
      <x:c r="C508" t="str">
        <x:v>Texture</x:v>
      </x:c>
      <x:c r="D508" t="str">
        <x:v>TextureVariants/equipment_staff_t03_base_rarity_variants.txt</x:v>
      </x:c>
      <x:c r="E508" t="n">
        <x:v>4523</x:v>
      </x:c>
      <x:c r="F508" t="n">
        <x:v>620</x:v>
      </x:c>
      <x:c r="G508" t="str">
        <x:v>6baccc005f7f04305ecf44a25ea3d1989a26da0ec3d8c9d261ff65d835ae8ee0</x:v>
      </x:c>
    </x:row>
    <x:row r="509">
      <x:c r="A509" t="str">
        <x:v>3154e6c904bb</x:v>
      </x:c>
      <x:c r="B509" t="str">
        <x:v>Equipment</x:v>
      </x:c>
      <x:c r="C509" t="str">
        <x:v>Texture</x:v>
      </x:c>
      <x:c r="D509" t="str">
        <x:v>TextureVariants/equipment_staff_t04_base_rarity_variants.txt</x:v>
      </x:c>
      <x:c r="E509" t="n">
        <x:v>4336</x:v>
      </x:c>
      <x:c r="F509" t="n">
        <x:v>606</x:v>
      </x:c>
      <x:c r="G509" t="str">
        <x:v>4f82e6e9d459d00f2226811512b98893aebe74765f4dec42899a3b8041f50432</x:v>
      </x:c>
    </x:row>
    <x:row r="510">
      <x:c r="A510" t="str">
        <x:v>b9772b29caec</x:v>
      </x:c>
      <x:c r="B510" t="str">
        <x:v>Equipment</x:v>
      </x:c>
      <x:c r="C510" t="str">
        <x:v>Texture</x:v>
      </x:c>
      <x:c r="D510" t="str">
        <x:v>TextureVariants/equipment_staff_t05_base_rarity_variants.txt</x:v>
      </x:c>
      <x:c r="E510" t="n">
        <x:v>4534</x:v>
      </x:c>
      <x:c r="F510" t="n">
        <x:v>627</x:v>
      </x:c>
      <x:c r="G510" t="str">
        <x:v>6de5aaedcc5eac2b5eba241518e9121fac794c70ae4e21c977968ed7b92649e6</x:v>
      </x:c>
    </x:row>
    <x:row r="511">
      <x:c r="A511" t="str">
        <x:v>0822063684cb</x:v>
      </x:c>
      <x:c r="B511" t="str">
        <x:v>Equipment</x:v>
      </x:c>
      <x:c r="C511" t="str">
        <x:v>Texture</x:v>
      </x:c>
      <x:c r="D511" t="str">
        <x:v>TextureVariants/equipment_staff_t06_base_rarity_variants.txt</x:v>
      </x:c>
      <x:c r="E511" t="n">
        <x:v>4687</x:v>
      </x:c>
      <x:c r="F511" t="n">
        <x:v>648</x:v>
      </x:c>
      <x:c r="G511" t="str">
        <x:v>13f354a3f70e768c109589e1369f11650a301fb6ac6184a6501f75f4bc8a3131</x:v>
      </x:c>
    </x:row>
    <x:row r="512">
      <x:c r="A512" t="str">
        <x:v>9e36609ab3ce</x:v>
      </x:c>
      <x:c r="B512" t="str">
        <x:v>Equipment</x:v>
      </x:c>
      <x:c r="C512" t="str">
        <x:v>Texture</x:v>
      </x:c>
      <x:c r="D512" t="str">
        <x:v>TextureVariants/equipment_staff_t07_base_rarity_variants.txt</x:v>
      </x:c>
      <x:c r="E512" t="n">
        <x:v>4426</x:v>
      </x:c>
      <x:c r="F512" t="n">
        <x:v>620</x:v>
      </x:c>
      <x:c r="G512" t="str">
        <x:v>3ebddd07c8fa2dae769b32450814bdc10cc65dae3c01e34f158a12489723607d</x:v>
      </x:c>
    </x:row>
    <x:row r="513">
      <x:c r="A513" t="str">
        <x:v>3b735f43a8fa</x:v>
      </x:c>
      <x:c r="B513" t="str">
        <x:v>Equipment</x:v>
      </x:c>
      <x:c r="C513" t="str">
        <x:v>Texture</x:v>
      </x:c>
      <x:c r="D513" t="str">
        <x:v>TextureVariants/equipment_staff_t08_base_rarity_variants.txt</x:v>
      </x:c>
      <x:c r="E513" t="n">
        <x:v>4506</x:v>
      </x:c>
      <x:c r="F513" t="n">
        <x:v>620</x:v>
      </x:c>
      <x:c r="G513" t="str">
        <x:v>cc11ba055a878c0da85bb541493503a79feff8305d66b8382e707d5dced42892</x:v>
      </x:c>
    </x:row>
    <x:row r="514">
      <x:c r="A514" t="str">
        <x:v>db2bda9e65f8</x:v>
      </x:c>
      <x:c r="B514" t="str">
        <x:v>Equipment</x:v>
      </x:c>
      <x:c r="C514" t="str">
        <x:v>Texture</x:v>
      </x:c>
      <x:c r="D514" t="str">
        <x:v>TextureVariants/equipment_staff_t09_base_rarity_variants.txt</x:v>
      </x:c>
      <x:c r="E514" t="n">
        <x:v>4568</x:v>
      </x:c>
      <x:c r="F514" t="n">
        <x:v>627</x:v>
      </x:c>
      <x:c r="G514" t="str">
        <x:v>58413b5aaee73683edde510d9c304ba3f84c568ed053a4677185059c33dd3696</x:v>
      </x:c>
    </x:row>
    <x:row r="515">
      <x:c r="A515" t="str">
        <x:v>6b62b6a7afd6</x:v>
      </x:c>
      <x:c r="B515" t="str">
        <x:v>Equipment</x:v>
      </x:c>
      <x:c r="C515" t="str">
        <x:v>Texture</x:v>
      </x:c>
      <x:c r="D515" t="str">
        <x:v>TextureVariants/equipment_sword_1h_t01_base_rarity_variants.txt</x:v>
      </x:c>
      <x:c r="E515" t="n">
        <x:v>4666</x:v>
      </x:c>
      <x:c r="F515" t="n">
        <x:v>663</x:v>
      </x:c>
      <x:c r="G515" t="str">
        <x:v>bad2830f27d00a6c50cf447c1b10e9ea68a8a4aa3c796c69c76612158f6e8b87</x:v>
      </x:c>
    </x:row>
    <x:row r="516">
      <x:c r="A516" t="str">
        <x:v>635efd427c74</x:v>
      </x:c>
      <x:c r="B516" t="str">
        <x:v>Equipment</x:v>
      </x:c>
      <x:c r="C516" t="str">
        <x:v>Texture</x:v>
      </x:c>
      <x:c r="D516" t="str">
        <x:v>TextureVariants/equipment_sword_1h_t02_base_rarity_variants.txt</x:v>
      </x:c>
      <x:c r="E516" t="n">
        <x:v>4728</x:v>
      </x:c>
      <x:c r="F516" t="n">
        <x:v>649</x:v>
      </x:c>
      <x:c r="G516" t="str">
        <x:v>ae0e05b3f847c409189e0aec925db2d649de875adc506cfde4b8ae44f90fb255</x:v>
      </x:c>
    </x:row>
    <x:row r="517">
      <x:c r="A517" t="str">
        <x:v>3e599942d61e</x:v>
      </x:c>
      <x:c r="B517" t="str">
        <x:v>Equipment</x:v>
      </x:c>
      <x:c r="C517" t="str">
        <x:v>Texture</x:v>
      </x:c>
      <x:c r="D517" t="str">
        <x:v>TextureVariants/equipment_sword_1h_t03_base_rarity_variants.txt</x:v>
      </x:c>
      <x:c r="E517" t="n">
        <x:v>4754</x:v>
      </x:c>
      <x:c r="F517" t="n">
        <x:v>649</x:v>
      </x:c>
      <x:c r="G517" t="str">
        <x:v>a7e6be3c6c847a5328baa0736f21bd15ef39875cb8076f368ed08979d16bb9d3</x:v>
      </x:c>
    </x:row>
    <x:row r="518">
      <x:c r="A518" t="str">
        <x:v>44b75279e934</x:v>
      </x:c>
      <x:c r="B518" t="str">
        <x:v>Equipment</x:v>
      </x:c>
      <x:c r="C518" t="str">
        <x:v>Texture</x:v>
      </x:c>
      <x:c r="D518" t="str">
        <x:v>TextureVariants/equipment_sword_1h_t04_base_rarity_variants.txt</x:v>
      </x:c>
      <x:c r="E518" t="n">
        <x:v>4553</x:v>
      </x:c>
      <x:c r="F518" t="n">
        <x:v>628</x:v>
      </x:c>
      <x:c r="G518" t="str">
        <x:v>07daaece4a34b318b4448786653dae6ef24b28ed8a42c7690360aedbc4262301</x:v>
      </x:c>
    </x:row>
    <x:row r="519">
      <x:c r="A519" t="str">
        <x:v>1f802730cc39</x:v>
      </x:c>
      <x:c r="B519" t="str">
        <x:v>Equipment</x:v>
      </x:c>
      <x:c r="C519" t="str">
        <x:v>Texture</x:v>
      </x:c>
      <x:c r="D519" t="str">
        <x:v>TextureVariants/equipment_sword_1h_t05_base_rarity_variants.txt</x:v>
      </x:c>
      <x:c r="E519" t="n">
        <x:v>4723</x:v>
      </x:c>
      <x:c r="F519" t="n">
        <x:v>649</x:v>
      </x:c>
      <x:c r="G519" t="str">
        <x:v>5c5243d9af0c700e09aa700461aa4ae0b3ab331ce5cc329d819a66ca56aee715</x:v>
      </x:c>
    </x:row>
    <x:row r="520">
      <x:c r="A520" t="str">
        <x:v>bda76ee54965</x:v>
      </x:c>
      <x:c r="B520" t="str">
        <x:v>Equipment</x:v>
      </x:c>
      <x:c r="C520" t="str">
        <x:v>Texture</x:v>
      </x:c>
      <x:c r="D520" t="str">
        <x:v>TextureVariants/equipment_sword_1h_t06_base_rarity_variants.txt</x:v>
      </x:c>
      <x:c r="E520" t="n">
        <x:v>4743</x:v>
      </x:c>
      <x:c r="F520" t="n">
        <x:v>649</x:v>
      </x:c>
      <x:c r="G520" t="str">
        <x:v>8caf9d8da0cafc62cc486db8d5db44e5f4556cf2f893a294dbd3a67eba2753ed</x:v>
      </x:c>
    </x:row>
    <x:row r="521">
      <x:c r="A521" t="str">
        <x:v>d6b41acace1b</x:v>
      </x:c>
      <x:c r="B521" t="str">
        <x:v>Equipment</x:v>
      </x:c>
      <x:c r="C521" t="str">
        <x:v>Texture</x:v>
      </x:c>
      <x:c r="D521" t="str">
        <x:v>TextureVariants/equipment_sword_1h_t07_base_rarity_variants.txt</x:v>
      </x:c>
      <x:c r="E521" t="n">
        <x:v>4671</x:v>
      </x:c>
      <x:c r="F521" t="n">
        <x:v>656</x:v>
      </x:c>
      <x:c r="G521" t="str">
        <x:v>e7f06d3e2a9bf231cda87eab8262f6d01baf9839b8c4b6fb407c76be085d889f</x:v>
      </x:c>
    </x:row>
    <x:row r="522">
      <x:c r="A522" t="str">
        <x:v>9fb9d72d3097</x:v>
      </x:c>
      <x:c r="B522" t="str">
        <x:v>Equipment</x:v>
      </x:c>
      <x:c r="C522" t="str">
        <x:v>Texture</x:v>
      </x:c>
      <x:c r="D522" t="str">
        <x:v>TextureVariants/equipment_sword_1h_t08_base_rarity_variants.txt</x:v>
      </x:c>
      <x:c r="E522" t="n">
        <x:v>4611</x:v>
      </x:c>
      <x:c r="F522" t="n">
        <x:v>642</x:v>
      </x:c>
      <x:c r="G522" t="str">
        <x:v>dbcce002fa8483dda33ba458f295a9529b14d112c0cfd22e018887e412564d58</x:v>
      </x:c>
    </x:row>
    <x:row r="523">
      <x:c r="A523" t="str">
        <x:v>54670a310552</x:v>
      </x:c>
      <x:c r="B523" t="str">
        <x:v>Equipment</x:v>
      </x:c>
      <x:c r="C523" t="str">
        <x:v>Texture</x:v>
      </x:c>
      <x:c r="D523" t="str">
        <x:v>TextureVariants/equipment_sword_1h_t09_base_rarity_variants.txt</x:v>
      </x:c>
      <x:c r="E523" t="n">
        <x:v>4715</x:v>
      </x:c>
      <x:c r="F523" t="n">
        <x:v>656</x:v>
      </x:c>
      <x:c r="G523" t="str">
        <x:v>58618f41394bcb89ff565f815d56045e96f310f3cf9e59dd323f4c4cc9bb829c</x:v>
      </x:c>
    </x:row>
    <x:row r="524">
      <x:c r="A524" t="str">
        <x:v>9474782d92ed</x:v>
      </x:c>
      <x:c r="B524" t="str">
        <x:v>EnvironmentStation</x:v>
      </x:c>
      <x:c r="C524" t="str">
        <x:v>Geometry</x:v>
      </x:c>
      <x:c r="D524" t="str">
        <x:v>BiomeOverview/biome_goblin_mine_kit_overview.txt</x:v>
      </x:c>
      <x:c r="E524" t="n">
        <x:v>2029</x:v>
      </x:c>
      <x:c r="F524" t="n">
        <x:v>272</x:v>
      </x:c>
      <x:c r="G524" t="str">
        <x:v>e62c2516ef6d827939152d98eca634fade9b984e943ce9ce819a5be9c423cc13</x:v>
      </x:c>
    </x:row>
    <x:row r="525">
      <x:c r="A525" t="str">
        <x:v>ce50988c4a49</x:v>
      </x:c>
      <x:c r="B525" t="str">
        <x:v>EnvironmentStation</x:v>
      </x:c>
      <x:c r="C525" t="str">
        <x:v>Geometry</x:v>
      </x:c>
      <x:c r="D525" t="str">
        <x:v>BiomeOverview/biome_infernal_fortress_kit_overview.txt</x:v>
      </x:c>
      <x:c r="E525" t="n">
        <x:v>2086</x:v>
      </x:c>
      <x:c r="F525" t="n">
        <x:v>278</x:v>
      </x:c>
      <x:c r="G525" t="str">
        <x:v>3f2f190eea0efc3da05b4e2ec4ae6f7516c443e220560429cf2e9b0b0c5c35b3</x:v>
      </x:c>
    </x:row>
    <x:row r="526">
      <x:c r="A526" t="str">
        <x:v>84870a108ca7</x:v>
      </x:c>
      <x:c r="B526" t="str">
        <x:v>EnvironmentStation</x:v>
      </x:c>
      <x:c r="C526" t="str">
        <x:v>Geometry</x:v>
      </x:c>
      <x:c r="D526" t="str">
        <x:v>BiomeOverview/biome_undead_crypt_kit_overview.txt</x:v>
      </x:c>
      <x:c r="E526" t="n">
        <x:v>2079</x:v>
      </x:c>
      <x:c r="F526" t="n">
        <x:v>281</x:v>
      </x:c>
      <x:c r="G526" t="str">
        <x:v>35c653a54e61a765fd4bdf7e8cbaf740d6abf678f05d6f26beca0a0e29fc7dc4</x:v>
      </x:c>
    </x:row>
    <x:row r="527">
      <x:c r="A527" t="str">
        <x:v>1d30d61a594f</x:v>
      </x:c>
      <x:c r="B527" t="str">
        <x:v>EnvironmentStation</x:v>
      </x:c>
      <x:c r="C527" t="str">
        <x:v>Concept</x:v>
      </x:c>
      <x:c r="D527" t="str">
        <x:v>ConceptArt/env_goblin_mine_camp_gate_001_concept_sheet.txt</x:v>
      </x:c>
      <x:c r="E527" t="n">
        <x:v>2414</x:v>
      </x:c>
      <x:c r="F527" t="n">
        <x:v>315</x:v>
      </x:c>
      <x:c r="G527" t="str">
        <x:v>5115d6d48410d98cfe24b2cae0f90c384caa439299b0ba4bb5c44091faa66e9b</x:v>
      </x:c>
    </x:row>
    <x:row r="528">
      <x:c r="A528" t="str">
        <x:v>6dc78943ac40</x:v>
      </x:c>
      <x:c r="B528" t="str">
        <x:v>EnvironmentStation</x:v>
      </x:c>
      <x:c r="C528" t="str">
        <x:v>Concept</x:v>
      </x:c>
      <x:c r="D528" t="str">
        <x:v>ConceptArt/env_goblin_mine_goblin_barrel_001_concept_sheet.txt</x:v>
      </x:c>
      <x:c r="E528" t="n">
        <x:v>2407</x:v>
      </x:c>
      <x:c r="F528" t="n">
        <x:v>311</x:v>
      </x:c>
      <x:c r="G528" t="str">
        <x:v>1045204a6a7e16bd3669c93d34100ccafcd7694e5f4500ebe82b29bb9ecc726e</x:v>
      </x:c>
    </x:row>
    <x:row r="529">
      <x:c r="A529" t="str">
        <x:v>1f2a8893c650</x:v>
      </x:c>
      <x:c r="B529" t="str">
        <x:v>EnvironmentStation</x:v>
      </x:c>
      <x:c r="C529" t="str">
        <x:v>Concept</x:v>
      </x:c>
      <x:c r="D529" t="str">
        <x:v>ConceptArt/env_goblin_mine_goblin_crate_001_concept_sheet.txt</x:v>
      </x:c>
      <x:c r="E529" t="n">
        <x:v>2415</x:v>
      </x:c>
      <x:c r="F529" t="n">
        <x:v>312</x:v>
      </x:c>
      <x:c r="G529" t="str">
        <x:v>4305c8db9ad3b2a4aa15f826dac2957a8ed592e55f13e7d2b05610399f5ac4c3</x:v>
      </x:c>
    </x:row>
    <x:row r="530">
      <x:c r="A530" t="str">
        <x:v>025225bcdffe</x:v>
      </x:c>
      <x:c r="B530" t="str">
        <x:v>EnvironmentStation</x:v>
      </x:c>
      <x:c r="C530" t="str">
        <x:v>Concept</x:v>
      </x:c>
      <x:c r="D530" t="str">
        <x:v>ConceptArt/env_goblin_mine_goblin_king_throne_001_concept_sheet.txt</x:v>
      </x:c>
      <x:c r="E530" t="n">
        <x:v>2448</x:v>
      </x:c>
      <x:c r="F530" t="n">
        <x:v>317</x:v>
      </x:c>
      <x:c r="G530" t="str">
        <x:v>0f994cc7e067fb837dd7c8a6fc0a1296f3e61eccdd5257e4477730b3d317053f</x:v>
      </x:c>
    </x:row>
    <x:row r="531">
      <x:c r="A531" t="str">
        <x:v>a72839e79e41</x:v>
      </x:c>
      <x:c r="B531" t="str">
        <x:v>EnvironmentStation</x:v>
      </x:c>
      <x:c r="C531" t="str">
        <x:v>Concept</x:v>
      </x:c>
      <x:c r="D531" t="str">
        <x:v>ConceptArt/env_goblin_mine_goblin_tent_001_concept_sheet.txt</x:v>
      </x:c>
      <x:c r="E531" t="n">
        <x:v>2421</x:v>
      </x:c>
      <x:c r="F531" t="n">
        <x:v>314</x:v>
      </x:c>
      <x:c r="G531" t="str">
        <x:v>aeb4819b90c51de69447b5e170e63dc37be5e35951d881762c82e2152892ab0b</x:v>
      </x:c>
    </x:row>
    <x:row r="532">
      <x:c r="A532" t="str">
        <x:v>a61e455f39d1</x:v>
      </x:c>
      <x:c r="B532" t="str">
        <x:v>EnvironmentStation</x:v>
      </x:c>
      <x:c r="C532" t="str">
        <x:v>Concept</x:v>
      </x:c>
      <x:c r="D532" t="str">
        <x:v>ConceptArt/env_goblin_mine_ground_dirt_tile_001_concept_sheet.txt</x:v>
      </x:c>
      <x:c r="E532" t="n">
        <x:v>2421</x:v>
      </x:c>
      <x:c r="F532" t="n">
        <x:v>315</x:v>
      </x:c>
      <x:c r="G532" t="str">
        <x:v>4418990406dd2d800f93c4083ce867e140b709d407e6295b6c102122e11cc0cb</x:v>
      </x:c>
    </x:row>
    <x:row r="533">
      <x:c r="A533" t="str">
        <x:v>357711006d1d</x:v>
      </x:c>
      <x:c r="B533" t="str">
        <x:v>EnvironmentStation</x:v>
      </x:c>
      <x:c r="C533" t="str">
        <x:v>Concept</x:v>
      </x:c>
      <x:c r="D533" t="str">
        <x:v>ConceptArt/env_goblin_mine_ground_stone_tile_001_concept_sheet.txt</x:v>
      </x:c>
      <x:c r="E533" t="n">
        <x:v>2406</x:v>
      </x:c>
      <x:c r="F533" t="n">
        <x:v>315</x:v>
      </x:c>
      <x:c r="G533" t="str">
        <x:v>c736db4aa6474b1c2ddcc12d9337195e270b0d60d9d84b4c48b6124ceadd9654</x:v>
      </x:c>
    </x:row>
    <x:row r="534">
      <x:c r="A534" t="str">
        <x:v>a1190c37190b</x:v>
      </x:c>
      <x:c r="B534" t="str">
        <x:v>EnvironmentStation</x:v>
      </x:c>
      <x:c r="C534" t="str">
        <x:v>Concept</x:v>
      </x:c>
      <x:c r="D534" t="str">
        <x:v>ConceptArt/env_goblin_mine_mine_arch_001_concept_sheet.txt</x:v>
      </x:c>
      <x:c r="E534" t="n">
        <x:v>2393</x:v>
      </x:c>
      <x:c r="F534" t="n">
        <x:v>309</x:v>
      </x:c>
      <x:c r="G534" t="str">
        <x:v>2d934477eafbaa0ff9be2e15cd482ffa2ca6eb14475cc8f6b15636de0028bc54</x:v>
      </x:c>
    </x:row>
    <x:row r="535">
      <x:c r="A535" t="str">
        <x:v>15ec4ab59e10</x:v>
      </x:c>
      <x:c r="B535" t="str">
        <x:v>EnvironmentStation</x:v>
      </x:c>
      <x:c r="C535" t="str">
        <x:v>Concept</x:v>
      </x:c>
      <x:c r="D535" t="str">
        <x:v>ConceptArt/env_goblin_mine_mine_cart_001_concept_sheet.txt</x:v>
      </x:c>
      <x:c r="E535" t="n">
        <x:v>2389</x:v>
      </x:c>
      <x:c r="F535" t="n">
        <x:v>310</x:v>
      </x:c>
      <x:c r="G535" t="str">
        <x:v>aebdbdb0a231353290705977325863b82aec04d8e8b59b9ac8efebe514aa40da</x:v>
      </x:c>
    </x:row>
    <x:row r="536">
      <x:c r="A536" t="str">
        <x:v>fa3c2f414977</x:v>
      </x:c>
      <x:c r="B536" t="str">
        <x:v>EnvironmentStation</x:v>
      </x:c>
      <x:c r="C536" t="str">
        <x:v>Concept</x:v>
      </x:c>
      <x:c r="D536" t="str">
        <x:v>ConceptArt/env_goblin_mine_mine_track_curve_001_concept_sheet.txt</x:v>
      </x:c>
      <x:c r="E536" t="n">
        <x:v>2395</x:v>
      </x:c>
      <x:c r="F536" t="n">
        <x:v>312</x:v>
      </x:c>
      <x:c r="G536" t="str">
        <x:v>7206a85fb7f870e1468be4c804277d405aa740d5e95efa65ce650d220b7a0fa8</x:v>
      </x:c>
    </x:row>
    <x:row r="537">
      <x:c r="A537" t="str">
        <x:v>84a854e00960</x:v>
      </x:c>
      <x:c r="B537" t="str">
        <x:v>EnvironmentStation</x:v>
      </x:c>
      <x:c r="C537" t="str">
        <x:v>Concept</x:v>
      </x:c>
      <x:c r="D537" t="str">
        <x:v>ConceptArt/env_goblin_mine_mine_track_straight_001_concept_sheet.txt</x:v>
      </x:c>
      <x:c r="E537" t="n">
        <x:v>2400</x:v>
      </x:c>
      <x:c r="F537" t="n">
        <x:v>312</x:v>
      </x:c>
      <x:c r="G537" t="str">
        <x:v>a2a007fc9a167311ed96871d7bec55df6af366fed39d208b7a676bdddd7b4445</x:v>
      </x:c>
    </x:row>
    <x:row r="538">
      <x:c r="A538" t="str">
        <x:v>858663063a61</x:v>
      </x:c>
      <x:c r="B538" t="str">
        <x:v>EnvironmentStation</x:v>
      </x:c>
      <x:c r="C538" t="str">
        <x:v>Concept</x:v>
      </x:c>
      <x:c r="D538" t="str">
        <x:v>ConceptArt/env_goblin_mine_mine_wall_corner_001_concept_sheet.txt</x:v>
      </x:c>
      <x:c r="E538" t="n">
        <x:v>2402</x:v>
      </x:c>
      <x:c r="F538" t="n">
        <x:v>311</x:v>
      </x:c>
      <x:c r="G538" t="str">
        <x:v>e5361845f5d592711dac1a80489d5da27c5227371ac927305a8c9a2f38ece4f1</x:v>
      </x:c>
    </x:row>
    <x:row r="539">
      <x:c r="A539" t="str">
        <x:v>987ee5899134</x:v>
      </x:c>
      <x:c r="B539" t="str">
        <x:v>EnvironmentStation</x:v>
      </x:c>
      <x:c r="C539" t="str">
        <x:v>Concept</x:v>
      </x:c>
      <x:c r="D539" t="str">
        <x:v>ConceptArt/env_goblin_mine_mine_wall_straight_001_concept_sheet.txt</x:v>
      </x:c>
      <x:c r="E539" t="n">
        <x:v>2404</x:v>
      </x:c>
      <x:c r="F539" t="n">
        <x:v>312</x:v>
      </x:c>
      <x:c r="G539" t="str">
        <x:v>5a4b78334fa220d1b27351ccbcd8944740662f5e5a63b73515efe48c78edd745</x:v>
      </x:c>
    </x:row>
    <x:row r="540">
      <x:c r="A540" t="str">
        <x:v>f5cfebda15e0</x:v>
      </x:c>
      <x:c r="B540" t="str">
        <x:v>EnvironmentStation</x:v>
      </x:c>
      <x:c r="C540" t="str">
        <x:v>Concept</x:v>
      </x:c>
      <x:c r="D540" t="str">
        <x:v>ConceptArt/env_goblin_mine_ore_pile_001_concept_sheet.txt</x:v>
      </x:c>
      <x:c r="E540" t="n">
        <x:v>2390</x:v>
      </x:c>
      <x:c r="F540" t="n">
        <x:v>312</x:v>
      </x:c>
      <x:c r="G540" t="str">
        <x:v>1f35d379178196b2b768e58deb95de9402d9793c95f02ef2b780ffd41eb55d61</x:v>
      </x:c>
    </x:row>
    <x:row r="541">
      <x:c r="A541" t="str">
        <x:v>0edc094ec1b6</x:v>
      </x:c>
      <x:c r="B541" t="str">
        <x:v>EnvironmentStation</x:v>
      </x:c>
      <x:c r="C541" t="str">
        <x:v>Concept</x:v>
      </x:c>
      <x:c r="D541" t="str">
        <x:v>ConceptArt/env_goblin_mine_rope_bridge_001_concept_sheet.txt</x:v>
      </x:c>
      <x:c r="E541" t="n">
        <x:v>2416</x:v>
      </x:c>
      <x:c r="F541" t="n">
        <x:v>313</x:v>
      </x:c>
      <x:c r="G541" t="str">
        <x:v>a6cbb7a5e5895fa7f0a0317997cbff38d680c8554c3978e924cdc20e533a3d4f</x:v>
      </x:c>
    </x:row>
    <x:row r="542">
      <x:c r="A542" t="str">
        <x:v>6500c300cfe1</x:v>
      </x:c>
      <x:c r="B542" t="str">
        <x:v>EnvironmentStation</x:v>
      </x:c>
      <x:c r="C542" t="str">
        <x:v>Concept</x:v>
      </x:c>
      <x:c r="D542" t="str">
        <x:v>ConceptArt/env_goblin_mine_scrap_barricade_001_concept_sheet.txt</x:v>
      </x:c>
      <x:c r="E542" t="n">
        <x:v>2427</x:v>
      </x:c>
      <x:c r="F542" t="n">
        <x:v>314</x:v>
      </x:c>
      <x:c r="G542" t="str">
        <x:v>aa7b0a9d79b7ad8491c4d3ec3f9f613941c7c0213aefdf8568d78a1193aab0d2</x:v>
      </x:c>
    </x:row>
    <x:row r="543">
      <x:c r="A543" t="str">
        <x:v>5e52992987ae</x:v>
      </x:c>
      <x:c r="B543" t="str">
        <x:v>EnvironmentStation</x:v>
      </x:c>
      <x:c r="C543" t="str">
        <x:v>Concept</x:v>
      </x:c>
      <x:c r="D543" t="str">
        <x:v>ConceptArt/env_goblin_mine_wall_torch_001_concept_sheet.txt</x:v>
      </x:c>
      <x:c r="E543" t="n">
        <x:v>2395</x:v>
      </x:c>
      <x:c r="F543" t="n">
        <x:v>310</x:v>
      </x:c>
      <x:c r="G543" t="str">
        <x:v>da707896c6f236ed48fdccac17a70767a5340c2e6529d05f6121c5a32ee67f4f</x:v>
      </x:c>
    </x:row>
    <x:row r="544">
      <x:c r="A544" t="str">
        <x:v>59398c87a562</x:v>
      </x:c>
      <x:c r="B544" t="str">
        <x:v>EnvironmentStation</x:v>
      </x:c>
      <x:c r="C544" t="str">
        <x:v>Concept</x:v>
      </x:c>
      <x:c r="D544" t="str">
        <x:v>ConceptArt/env_goblin_mine_watchtower_001_concept_sheet.txt</x:v>
      </x:c>
      <x:c r="E544" t="n">
        <x:v>2410</x:v>
      </x:c>
      <x:c r="F544" t="n">
        <x:v>310</x:v>
      </x:c>
      <x:c r="G544" t="str">
        <x:v>259f04af185ed4e206b0eb914336222ab0c4fd65d98480ee96f6921f84d98985</x:v>
      </x:c>
    </x:row>
    <x:row r="545">
      <x:c r="A545" t="str">
        <x:v>c579603b5bdd</x:v>
      </x:c>
      <x:c r="B545" t="str">
        <x:v>EnvironmentStation</x:v>
      </x:c>
      <x:c r="C545" t="str">
        <x:v>Concept</x:v>
      </x:c>
      <x:c r="D545" t="str">
        <x:v>ConceptArt/env_goblin_mine_wood_cage_001_concept_sheet.txt</x:v>
      </x:c>
      <x:c r="E545" t="n">
        <x:v>2403</x:v>
      </x:c>
      <x:c r="F545" t="n">
        <x:v>311</x:v>
      </x:c>
      <x:c r="G545" t="str">
        <x:v>8a4acee184a215769f50274f4b16cfbf9ea1ce978572d61cc0a1381cb27cf60c</x:v>
      </x:c>
    </x:row>
    <x:row r="546">
      <x:c r="A546" t="str">
        <x:v>8b05ebe7eb69</x:v>
      </x:c>
      <x:c r="B546" t="str">
        <x:v>EnvironmentStation</x:v>
      </x:c>
      <x:c r="C546" t="str">
        <x:v>Concept</x:v>
      </x:c>
      <x:c r="D546" t="str">
        <x:v>ConceptArt/env_goblin_mine_wood_support_beam_001_concept_sheet.txt</x:v>
      </x:c>
      <x:c r="E546" t="n">
        <x:v>2399</x:v>
      </x:c>
      <x:c r="F546" t="n">
        <x:v>314</x:v>
      </x:c>
      <x:c r="G546" t="str">
        <x:v>763c43a5c7f35c272288ed92c795fe7ab37866b91e621d18d67daf7181656213</x:v>
      </x:c>
    </x:row>
    <x:row r="547">
      <x:c r="A547" t="str">
        <x:v>c4b921776217</x:v>
      </x:c>
      <x:c r="B547" t="str">
        <x:v>EnvironmentStation</x:v>
      </x:c>
      <x:c r="C547" t="str">
        <x:v>Concept</x:v>
      </x:c>
      <x:c r="D547" t="str">
        <x:v>ConceptArt/env_infernal_fortress_basalt_floor_tile_001_concept_sheet.txt</x:v>
      </x:c>
      <x:c r="E547" t="n">
        <x:v>2479</x:v>
      </x:c>
      <x:c r="F547" t="n">
        <x:v>322</x:v>
      </x:c>
      <x:c r="G547" t="str">
        <x:v>11575bac4280982e38c39436724e27064553bf5cb185ab3a0f6804e36a5ccba7</x:v>
      </x:c>
    </x:row>
    <x:row r="548">
      <x:c r="A548" t="str">
        <x:v>a8ef7677d214</x:v>
      </x:c>
      <x:c r="B548" t="str">
        <x:v>EnvironmentStation</x:v>
      </x:c>
      <x:c r="C548" t="str">
        <x:v>Concept</x:v>
      </x:c>
      <x:c r="D548" t="str">
        <x:v>ConceptArt/env_infernal_fortress_demon_lord_throne_001_concept_sheet.txt</x:v>
      </x:c>
      <x:c r="E548" t="n">
        <x:v>2499</x:v>
      </x:c>
      <x:c r="F548" t="n">
        <x:v>323</x:v>
      </x:c>
      <x:c r="G548" t="str">
        <x:v>9a19f900f8324f8c7379f9ed35e4448b1ccb46e9d0ef127eaa13bd48e9707884</x:v>
      </x:c>
    </x:row>
    <x:row r="549">
      <x:c r="A549" t="str">
        <x:v>d3a2dd4849d1</x:v>
      </x:c>
      <x:c r="B549" t="str">
        <x:v>EnvironmentStation</x:v>
      </x:c>
      <x:c r="C549" t="str">
        <x:v>Concept</x:v>
      </x:c>
      <x:c r="D549" t="str">
        <x:v>ConceptArt/env_infernal_fortress_demon_weapon_rack_001_concept_sheet.txt</x:v>
      </x:c>
      <x:c r="E549" t="n">
        <x:v>2474</x:v>
      </x:c>
      <x:c r="F549" t="n">
        <x:v>318</x:v>
      </x:c>
      <x:c r="G549" t="str">
        <x:v>d8efe9e84758b73ca886dd02803f1648d65f022e91cea157be581fd7b91f3c37</x:v>
      </x:c>
    </x:row>
    <x:row r="550">
      <x:c r="A550" t="str">
        <x:v>bd0c7d156da7</x:v>
      </x:c>
      <x:c r="B550" t="str">
        <x:v>EnvironmentStation</x:v>
      </x:c>
      <x:c r="C550" t="str">
        <x:v>Concept</x:v>
      </x:c>
      <x:c r="D550" t="str">
        <x:v>ConceptArt/env_infernal_fortress_demonic_pillar_001_concept_sheet.txt</x:v>
      </x:c>
      <x:c r="E550" t="n">
        <x:v>2453</x:v>
      </x:c>
      <x:c r="F550" t="n">
        <x:v>315</x:v>
      </x:c>
      <x:c r="G550" t="str">
        <x:v>a46a5b710dceb695798cf35b14bd63b5928ee533901df8fe796d52142e22ee46</x:v>
      </x:c>
    </x:row>
    <x:row r="551">
      <x:c r="A551" t="str">
        <x:v>809e53deb9ff</x:v>
      </x:c>
      <x:c r="B551" t="str">
        <x:v>EnvironmentStation</x:v>
      </x:c>
      <x:c r="C551" t="str">
        <x:v>Concept</x:v>
      </x:c>
      <x:c r="D551" t="str">
        <x:v>ConceptArt/env_infernal_fortress_infernal_arch_001_concept_sheet.txt</x:v>
      </x:c>
      <x:c r="E551" t="n">
        <x:v>2447</x:v>
      </x:c>
      <x:c r="F551" t="n">
        <x:v>316</x:v>
      </x:c>
      <x:c r="G551" t="str">
        <x:v>b3508031a1324113e75f06f897874dfaa832b129e756bf9622e0da5cb0ac9d18</x:v>
      </x:c>
    </x:row>
    <x:row r="552">
      <x:c r="A552" t="str">
        <x:v>7fcd5c953252</x:v>
      </x:c>
      <x:c r="B552" t="str">
        <x:v>EnvironmentStation</x:v>
      </x:c>
      <x:c r="C552" t="str">
        <x:v>Concept</x:v>
      </x:c>
      <x:c r="D552" t="str">
        <x:v>ConceptArt/env_infernal_fortress_infernal_arena_ring_001_concept_sheet.txt</x:v>
      </x:c>
      <x:c r="E552" t="n">
        <x:v>2480</x:v>
      </x:c>
      <x:c r="F552" t="n">
        <x:v>320</x:v>
      </x:c>
      <x:c r="G552" t="str">
        <x:v>6f41b6d4968eeada70298725fdf71be1905aede5c5100ff881ccbec4609aa07c</x:v>
      </x:c>
    </x:row>
    <x:row r="553">
      <x:c r="A553" t="str">
        <x:v>2f74171df20c</x:v>
      </x:c>
      <x:c r="B553" t="str">
        <x:v>EnvironmentStation</x:v>
      </x:c>
      <x:c r="C553" t="str">
        <x:v>Concept</x:v>
      </x:c>
      <x:c r="D553" t="str">
        <x:v>ConceptArt/env_infernal_fortress_infernal_brazier_001_concept_sheet.txt</x:v>
      </x:c>
      <x:c r="E553" t="n">
        <x:v>2451</x:v>
      </x:c>
      <x:c r="F553" t="n">
        <x:v>313</x:v>
      </x:c>
      <x:c r="G553" t="str">
        <x:v>df17041bc07f870158dd7ec7aca6a2b68e88d90ae75ff68649a6e883d941d63d</x:v>
      </x:c>
    </x:row>
    <x:row r="554">
      <x:c r="A554" t="str">
        <x:v>aadcea0d4f05</x:v>
      </x:c>
      <x:c r="B554" t="str">
        <x:v>EnvironmentStation</x:v>
      </x:c>
      <x:c r="C554" t="str">
        <x:v>Concept</x:v>
      </x:c>
      <x:c r="D554" t="str">
        <x:v>ConceptArt/env_infernal_fortress_infernal_bridge_001_concept_sheet.txt</x:v>
      </x:c>
      <x:c r="E554" t="n">
        <x:v>2449</x:v>
      </x:c>
      <x:c r="F554" t="n">
        <x:v>314</x:v>
      </x:c>
      <x:c r="G554" t="str">
        <x:v>de7a42b21acd3483c0a5ce91c75e9104a533ff3748f4d3f9ac9fffd10caf4207</x:v>
      </x:c>
    </x:row>
    <x:row r="555">
      <x:c r="A555" t="str">
        <x:v>67fc731da5d3</x:v>
      </x:c>
      <x:c r="B555" t="str">
        <x:v>EnvironmentStation</x:v>
      </x:c>
      <x:c r="C555" t="str">
        <x:v>Concept</x:v>
      </x:c>
      <x:c r="D555" t="str">
        <x:v>ConceptArt/env_infernal_fortress_infernal_cage_001_concept_sheet.txt</x:v>
      </x:c>
      <x:c r="E555" t="n">
        <x:v>2455</x:v>
      </x:c>
      <x:c r="F555" t="n">
        <x:v>315</x:v>
      </x:c>
      <x:c r="G555" t="str">
        <x:v>31a0c99d688e617ef9415db8da104789f0ea5afebf7e64063e52eaac3cf87a59</x:v>
      </x:c>
    </x:row>
    <x:row r="556">
      <x:c r="A556" t="str">
        <x:v>cbe2500d0848</x:v>
      </x:c>
      <x:c r="B556" t="str">
        <x:v>EnvironmentStation</x:v>
      </x:c>
      <x:c r="C556" t="str">
        <x:v>Concept</x:v>
      </x:c>
      <x:c r="D556" t="str">
        <x:v>ConceptArt/env_infernal_fortress_infernal_chain_001_concept_sheet.txt</x:v>
      </x:c>
      <x:c r="E556" t="n">
        <x:v>2466</x:v>
      </x:c>
      <x:c r="F556" t="n">
        <x:v>316</x:v>
      </x:c>
      <x:c r="G556" t="str">
        <x:v>d7b7409ade0a783cbfeb538ed7d6eedee398eb0e40db9f42f629aee32143efb6</x:v>
      </x:c>
    </x:row>
    <x:row r="557">
      <x:c r="A557" t="str">
        <x:v>fe167c6c1608</x:v>
      </x:c>
      <x:c r="B557" t="str">
        <x:v>EnvironmentStation</x:v>
      </x:c>
      <x:c r="C557" t="str">
        <x:v>Concept</x:v>
      </x:c>
      <x:c r="D557" t="str">
        <x:v>ConceptArt/env_infernal_fortress_infernal_crystal_001_concept_sheet.txt</x:v>
      </x:c>
      <x:c r="E557" t="n">
        <x:v>2464</x:v>
      </x:c>
      <x:c r="F557" t="n">
        <x:v>316</x:v>
      </x:c>
      <x:c r="G557" t="str">
        <x:v>49887568b089812ab47cb3f6b78a308928498a367060414e798936612ec8cbfa</x:v>
      </x:c>
    </x:row>
    <x:row r="558">
      <x:c r="A558" t="str">
        <x:v>ee09638ad722</x:v>
      </x:c>
      <x:c r="B558" t="str">
        <x:v>EnvironmentStation</x:v>
      </x:c>
      <x:c r="C558" t="str">
        <x:v>Concept</x:v>
      </x:c>
      <x:c r="D558" t="str">
        <x:v>ConceptArt/env_infernal_fortress_infernal_gate_001_concept_sheet.txt</x:v>
      </x:c>
      <x:c r="E558" t="n">
        <x:v>2463</x:v>
      </x:c>
      <x:c r="F558" t="n">
        <x:v>320</x:v>
      </x:c>
      <x:c r="G558" t="str">
        <x:v>bf6a19658706c58576af7699f8051ec4c6f39a41be4128c81d89e0da1010992a</x:v>
      </x:c>
    </x:row>
    <x:row r="559">
      <x:c r="A559" t="str">
        <x:v>a9f325f354ac</x:v>
      </x:c>
      <x:c r="B559" t="str">
        <x:v>EnvironmentStation</x:v>
      </x:c>
      <x:c r="C559" t="str">
        <x:v>Concept</x:v>
      </x:c>
      <x:c r="D559" t="str">
        <x:v>ConceptArt/env_infernal_fortress_infernal_platform_001_concept_sheet.txt</x:v>
      </x:c>
      <x:c r="E559" t="n">
        <x:v>2462</x:v>
      </x:c>
      <x:c r="F559" t="n">
        <x:v>315</x:v>
      </x:c>
      <x:c r="G559" t="str">
        <x:v>1bc39645db650fcc0e94d31c1e312ea990ec299401aca6177ee83deaef73f397</x:v>
      </x:c>
    </x:row>
    <x:row r="560">
      <x:c r="A560" t="str">
        <x:v>26ad71e35bd2</x:v>
      </x:c>
      <x:c r="B560" t="str">
        <x:v>EnvironmentStation</x:v>
      </x:c>
      <x:c r="C560" t="str">
        <x:v>Concept</x:v>
      </x:c>
      <x:c r="D560" t="str">
        <x:v>ConceptArt/env_infernal_fortress_infernal_portal_001_concept_sheet.txt</x:v>
      </x:c>
      <x:c r="E560" t="n">
        <x:v>2478</x:v>
      </x:c>
      <x:c r="F560" t="n">
        <x:v>317</x:v>
      </x:c>
      <x:c r="G560" t="str">
        <x:v>a91c0efcd6ff423e0692dea06ef6416b02ee8db1eb0ebc73875e415deb54ac29</x:v>
      </x:c>
    </x:row>
    <x:row r="561">
      <x:c r="A561" t="str">
        <x:v>512136ff72a8</x:v>
      </x:c>
      <x:c r="B561" t="str">
        <x:v>EnvironmentStation</x:v>
      </x:c>
      <x:c r="C561" t="str">
        <x:v>Concept</x:v>
      </x:c>
      <x:c r="D561" t="str">
        <x:v>ConceptArt/env_infernal_fortress_infernal_wall_corner_001_concept_sheet.txt</x:v>
      </x:c>
      <x:c r="E561" t="n">
        <x:v>2467</x:v>
      </x:c>
      <x:c r="F561" t="n">
        <x:v>319</x:v>
      </x:c>
      <x:c r="G561" t="str">
        <x:v>e08b2623b36285b169d00d4370f573a337644bba40cb7a3a2d58e72de0ab0de3</x:v>
      </x:c>
    </x:row>
    <x:row r="562">
      <x:c r="A562" t="str">
        <x:v>597e171af6bb</x:v>
      </x:c>
      <x:c r="B562" t="str">
        <x:v>EnvironmentStation</x:v>
      </x:c>
      <x:c r="C562" t="str">
        <x:v>Concept</x:v>
      </x:c>
      <x:c r="D562" t="str">
        <x:v>ConceptArt/env_infernal_fortress_infernal_wall_straight_001_concept_sheet.txt</x:v>
      </x:c>
      <x:c r="E562" t="n">
        <x:v>2462</x:v>
      </x:c>
      <x:c r="F562" t="n">
        <x:v>316</x:v>
      </x:c>
      <x:c r="G562" t="str">
        <x:v>ea333041e9651d00be9a35ef3fafad8d7394b57abbd5d002c51d1018b2eb22f9</x:v>
      </x:c>
    </x:row>
    <x:row r="563">
      <x:c r="A563" t="str">
        <x:v>23cbf001d564</x:v>
      </x:c>
      <x:c r="B563" t="str">
        <x:v>EnvironmentStation</x:v>
      </x:c>
      <x:c r="C563" t="str">
        <x:v>Concept</x:v>
      </x:c>
      <x:c r="D563" t="str">
        <x:v>ConceptArt/env_infernal_fortress_lava_channel_bend_001_concept_sheet.txt</x:v>
      </x:c>
      <x:c r="E563" t="n">
        <x:v>2472</x:v>
      </x:c>
      <x:c r="F563" t="n">
        <x:v>321</x:v>
      </x:c>
      <x:c r="G563" t="str">
        <x:v>b08efcef28e88a5cc3e81cde6ec231543ef0f197464d3888ff6bdbd9686a2cae</x:v>
      </x:c>
    </x:row>
    <x:row r="564">
      <x:c r="A564" t="str">
        <x:v>972028709010</x:v>
      </x:c>
      <x:c r="B564" t="str">
        <x:v>EnvironmentStation</x:v>
      </x:c>
      <x:c r="C564" t="str">
        <x:v>Concept</x:v>
      </x:c>
      <x:c r="D564" t="str">
        <x:v>ConceptArt/env_infernal_fortress_lava_channel_straight_001_concept_sheet.txt</x:v>
      </x:c>
      <x:c r="E564" t="n">
        <x:v>2479</x:v>
      </x:c>
      <x:c r="F564" t="n">
        <x:v>321</x:v>
      </x:c>
      <x:c r="G564" t="str">
        <x:v>4079fe5a0ae497d07bc9a54f7156326570eca95a74414706db04e164a8336c6c</x:v>
      </x:c>
    </x:row>
    <x:row r="565">
      <x:c r="A565" t="str">
        <x:v>3ab853b83372</x:v>
      </x:c>
      <x:c r="B565" t="str">
        <x:v>EnvironmentStation</x:v>
      </x:c>
      <x:c r="C565" t="str">
        <x:v>Concept</x:v>
      </x:c>
      <x:c r="D565" t="str">
        <x:v>ConceptArt/env_infernal_fortress_lava_fall_001_concept_sheet.txt</x:v>
      </x:c>
      <x:c r="E565" t="n">
        <x:v>2483</x:v>
      </x:c>
      <x:c r="F565" t="n">
        <x:v>324</x:v>
      </x:c>
      <x:c r="G565" t="str">
        <x:v>156ab61739777cc1fa3e4e841f46a887ddf8873959a966e2df9d1c4f0aea95b7</x:v>
      </x:c>
    </x:row>
    <x:row r="566">
      <x:c r="A566" t="str">
        <x:v>16c963687b96</x:v>
      </x:c>
      <x:c r="B566" t="str">
        <x:v>EnvironmentStation</x:v>
      </x:c>
      <x:c r="C566" t="str">
        <x:v>Concept</x:v>
      </x:c>
      <x:c r="D566" t="str">
        <x:v>ConceptArt/env_infernal_fortress_spike_barricade_001_concept_sheet.txt</x:v>
      </x:c>
      <x:c r="E566" t="n">
        <x:v>2468</x:v>
      </x:c>
      <x:c r="F566" t="n">
        <x:v>315</x:v>
      </x:c>
      <x:c r="G566" t="str">
        <x:v>985e0c06b134fd71a4c4ea5b4393fff633577f7190be0ffb65fba766ce28a11b</x:v>
      </x:c>
    </x:row>
    <x:row r="567">
      <x:c r="A567" t="str">
        <x:v>dccff59529be</x:v>
      </x:c>
      <x:c r="B567" t="str">
        <x:v>EnvironmentStation</x:v>
      </x:c>
      <x:c r="C567" t="str">
        <x:v>Concept</x:v>
      </x:c>
      <x:c r="D567" t="str">
        <x:v>ConceptArt/env_undead_crypt_bone_pile_001_concept_sheet.txt</x:v>
      </x:c>
      <x:c r="E567" t="n">
        <x:v>2466</x:v>
      </x:c>
      <x:c r="F567" t="n">
        <x:v>322</x:v>
      </x:c>
      <x:c r="G567" t="str">
        <x:v>22e986a95cc5fb0621f4615dc561d5401aa6904ba20d5f0432ac614320f2ad38</x:v>
      </x:c>
    </x:row>
    <x:row r="568">
      <x:c r="A568" t="str">
        <x:v>8f7d7b2c4cdd</x:v>
      </x:c>
      <x:c r="B568" t="str">
        <x:v>EnvironmentStation</x:v>
      </x:c>
      <x:c r="C568" t="str">
        <x:v>Concept</x:v>
      </x:c>
      <x:c r="D568" t="str">
        <x:v>ConceptArt/env_undead_crypt_broken_statue_001_concept_sheet.txt</x:v>
      </x:c>
      <x:c r="E568" t="n">
        <x:v>2458</x:v>
      </x:c>
      <x:c r="F568" t="n">
        <x:v>319</x:v>
      </x:c>
      <x:c r="G568" t="str">
        <x:v>13177281919eee56c7da6c4da665203d9110c76cb876acb969d00b177722513b</x:v>
      </x:c>
    </x:row>
    <x:row r="569">
      <x:c r="A569" t="str">
        <x:v>f2d5fe9483a8</x:v>
      </x:c>
      <x:c r="B569" t="str">
        <x:v>EnvironmentStation</x:v>
      </x:c>
      <x:c r="C569" t="str">
        <x:v>Concept</x:v>
      </x:c>
      <x:c r="D569" t="str">
        <x:v>ConceptArt/env_undead_crypt_coffin_001_concept_sheet.txt</x:v>
      </x:c>
      <x:c r="E569" t="n">
        <x:v>2436</x:v>
      </x:c>
      <x:c r="F569" t="n">
        <x:v>317</x:v>
      </x:c>
      <x:c r="G569" t="str">
        <x:v>4c8eff1a1ac4bf563e8f91e714f7f0658bc2cabd8b1f34627054ae82ceda11c1</x:v>
      </x:c>
    </x:row>
    <x:row r="570">
      <x:c r="A570" t="str">
        <x:v>8e0602c459ab</x:v>
      </x:c>
      <x:c r="B570" t="str">
        <x:v>EnvironmentStation</x:v>
      </x:c>
      <x:c r="C570" t="str">
        <x:v>Concept</x:v>
      </x:c>
      <x:c r="D570" t="str">
        <x:v>ConceptArt/env_undead_crypt_crypt_arch_001_concept_sheet.txt</x:v>
      </x:c>
      <x:c r="E570" t="n">
        <x:v>2428</x:v>
      </x:c>
      <x:c r="F570" t="n">
        <x:v>318</x:v>
      </x:c>
      <x:c r="G570" t="str">
        <x:v>4e0d5ae8ace1b4e1d0c8d058a70767506f5783c67233182c18b6c0b275b2ec20</x:v>
      </x:c>
    </x:row>
    <x:row r="571">
      <x:c r="A571" t="str">
        <x:v>4901cc5b6eb7</x:v>
      </x:c>
      <x:c r="B571" t="str">
        <x:v>EnvironmentStation</x:v>
      </x:c>
      <x:c r="C571" t="str">
        <x:v>Concept</x:v>
      </x:c>
      <x:c r="D571" t="str">
        <x:v>ConceptArt/env_undead_crypt_crypt_column_001_concept_sheet.txt</x:v>
      </x:c>
      <x:c r="E571" t="n">
        <x:v>2423</x:v>
      </x:c>
      <x:c r="F571" t="n">
        <x:v>316</x:v>
      </x:c>
      <x:c r="G571" t="str">
        <x:v>5c116e6ffc4212d89b55d62d5c3d2ee68b38434342d7d8eea18a602a669033ee</x:v>
      </x:c>
    </x:row>
    <x:row r="572">
      <x:c r="A572" t="str">
        <x:v>bd045cd095ce</x:v>
      </x:c>
      <x:c r="B572" t="str">
        <x:v>EnvironmentStation</x:v>
      </x:c>
      <x:c r="C572" t="str">
        <x:v>Concept</x:v>
      </x:c>
      <x:c r="D572" t="str">
        <x:v>ConceptArt/env_undead_crypt_crypt_door_001_concept_sheet.txt</x:v>
      </x:c>
      <x:c r="E572" t="n">
        <x:v>2428</x:v>
      </x:c>
      <x:c r="F572" t="n">
        <x:v>317</x:v>
      </x:c>
      <x:c r="G572" t="str">
        <x:v>077b2d39e3dac4d8e45b196fb93a9209c7e7021182a912f866cf0a48bc998414</x:v>
      </x:c>
    </x:row>
    <x:row r="573">
      <x:c r="A573" t="str">
        <x:v>2948a00c5224</x:v>
      </x:c>
      <x:c r="B573" t="str">
        <x:v>EnvironmentStation</x:v>
      </x:c>
      <x:c r="C573" t="str">
        <x:v>Concept</x:v>
      </x:c>
      <x:c r="D573" t="str">
        <x:v>ConceptArt/env_undead_crypt_crypt_floor_tile_001_concept_sheet.txt</x:v>
      </x:c>
      <x:c r="E573" t="n">
        <x:v>2452</x:v>
      </x:c>
      <x:c r="F573" t="n">
        <x:v>323</x:v>
      </x:c>
      <x:c r="G573" t="str">
        <x:v>09644f1db9ec3d5d659e566d28c37f6021d19c497d8284656eb3bebc353553c5</x:v>
      </x:c>
    </x:row>
    <x:row r="574">
      <x:c r="A574" t="str">
        <x:v>96ad3bcae739</x:v>
      </x:c>
      <x:c r="B574" t="str">
        <x:v>EnvironmentStation</x:v>
      </x:c>
      <x:c r="C574" t="str">
        <x:v>Concept</x:v>
      </x:c>
      <x:c r="D574" t="str">
        <x:v>ConceptArt/env_undead_crypt_crypt_iron_gate_001_concept_sheet.txt</x:v>
      </x:c>
      <x:c r="E574" t="n">
        <x:v>2430</x:v>
      </x:c>
      <x:c r="F574" t="n">
        <x:v>318</x:v>
      </x:c>
      <x:c r="G574" t="str">
        <x:v>a6a1830f6ccc7206ccda9b314a1fd6f24a58a3aba42c148d81f0ce1c6a8a161f</x:v>
      </x:c>
    </x:row>
    <x:row r="575">
      <x:c r="A575" t="str">
        <x:v>5c887e4bde39</x:v>
      </x:c>
      <x:c r="B575" t="str">
        <x:v>EnvironmentStation</x:v>
      </x:c>
      <x:c r="C575" t="str">
        <x:v>Concept</x:v>
      </x:c>
      <x:c r="D575" t="str">
        <x:v>ConceptArt/env_undead_crypt_crypt_wall_corner_001_concept_sheet.txt</x:v>
      </x:c>
      <x:c r="E575" t="n">
        <x:v>2440</x:v>
      </x:c>
      <x:c r="F575" t="n">
        <x:v>319</x:v>
      </x:c>
      <x:c r="G575" t="str">
        <x:v>5ba0eb81f64093cd9ccce2158d2f357bb7bf023fde6e19e9ac7c1605dc162691</x:v>
      </x:c>
    </x:row>
    <x:row r="576">
      <x:c r="A576" t="str">
        <x:v>65c854486814</x:v>
      </x:c>
      <x:c r="B576" t="str">
        <x:v>EnvironmentStation</x:v>
      </x:c>
      <x:c r="C576" t="str">
        <x:v>Concept</x:v>
      </x:c>
      <x:c r="D576" t="str">
        <x:v>ConceptArt/env_undead_crypt_crypt_wall_straight_001_concept_sheet.txt</x:v>
      </x:c>
      <x:c r="E576" t="n">
        <x:v>2432</x:v>
      </x:c>
      <x:c r="F576" t="n">
        <x:v>317</x:v>
      </x:c>
      <x:c r="G576" t="str">
        <x:v>163b7dcc51b736d3ff63645faf7d5cb1b122ab12eceb03e8529a659c2d9ee156</x:v>
      </x:c>
    </x:row>
    <x:row r="577">
      <x:c r="A577" t="str">
        <x:v>52097cb5d5ea</x:v>
      </x:c>
      <x:c r="B577" t="str">
        <x:v>EnvironmentStation</x:v>
      </x:c>
      <x:c r="C577" t="str">
        <x:v>Concept</x:v>
      </x:c>
      <x:c r="D577" t="str">
        <x:v>ConceptArt/env_undead_crypt_grave_marker_001_concept_sheet.txt</x:v>
      </x:c>
      <x:c r="E577" t="n">
        <x:v>2452</x:v>
      </x:c>
      <x:c r="F577" t="n">
        <x:v>319</x:v>
      </x:c>
      <x:c r="G577" t="str">
        <x:v>ea8392ded0d364d75c00514af6b0b339cdaeed8362d9f9b764b2a559347f2e06</x:v>
      </x:c>
    </x:row>
    <x:row r="578">
      <x:c r="A578" t="str">
        <x:v>e57d6d42fa52</x:v>
      </x:c>
      <x:c r="B578" t="str">
        <x:v>EnvironmentStation</x:v>
      </x:c>
      <x:c r="C578" t="str">
        <x:v>Concept</x:v>
      </x:c>
      <x:c r="D578" t="str">
        <x:v>ConceptArt/env_undead_crypt_hanging_chain_001_concept_sheet.txt</x:v>
      </x:c>
      <x:c r="E578" t="n">
        <x:v>2462</x:v>
      </x:c>
      <x:c r="F578" t="n">
        <x:v>322</x:v>
      </x:c>
      <x:c r="G578" t="str">
        <x:v>04eaa3c998a2a7346c51598811951323db191d9e38b641c6bca384ff661e7380</x:v>
      </x:c>
    </x:row>
    <x:row r="579">
      <x:c r="A579" t="str">
        <x:v>a5fbc7b0ea01</x:v>
      </x:c>
      <x:c r="B579" t="str">
        <x:v>EnvironmentStation</x:v>
      </x:c>
      <x:c r="C579" t="str">
        <x:v>Concept</x:v>
      </x:c>
      <x:c r="D579" t="str">
        <x:v>ConceptArt/env_undead_crypt_lich_throne_001_concept_sheet.txt</x:v>
      </x:c>
      <x:c r="E579" t="n">
        <x:v>2469</x:v>
      </x:c>
      <x:c r="F579" t="n">
        <x:v>322</x:v>
      </x:c>
      <x:c r="G579" t="str">
        <x:v>50d572abd2dc36ede12e10ea196d2cc190c03d6a0f169dd63ce92c5c5fa3bdc1</x:v>
      </x:c>
    </x:row>
    <x:row r="580">
      <x:c r="A580" t="str">
        <x:v>e451b25187f4</x:v>
      </x:c>
      <x:c r="B580" t="str">
        <x:v>EnvironmentStation</x:v>
      </x:c>
      <x:c r="C580" t="str">
        <x:v>Concept</x:v>
      </x:c>
      <x:c r="D580" t="str">
        <x:v>ConceptArt/env_undead_crypt_necromantic_crystal_001_concept_sheet.txt</x:v>
      </x:c>
      <x:c r="E580" t="n">
        <x:v>2468</x:v>
      </x:c>
      <x:c r="F580" t="n">
        <x:v>318</x:v>
      </x:c>
      <x:c r="G580" t="str">
        <x:v>0f15dfa85d8b28819ba68984bbb83a251f44fe9b740dbf83f01b1201086db1ae</x:v>
      </x:c>
    </x:row>
    <x:row r="581">
      <x:c r="A581" t="str">
        <x:v>cf0615fe138a</x:v>
      </x:c>
      <x:c r="B581" t="str">
        <x:v>EnvironmentStation</x:v>
      </x:c>
      <x:c r="C581" t="str">
        <x:v>Concept</x:v>
      </x:c>
      <x:c r="D581" t="str">
        <x:v>ConceptArt/env_undead_crypt_necromantic_portal_001_concept_sheet.txt</x:v>
      </x:c>
      <x:c r="E581" t="n">
        <x:v>2470</x:v>
      </x:c>
      <x:c r="F581" t="n">
        <x:v>322</x:v>
      </x:c>
      <x:c r="G581" t="str">
        <x:v>be923aac5950eb6b86292586793f31e1bcd10366bf4bc8b74aeb6da1284c86d6</x:v>
      </x:c>
    </x:row>
    <x:row r="582">
      <x:c r="A582" t="str">
        <x:v>3ad6a8624369</x:v>
      </x:c>
      <x:c r="B582" t="str">
        <x:v>EnvironmentStation</x:v>
      </x:c>
      <x:c r="C582" t="str">
        <x:v>Concept</x:v>
      </x:c>
      <x:c r="D582" t="str">
        <x:v>ConceptArt/env_undead_crypt_ossuary_001_concept_sheet.txt</x:v>
      </x:c>
      <x:c r="E582" t="n">
        <x:v>2457</x:v>
      </x:c>
      <x:c r="F582" t="n">
        <x:v>316</x:v>
      </x:c>
      <x:c r="G582" t="str">
        <x:v>c98e796db4f23f4fb99eb8edb54ab48b4241ea626ca96e3f3d71df39c264bdd7</x:v>
      </x:c>
    </x:row>
    <x:row r="583">
      <x:c r="A583" t="str">
        <x:v>16ec7a26c3be</x:v>
      </x:c>
      <x:c r="B583" t="str">
        <x:v>EnvironmentStation</x:v>
      </x:c>
      <x:c r="C583" t="str">
        <x:v>Concept</x:v>
      </x:c>
      <x:c r="D583" t="str">
        <x:v>ConceptArt/env_undead_crypt_ritual_altar_001_concept_sheet.txt</x:v>
      </x:c>
      <x:c r="E583" t="n">
        <x:v>2464</x:v>
      </x:c>
      <x:c r="F583" t="n">
        <x:v>320</x:v>
      </x:c>
      <x:c r="G583" t="str">
        <x:v>f760b2ee0542d8bc76a8b92853f19439dc81f049ab075f8ec5565b010c09632e</x:v>
      </x:c>
    </x:row>
    <x:row r="584">
      <x:c r="A584" t="str">
        <x:v>19d7b5c2526b</x:v>
      </x:c>
      <x:c r="B584" t="str">
        <x:v>EnvironmentStation</x:v>
      </x:c>
      <x:c r="C584" t="str">
        <x:v>Concept</x:v>
      </x:c>
      <x:c r="D584" t="str">
        <x:v>ConceptArt/env_undead_crypt_sarcophagus_001_concept_sheet.txt</x:v>
      </x:c>
      <x:c r="E584" t="n">
        <x:v>2460</x:v>
      </x:c>
      <x:c r="F584" t="n">
        <x:v>319</x:v>
      </x:c>
      <x:c r="G584" t="str">
        <x:v>8ae56671a12ae833c38626b8b71be1055aed996bc85d2c8bd190a2a3b97a209c</x:v>
      </x:c>
    </x:row>
    <x:row r="585">
      <x:c r="A585" t="str">
        <x:v>3eee5f2c1bfa</x:v>
      </x:c>
      <x:c r="B585" t="str">
        <x:v>EnvironmentStation</x:v>
      </x:c>
      <x:c r="C585" t="str">
        <x:v>Concept</x:v>
      </x:c>
      <x:c r="D585" t="str">
        <x:v>ConceptArt/env_undead_crypt_spectral_brazier_001_concept_sheet.txt</x:v>
      </x:c>
      <x:c r="E585" t="n">
        <x:v>2471</x:v>
      </x:c>
      <x:c r="F585" t="n">
        <x:v>321</x:v>
      </x:c>
      <x:c r="G585" t="str">
        <x:v>f168e76fce59e5584d7018b165bc5ab82920c55f33395a60cd8f5b0b2cc66d0f</x:v>
      </x:c>
    </x:row>
    <x:row r="586">
      <x:c r="A586" t="str">
        <x:v>ad3d4b194866</x:v>
      </x:c>
      <x:c r="B586" t="str">
        <x:v>EnvironmentStation</x:v>
      </x:c>
      <x:c r="C586" t="str">
        <x:v>Concept</x:v>
      </x:c>
      <x:c r="D586" t="str">
        <x:v>ConceptArt/env_undead_crypt_spectral_candle_001_concept_sheet.txt</x:v>
      </x:c>
      <x:c r="E586" t="n">
        <x:v>2458</x:v>
      </x:c>
      <x:c r="F586" t="n">
        <x:v>320</x:v>
      </x:c>
      <x:c r="G586" t="str">
        <x:v>d22a73c075c0b11413245fa8dcd2c77b8370b582354c6225064ad48f9c624d55</x:v>
      </x:c>
    </x:row>
    <x:row r="587">
      <x:c r="A587" t="str">
        <x:v>d4ba6aa187cf</x:v>
      </x:c>
      <x:c r="B587" t="str">
        <x:v>EnvironmentStation</x:v>
      </x:c>
      <x:c r="C587" t="str">
        <x:v>Concept</x:v>
      </x:c>
      <x:c r="D587" t="str">
        <x:v>ConceptArt/station_alchemist_t01_001_concept_sheet.txt</x:v>
      </x:c>
      <x:c r="E587" t="n">
        <x:v>2243</x:v>
      </x:c>
      <x:c r="F587" t="n">
        <x:v>298</x:v>
      </x:c>
      <x:c r="G587" t="str">
        <x:v>0e233712e946d46449daa4bf42bbbf388470fa81bfcdfee2a58d37a2e94b2db8</x:v>
      </x:c>
    </x:row>
    <x:row r="588">
      <x:c r="A588" t="str">
        <x:v>457fceeeed7a</x:v>
      </x:c>
      <x:c r="B588" t="str">
        <x:v>EnvironmentStation</x:v>
      </x:c>
      <x:c r="C588" t="str">
        <x:v>Concept</x:v>
      </x:c>
      <x:c r="D588" t="str">
        <x:v>ConceptArt/station_alchemist_t03_001_concept_sheet.txt</x:v>
      </x:c>
      <x:c r="E588" t="n">
        <x:v>2337</x:v>
      </x:c>
      <x:c r="F588" t="n">
        <x:v>307</x:v>
      </x:c>
      <x:c r="G588" t="str">
        <x:v>37c1ab44d6b2bfdc154a444eb9a063ee3e0979b01f8e332c8a5aef9f27617f28</x:v>
      </x:c>
    </x:row>
    <x:row r="589">
      <x:c r="A589" t="str">
        <x:v>5d0fd0c24580</x:v>
      </x:c>
      <x:c r="B589" t="str">
        <x:v>EnvironmentStation</x:v>
      </x:c>
      <x:c r="C589" t="str">
        <x:v>Concept</x:v>
      </x:c>
      <x:c r="D589" t="str">
        <x:v>ConceptArt/station_alchemist_t05_001_concept_sheet.txt</x:v>
      </x:c>
      <x:c r="E589" t="n">
        <x:v>2350</x:v>
      </x:c>
      <x:c r="F589" t="n">
        <x:v>307</x:v>
      </x:c>
      <x:c r="G589" t="str">
        <x:v>344883763f080a183204d88c05d668eba4c754f571a14622ab6a1a6fdf4e1c3d</x:v>
      </x:c>
    </x:row>
    <x:row r="590">
      <x:c r="A590" t="str">
        <x:v>d60b3d588a39</x:v>
      </x:c>
      <x:c r="B590" t="str">
        <x:v>EnvironmentStation</x:v>
      </x:c>
      <x:c r="C590" t="str">
        <x:v>Concept</x:v>
      </x:c>
      <x:c r="D590" t="str">
        <x:v>ConceptArt/station_alchemist_t07_001_concept_sheet.txt</x:v>
      </x:c>
      <x:c r="E590" t="n">
        <x:v>2350</x:v>
      </x:c>
      <x:c r="F590" t="n">
        <x:v>305</x:v>
      </x:c>
      <x:c r="G590" t="str">
        <x:v>1db0d8d51977bd9501d0cca3c3a835927eee05e5d7c1b50289a39002ba5a9692</x:v>
      </x:c>
    </x:row>
    <x:row r="591">
      <x:c r="A591" t="str">
        <x:v>9cf4ffebaf70</x:v>
      </x:c>
      <x:c r="B591" t="str">
        <x:v>EnvironmentStation</x:v>
      </x:c>
      <x:c r="C591" t="str">
        <x:v>Concept</x:v>
      </x:c>
      <x:c r="D591" t="str">
        <x:v>ConceptArt/station_alchemist_t09_001_concept_sheet.txt</x:v>
      </x:c>
      <x:c r="E591" t="n">
        <x:v>2353</x:v>
      </x:c>
      <x:c r="F591" t="n">
        <x:v>307</x:v>
      </x:c>
      <x:c r="G591" t="str">
        <x:v>1729c1e0034f5db4f196aacafb75ceb9329f43370fab65b41ff00a37c208234e</x:v>
      </x:c>
    </x:row>
    <x:row r="592">
      <x:c r="A592" t="str">
        <x:v>ff9499eb7d92</x:v>
      </x:c>
      <x:c r="B592" t="str">
        <x:v>EnvironmentStation</x:v>
      </x:c>
      <x:c r="C592" t="str">
        <x:v>Concept</x:v>
      </x:c>
      <x:c r="D592" t="str">
        <x:v>ConceptArt/station_blacksmith_t01_001_concept_sheet.txt</x:v>
      </x:c>
      <x:c r="E592" t="n">
        <x:v>2216</x:v>
      </x:c>
      <x:c r="F592" t="n">
        <x:v>299</x:v>
      </x:c>
      <x:c r="G592" t="str">
        <x:v>ac6962834b267dfa7c46a36f0661a3b9184d9f7d9fc7a4525dd776e83cec96eb</x:v>
      </x:c>
    </x:row>
    <x:row r="593">
      <x:c r="A593" t="str">
        <x:v>2404db87efd2</x:v>
      </x:c>
      <x:c r="B593" t="str">
        <x:v>EnvironmentStation</x:v>
      </x:c>
      <x:c r="C593" t="str">
        <x:v>Concept</x:v>
      </x:c>
      <x:c r="D593" t="str">
        <x:v>ConceptArt/station_blacksmith_t03_001_concept_sheet.txt</x:v>
      </x:c>
      <x:c r="E593" t="n">
        <x:v>2310</x:v>
      </x:c>
      <x:c r="F593" t="n">
        <x:v>308</x:v>
      </x:c>
      <x:c r="G593" t="str">
        <x:v>21211fb45e0087a2a23c3ff7d7e6357338536529fc9c7aafdfdbec6631586146</x:v>
      </x:c>
    </x:row>
    <x:row r="594">
      <x:c r="A594" t="str">
        <x:v>a2936d6dd196</x:v>
      </x:c>
      <x:c r="B594" t="str">
        <x:v>EnvironmentStation</x:v>
      </x:c>
      <x:c r="C594" t="str">
        <x:v>Concept</x:v>
      </x:c>
      <x:c r="D594" t="str">
        <x:v>ConceptArt/station_blacksmith_t05_001_concept_sheet.txt</x:v>
      </x:c>
      <x:c r="E594" t="n">
        <x:v>2323</x:v>
      </x:c>
      <x:c r="F594" t="n">
        <x:v>308</x:v>
      </x:c>
      <x:c r="G594" t="str">
        <x:v>aae347e3864ad77434d1797740451e4f8b81df850843e0363a5052b81ea88d65</x:v>
      </x:c>
    </x:row>
    <x:row r="595">
      <x:c r="A595" t="str">
        <x:v>d7d8a8a8e24b</x:v>
      </x:c>
      <x:c r="B595" t="str">
        <x:v>EnvironmentStation</x:v>
      </x:c>
      <x:c r="C595" t="str">
        <x:v>Concept</x:v>
      </x:c>
      <x:c r="D595" t="str">
        <x:v>ConceptArt/station_blacksmith_t07_001_concept_sheet.txt</x:v>
      </x:c>
      <x:c r="E595" t="n">
        <x:v>2323</x:v>
      </x:c>
      <x:c r="F595" t="n">
        <x:v>306</x:v>
      </x:c>
      <x:c r="G595" t="str">
        <x:v>33b3da122fb60a50813ac1ac2b6dc2fd8442a785fe0a4e7e7da4582d05e2afc4</x:v>
      </x:c>
    </x:row>
    <x:row r="596">
      <x:c r="A596" t="str">
        <x:v>e05d4884caf0</x:v>
      </x:c>
      <x:c r="B596" t="str">
        <x:v>EnvironmentStation</x:v>
      </x:c>
      <x:c r="C596" t="str">
        <x:v>Concept</x:v>
      </x:c>
      <x:c r="D596" t="str">
        <x:v>ConceptArt/station_blacksmith_t09_001_concept_sheet.txt</x:v>
      </x:c>
      <x:c r="E596" t="n">
        <x:v>2326</x:v>
      </x:c>
      <x:c r="F596" t="n">
        <x:v>308</x:v>
      </x:c>
      <x:c r="G596" t="str">
        <x:v>00cd4ad9346b33e03d8234d9a9494df6a50a5cf6bda33fa6858b6b7a19550491</x:v>
      </x:c>
    </x:row>
    <x:row r="597">
      <x:c r="A597" t="str">
        <x:v>ef43b901fc5f</x:v>
      </x:c>
      <x:c r="B597" t="str">
        <x:v>EnvironmentStation</x:v>
      </x:c>
      <x:c r="C597" t="str">
        <x:v>Concept</x:v>
      </x:c>
      <x:c r="D597" t="str">
        <x:v>ConceptArt/station_enchanter_t01_001_concept_sheet.txt</x:v>
      </x:c>
      <x:c r="E597" t="n">
        <x:v>2285</x:v>
      </x:c>
      <x:c r="F597" t="n">
        <x:v>302</x:v>
      </x:c>
      <x:c r="G597" t="str">
        <x:v>e40ba1ef60317cb9ecbaed6109a55980acafd858d379d9414a0e86d55c780e74</x:v>
      </x:c>
    </x:row>
    <x:row r="598">
      <x:c r="A598" t="str">
        <x:v>4e2f3c43982c</x:v>
      </x:c>
      <x:c r="B598" t="str">
        <x:v>EnvironmentStation</x:v>
      </x:c>
      <x:c r="C598" t="str">
        <x:v>Concept</x:v>
      </x:c>
      <x:c r="D598" t="str">
        <x:v>ConceptArt/station_enchanter_t03_001_concept_sheet.txt</x:v>
      </x:c>
      <x:c r="E598" t="n">
        <x:v>2379</x:v>
      </x:c>
      <x:c r="F598" t="n">
        <x:v>311</x:v>
      </x:c>
      <x:c r="G598" t="str">
        <x:v>07c2072e93f77eb2c759d2d1709f3096b1e7b5253778b65d786962a5bf9b0157</x:v>
      </x:c>
    </x:row>
    <x:row r="599">
      <x:c r="A599" t="str">
        <x:v>4eac813fb6dc</x:v>
      </x:c>
      <x:c r="B599" t="str">
        <x:v>EnvironmentStation</x:v>
      </x:c>
      <x:c r="C599" t="str">
        <x:v>Concept</x:v>
      </x:c>
      <x:c r="D599" t="str">
        <x:v>ConceptArt/station_enchanter_t05_001_concept_sheet.txt</x:v>
      </x:c>
      <x:c r="E599" t="n">
        <x:v>2392</x:v>
      </x:c>
      <x:c r="F599" t="n">
        <x:v>311</x:v>
      </x:c>
      <x:c r="G599" t="str">
        <x:v>3c2275cc310d0cf49f0754ceecf4793f431f41b3cacad2f3a29f384c6563e700</x:v>
      </x:c>
    </x:row>
    <x:row r="600">
      <x:c r="A600" t="str">
        <x:v>a7184a7537e7</x:v>
      </x:c>
      <x:c r="B600" t="str">
        <x:v>EnvironmentStation</x:v>
      </x:c>
      <x:c r="C600" t="str">
        <x:v>Concept</x:v>
      </x:c>
      <x:c r="D600" t="str">
        <x:v>ConceptArt/station_enchanter_t07_001_concept_sheet.txt</x:v>
      </x:c>
      <x:c r="E600" t="n">
        <x:v>2392</x:v>
      </x:c>
      <x:c r="F600" t="n">
        <x:v>309</x:v>
      </x:c>
      <x:c r="G600" t="str">
        <x:v>b2a9ececed2307d4a0b27c9cdf8a0b68131b2fcc1ecf5789ee4daeb62d102fa7</x:v>
      </x:c>
    </x:row>
    <x:row r="601">
      <x:c r="A601" t="str">
        <x:v>2ef220ef74c4</x:v>
      </x:c>
      <x:c r="B601" t="str">
        <x:v>EnvironmentStation</x:v>
      </x:c>
      <x:c r="C601" t="str">
        <x:v>Concept</x:v>
      </x:c>
      <x:c r="D601" t="str">
        <x:v>ConceptArt/station_enchanter_t09_001_concept_sheet.txt</x:v>
      </x:c>
      <x:c r="E601" t="n">
        <x:v>2395</x:v>
      </x:c>
      <x:c r="F601" t="n">
        <x:v>311</x:v>
      </x:c>
      <x:c r="G601" t="str">
        <x:v>aad14d62d35e98fefda997b296da07336bb6d5ebc250348c1dccf1839247fc7f</x:v>
      </x:c>
    </x:row>
    <x:row r="602">
      <x:c r="A602" t="str">
        <x:v>f46b097ae9bc</x:v>
      </x:c>
      <x:c r="B602" t="str">
        <x:v>EnvironmentStation</x:v>
      </x:c>
      <x:c r="C602" t="str">
        <x:v>Concept</x:v>
      </x:c>
      <x:c r="D602" t="str">
        <x:v>ConceptArt/station_gatherer_t01_001_concept_sheet.txt</x:v>
      </x:c>
      <x:c r="E602" t="n">
        <x:v>2261</x:v>
      </x:c>
      <x:c r="F602" t="n">
        <x:v>301</x:v>
      </x:c>
      <x:c r="G602" t="str">
        <x:v>4855b6f542308622aa58508b1d8fa6c5eee46ea4eac12594cc1540e8d0f70710</x:v>
      </x:c>
    </x:row>
    <x:row r="603">
      <x:c r="A603" t="str">
        <x:v>33452832d63d</x:v>
      </x:c>
      <x:c r="B603" t="str">
        <x:v>EnvironmentStation</x:v>
      </x:c>
      <x:c r="C603" t="str">
        <x:v>Concept</x:v>
      </x:c>
      <x:c r="D603" t="str">
        <x:v>ConceptArt/station_gatherer_t03_001_concept_sheet.txt</x:v>
      </x:c>
      <x:c r="E603" t="n">
        <x:v>2355</x:v>
      </x:c>
      <x:c r="F603" t="n">
        <x:v>310</x:v>
      </x:c>
      <x:c r="G603" t="str">
        <x:v>c35ce3ced52fd1124dcf0afbf56246361fabb61077eeef3c6eb272563f2a0076</x:v>
      </x:c>
    </x:row>
    <x:row r="604">
      <x:c r="A604" t="str">
        <x:v>8dee1c4ec8b1</x:v>
      </x:c>
      <x:c r="B604" t="str">
        <x:v>EnvironmentStation</x:v>
      </x:c>
      <x:c r="C604" t="str">
        <x:v>Concept</x:v>
      </x:c>
      <x:c r="D604" t="str">
        <x:v>ConceptArt/station_gatherer_t05_001_concept_sheet.txt</x:v>
      </x:c>
      <x:c r="E604" t="n">
        <x:v>2368</x:v>
      </x:c>
      <x:c r="F604" t="n">
        <x:v>310</x:v>
      </x:c>
      <x:c r="G604" t="str">
        <x:v>f160f26acab2dd9ca003f6b96923ca93d582b4abf6a8af3a86ad06c64ec481f9</x:v>
      </x:c>
    </x:row>
    <x:row r="605">
      <x:c r="A605" t="str">
        <x:v>055f721240b5</x:v>
      </x:c>
      <x:c r="B605" t="str">
        <x:v>EnvironmentStation</x:v>
      </x:c>
      <x:c r="C605" t="str">
        <x:v>Concept</x:v>
      </x:c>
      <x:c r="D605" t="str">
        <x:v>ConceptArt/station_gatherer_t07_001_concept_sheet.txt</x:v>
      </x:c>
      <x:c r="E605" t="n">
        <x:v>2368</x:v>
      </x:c>
      <x:c r="F605" t="n">
        <x:v>308</x:v>
      </x:c>
      <x:c r="G605" t="str">
        <x:v>d64081f57dc24906760991cc5295f6c916329a8612bb9c402de5f5f506ef0887</x:v>
      </x:c>
    </x:row>
    <x:row r="606">
      <x:c r="A606" t="str">
        <x:v>8264194d6047</x:v>
      </x:c>
      <x:c r="B606" t="str">
        <x:v>EnvironmentStation</x:v>
      </x:c>
      <x:c r="C606" t="str">
        <x:v>Concept</x:v>
      </x:c>
      <x:c r="D606" t="str">
        <x:v>ConceptArt/station_gatherer_t09_001_concept_sheet.txt</x:v>
      </x:c>
      <x:c r="E606" t="n">
        <x:v>2371</x:v>
      </x:c>
      <x:c r="F606" t="n">
        <x:v>310</x:v>
      </x:c>
      <x:c r="G606" t="str">
        <x:v>66b75be90c0565eb16bb00914c2cfe4599944f7495686ca01389de2a07daff7c</x:v>
      </x:c>
    </x:row>
    <x:row r="607">
      <x:c r="A607" t="str">
        <x:v>c2db11903ee1</x:v>
      </x:c>
      <x:c r="B607" t="str">
        <x:v>EnvironmentStation</x:v>
      </x:c>
      <x:c r="C607" t="str">
        <x:v>Concept</x:v>
      </x:c>
      <x:c r="D607" t="str">
        <x:v>ConceptArt/station_tailor_t01_001_concept_sheet.txt</x:v>
      </x:c>
      <x:c r="E607" t="n">
        <x:v>2266</x:v>
      </x:c>
      <x:c r="F607" t="n">
        <x:v>301</x:v>
      </x:c>
      <x:c r="G607" t="str">
        <x:v>b1d9e65240c4420891465c49add3a832a6983cb032d66ae57fa47ed5831f183b</x:v>
      </x:c>
    </x:row>
    <x:row r="608">
      <x:c r="A608" t="str">
        <x:v>8de9ce243e4d</x:v>
      </x:c>
      <x:c r="B608" t="str">
        <x:v>EnvironmentStation</x:v>
      </x:c>
      <x:c r="C608" t="str">
        <x:v>Concept</x:v>
      </x:c>
      <x:c r="D608" t="str">
        <x:v>ConceptArt/station_tailor_t03_001_concept_sheet.txt</x:v>
      </x:c>
      <x:c r="E608" t="n">
        <x:v>2360</x:v>
      </x:c>
      <x:c r="F608" t="n">
        <x:v>310</x:v>
      </x:c>
      <x:c r="G608" t="str">
        <x:v>aa398f18c5346cca52b75d4a5da1aecd40b3c3f1e59aa6975df04b9c5e174e0b</x:v>
      </x:c>
    </x:row>
    <x:row r="609">
      <x:c r="A609" t="str">
        <x:v>92b4064599bd</x:v>
      </x:c>
      <x:c r="B609" t="str">
        <x:v>EnvironmentStation</x:v>
      </x:c>
      <x:c r="C609" t="str">
        <x:v>Concept</x:v>
      </x:c>
      <x:c r="D609" t="str">
        <x:v>ConceptArt/station_tailor_t05_001_concept_sheet.txt</x:v>
      </x:c>
      <x:c r="E609" t="n">
        <x:v>2373</x:v>
      </x:c>
      <x:c r="F609" t="n">
        <x:v>310</x:v>
      </x:c>
      <x:c r="G609" t="str">
        <x:v>8cd830e09bce8a9e1a34cfaed31a22e58fe05b569df09412401d67f6ebaa8187</x:v>
      </x:c>
    </x:row>
    <x:row r="610">
      <x:c r="A610" t="str">
        <x:v>8102a5391cf1</x:v>
      </x:c>
      <x:c r="B610" t="str">
        <x:v>EnvironmentStation</x:v>
      </x:c>
      <x:c r="C610" t="str">
        <x:v>Concept</x:v>
      </x:c>
      <x:c r="D610" t="str">
        <x:v>ConceptArt/station_tailor_t07_001_concept_sheet.txt</x:v>
      </x:c>
      <x:c r="E610" t="n">
        <x:v>2373</x:v>
      </x:c>
      <x:c r="F610" t="n">
        <x:v>308</x:v>
      </x:c>
      <x:c r="G610" t="str">
        <x:v>b16dfb077b8d9585fda937be57697650f8b4468570f24617dca8cbaa82ad59cf</x:v>
      </x:c>
    </x:row>
    <x:row r="611">
      <x:c r="A611" t="str">
        <x:v>64fa6372e9f6</x:v>
      </x:c>
      <x:c r="B611" t="str">
        <x:v>EnvironmentStation</x:v>
      </x:c>
      <x:c r="C611" t="str">
        <x:v>Concept</x:v>
      </x:c>
      <x:c r="D611" t="str">
        <x:v>ConceptArt/station_tailor_t09_001_concept_sheet.txt</x:v>
      </x:c>
      <x:c r="E611" t="n">
        <x:v>2376</x:v>
      </x:c>
      <x:c r="F611" t="n">
        <x:v>310</x:v>
      </x:c>
      <x:c r="G611" t="str">
        <x:v>f10e3ea9385c9097ce8ac59247a7dbfef91dafe31a56a2a05cbc883f163d61d1</x:v>
      </x:c>
    </x:row>
    <x:row r="612">
      <x:c r="A612" t="str">
        <x:v>0144e88540b6</x:v>
      </x:c>
      <x:c r="B612" t="str">
        <x:v>EnvironmentStation</x:v>
      </x:c>
      <x:c r="C612" t="str">
        <x:v>Geometry</x:v>
      </x:c>
      <x:c r="D612" t="str">
        <x:v>Meshy/env_goblin_mine_camp_gate_001_geometry.txt</x:v>
      </x:c>
      <x:c r="E612" t="n">
        <x:v>2642</x:v>
      </x:c>
      <x:c r="F612" t="n">
        <x:v>355</x:v>
      </x:c>
      <x:c r="G612" t="str">
        <x:v>6977690a0fe0ca17fb4a75694199d72cfced85c0fa79f3b3b1dd1d5f03430575</x:v>
      </x:c>
    </x:row>
    <x:row r="613">
      <x:c r="A613" t="str">
        <x:v>6746d92f17b7</x:v>
      </x:c>
      <x:c r="B613" t="str">
        <x:v>EnvironmentStation</x:v>
      </x:c>
      <x:c r="C613" t="str">
        <x:v>Geometry</x:v>
      </x:c>
      <x:c r="D613" t="str">
        <x:v>Meshy/env_goblin_mine_goblin_barrel_001_geometry.txt</x:v>
      </x:c>
      <x:c r="E613" t="n">
        <x:v>2570</x:v>
      </x:c>
      <x:c r="F613" t="n">
        <x:v>345</x:v>
      </x:c>
      <x:c r="G613" t="str">
        <x:v>e7e4aa1b603fda61fee7ec765476d7089f8177e68cca7a8ae69f67c968f1b795</x:v>
      </x:c>
    </x:row>
    <x:row r="614">
      <x:c r="A614" t="str">
        <x:v>2da28e11a7d3</x:v>
      </x:c>
      <x:c r="B614" t="str">
        <x:v>EnvironmentStation</x:v>
      </x:c>
      <x:c r="C614" t="str">
        <x:v>Geometry</x:v>
      </x:c>
      <x:c r="D614" t="str">
        <x:v>Meshy/env_goblin_mine_goblin_crate_001_geometry.txt</x:v>
      </x:c>
      <x:c r="E614" t="n">
        <x:v>2578</x:v>
      </x:c>
      <x:c r="F614" t="n">
        <x:v>346</x:v>
      </x:c>
      <x:c r="G614" t="str">
        <x:v>f90779f5cc9c5ae596b70fb877a05fdfd716ae078aebc7769e42ca80a55c7987</x:v>
      </x:c>
    </x:row>
    <x:row r="615">
      <x:c r="A615" t="str">
        <x:v>3d4b8dd074e3</x:v>
      </x:c>
      <x:c r="B615" t="str">
        <x:v>EnvironmentStation</x:v>
      </x:c>
      <x:c r="C615" t="str">
        <x:v>Geometry</x:v>
      </x:c>
      <x:c r="D615" t="str">
        <x:v>Meshy/env_goblin_mine_goblin_king_throne_001_geometry.txt</x:v>
      </x:c>
      <x:c r="E615" t="n">
        <x:v>2627</x:v>
      </x:c>
      <x:c r="F615" t="n">
        <x:v>352</x:v>
      </x:c>
      <x:c r="G615" t="str">
        <x:v>741febee248e1207609114e54949291e6b4c4249979484d5ae63377ee65b9690</x:v>
      </x:c>
    </x:row>
    <x:row r="616">
      <x:c r="A616" t="str">
        <x:v>71291144a42c</x:v>
      </x:c>
      <x:c r="B616" t="str">
        <x:v>EnvironmentStation</x:v>
      </x:c>
      <x:c r="C616" t="str">
        <x:v>Geometry</x:v>
      </x:c>
      <x:c r="D616" t="str">
        <x:v>Meshy/env_goblin_mine_goblin_tent_001_geometry.txt</x:v>
      </x:c>
      <x:c r="E616" t="n">
        <x:v>2583</x:v>
      </x:c>
      <x:c r="F616" t="n">
        <x:v>348</x:v>
      </x:c>
      <x:c r="G616" t="str">
        <x:v>6b97930fe6aec3c2b3289cbec9a8f19b96f721b13e264cdb2991760adf2d1bf7</x:v>
      </x:c>
    </x:row>
    <x:row r="617">
      <x:c r="A617" t="str">
        <x:v>c7639128480c</x:v>
      </x:c>
      <x:c r="B617" t="str">
        <x:v>EnvironmentStation</x:v>
      </x:c>
      <x:c r="C617" t="str">
        <x:v>Geometry</x:v>
      </x:c>
      <x:c r="D617" t="str">
        <x:v>Meshy/env_goblin_mine_ground_dirt_tile_001_geometry.txt</x:v>
      </x:c>
      <x:c r="E617" t="n">
        <x:v>2610</x:v>
      </x:c>
      <x:c r="F617" t="n">
        <x:v>352</x:v>
      </x:c>
      <x:c r="G617" t="str">
        <x:v>3d81a3e4915c1c33ae883fef239d4761866d2f0917bdc26e996ff579c620260e</x:v>
      </x:c>
    </x:row>
    <x:row r="618">
      <x:c r="A618" t="str">
        <x:v>6ebb0af4165e</x:v>
      </x:c>
      <x:c r="B618" t="str">
        <x:v>EnvironmentStation</x:v>
      </x:c>
      <x:c r="C618" t="str">
        <x:v>Geometry</x:v>
      </x:c>
      <x:c r="D618" t="str">
        <x:v>Meshy/env_goblin_mine_ground_stone_tile_001_geometry.txt</x:v>
      </x:c>
      <x:c r="E618" t="n">
        <x:v>2595</x:v>
      </x:c>
      <x:c r="F618" t="n">
        <x:v>352</x:v>
      </x:c>
      <x:c r="G618" t="str">
        <x:v>563dc8cfb0965aa0c98d3773219bdd8729c9aa1f4206c9d0a959ecb3f504e167</x:v>
      </x:c>
    </x:row>
    <x:row r="619">
      <x:c r="A619" t="str">
        <x:v>9276a265bdd0</x:v>
      </x:c>
      <x:c r="B619" t="str">
        <x:v>EnvironmentStation</x:v>
      </x:c>
      <x:c r="C619" t="str">
        <x:v>Geometry</x:v>
      </x:c>
      <x:c r="D619" t="str">
        <x:v>Meshy/env_goblin_mine_mine_arch_001_geometry.txt</x:v>
      </x:c>
      <x:c r="E619" t="n">
        <x:v>2588</x:v>
      </x:c>
      <x:c r="F619" t="n">
        <x:v>346</x:v>
      </x:c>
      <x:c r="G619" t="str">
        <x:v>2a5d9483fe0c2e1b9f615cac738bd32095e070950e12727fde1809a1d8f856cd</x:v>
      </x:c>
    </x:row>
    <x:row r="620">
      <x:c r="A620" t="str">
        <x:v>c33ab6672ada</x:v>
      </x:c>
      <x:c r="B620" t="str">
        <x:v>EnvironmentStation</x:v>
      </x:c>
      <x:c r="C620" t="str">
        <x:v>Geometry</x:v>
      </x:c>
      <x:c r="D620" t="str">
        <x:v>Meshy/env_goblin_mine_mine_cart_001_geometry.txt</x:v>
      </x:c>
      <x:c r="E620" t="n">
        <x:v>2549</x:v>
      </x:c>
      <x:c r="F620" t="n">
        <x:v>343</x:v>
      </x:c>
      <x:c r="G620" t="str">
        <x:v>eb57b100be10541f46beaa0f1b169871013d2b6335918c874e7847ccb3574a0b</x:v>
      </x:c>
    </x:row>
    <x:row r="621">
      <x:c r="A621" t="str">
        <x:v>e9f6724419c4</x:v>
      </x:c>
      <x:c r="B621" t="str">
        <x:v>EnvironmentStation</x:v>
      </x:c>
      <x:c r="C621" t="str">
        <x:v>Geometry</x:v>
      </x:c>
      <x:c r="D621" t="str">
        <x:v>Meshy/env_goblin_mine_mine_track_curve_001_geometry.txt</x:v>
      </x:c>
      <x:c r="E621" t="n">
        <x:v>2592</x:v>
      </x:c>
      <x:c r="F621" t="n">
        <x:v>350</x:v>
      </x:c>
      <x:c r="G621" t="str">
        <x:v>da03e69366c777362d2b9477a6fdfdac8e887d49badfd339bacd2e970b79a8ae</x:v>
      </x:c>
    </x:row>
    <x:row r="622">
      <x:c r="A622" t="str">
        <x:v>22049142efb4</x:v>
      </x:c>
      <x:c r="B622" t="str">
        <x:v>EnvironmentStation</x:v>
      </x:c>
      <x:c r="C622" t="str">
        <x:v>Geometry</x:v>
      </x:c>
      <x:c r="D622" t="str">
        <x:v>Meshy/env_goblin_mine_mine_track_straight_001_geometry.txt</x:v>
      </x:c>
      <x:c r="E622" t="n">
        <x:v>2597</x:v>
      </x:c>
      <x:c r="F622" t="n">
        <x:v>350</x:v>
      </x:c>
      <x:c r="G622" t="str">
        <x:v>62083e8278b2bf07eea6a89130dadfa6c842c1236ff7c3ffe6eda0cb2c1cdd14</x:v>
      </x:c>
    </x:row>
    <x:row r="623">
      <x:c r="A623" t="str">
        <x:v>1d119927003e</x:v>
      </x:c>
      <x:c r="B623" t="str">
        <x:v>EnvironmentStation</x:v>
      </x:c>
      <x:c r="C623" t="str">
        <x:v>Geometry</x:v>
      </x:c>
      <x:c r="D623" t="str">
        <x:v>Meshy/env_goblin_mine_mine_wall_corner_001_geometry.txt</x:v>
      </x:c>
      <x:c r="E623" t="n">
        <x:v>2592</x:v>
      </x:c>
      <x:c r="F623" t="n">
        <x:v>348</x:v>
      </x:c>
      <x:c r="G623" t="str">
        <x:v>95d4d5c7974eb4910ec7ea392238ee5758b78454bd5e17e15e757eb51b52a001</x:v>
      </x:c>
    </x:row>
    <x:row r="624">
      <x:c r="A624" t="str">
        <x:v>f763904d618b</x:v>
      </x:c>
      <x:c r="B624" t="str">
        <x:v>EnvironmentStation</x:v>
      </x:c>
      <x:c r="C624" t="str">
        <x:v>Geometry</x:v>
      </x:c>
      <x:c r="D624" t="str">
        <x:v>Meshy/env_goblin_mine_mine_wall_straight_001_geometry.txt</x:v>
      </x:c>
      <x:c r="E624" t="n">
        <x:v>2594</x:v>
      </x:c>
      <x:c r="F624" t="n">
        <x:v>349</x:v>
      </x:c>
      <x:c r="G624" t="str">
        <x:v>68ba1520f89fedde98bf8722e9e1a8aff67148ea8f81003148e809c98b0930c5</x:v>
      </x:c>
    </x:row>
    <x:row r="625">
      <x:c r="A625" t="str">
        <x:v>76c32082ef3b</x:v>
      </x:c>
      <x:c r="B625" t="str">
        <x:v>EnvironmentStation</x:v>
      </x:c>
      <x:c r="C625" t="str">
        <x:v>Geometry</x:v>
      </x:c>
      <x:c r="D625" t="str">
        <x:v>Meshy/env_goblin_mine_ore_pile_001_geometry.txt</x:v>
      </x:c>
      <x:c r="E625" t="n">
        <x:v>2554</x:v>
      </x:c>
      <x:c r="F625" t="n">
        <x:v>346</x:v>
      </x:c>
      <x:c r="G625" t="str">
        <x:v>82c610e473622c2ea4661ca07840b08e2af8b42b2881f900fcb60568265be5e8</x:v>
      </x:c>
    </x:row>
    <x:row r="626">
      <x:c r="A626" t="str">
        <x:v>aba256390da0</x:v>
      </x:c>
      <x:c r="B626" t="str">
        <x:v>EnvironmentStation</x:v>
      </x:c>
      <x:c r="C626" t="str">
        <x:v>Geometry</x:v>
      </x:c>
      <x:c r="D626" t="str">
        <x:v>Meshy/env_goblin_mine_rope_bridge_001_geometry.txt</x:v>
      </x:c>
      <x:c r="E626" t="n">
        <x:v>2626</x:v>
      </x:c>
      <x:c r="F626" t="n">
        <x:v>352</x:v>
      </x:c>
      <x:c r="G626" t="str">
        <x:v>f599bc2e65a81830fde753675ed9182ca1ae63b69da07b13f5b61c4be4cc95c4</x:v>
      </x:c>
    </x:row>
    <x:row r="627">
      <x:c r="A627" t="str">
        <x:v>9410f8043c42</x:v>
      </x:c>
      <x:c r="B627" t="str">
        <x:v>EnvironmentStation</x:v>
      </x:c>
      <x:c r="C627" t="str">
        <x:v>Geometry</x:v>
      </x:c>
      <x:c r="D627" t="str">
        <x:v>Meshy/env_goblin_mine_scrap_barricade_001_geometry.txt</x:v>
      </x:c>
      <x:c r="E627" t="n">
        <x:v>2591</x:v>
      </x:c>
      <x:c r="F627" t="n">
        <x:v>348</x:v>
      </x:c>
      <x:c r="G627" t="str">
        <x:v>f16036a2609db5aeb6c45fda506948d750e9bb4213f504f37c9ec08ea60c2eac</x:v>
      </x:c>
    </x:row>
    <x:row r="628">
      <x:c r="A628" t="str">
        <x:v>f1e0bf2c3273</x:v>
      </x:c>
      <x:c r="B628" t="str">
        <x:v>EnvironmentStation</x:v>
      </x:c>
      <x:c r="C628" t="str">
        <x:v>Geometry</x:v>
      </x:c>
      <x:c r="D628" t="str">
        <x:v>Meshy/env_goblin_mine_wall_torch_001_geometry.txt</x:v>
      </x:c>
      <x:c r="E628" t="n">
        <x:v>2546</x:v>
      </x:c>
      <x:c r="F628" t="n">
        <x:v>343</x:v>
      </x:c>
      <x:c r="G628" t="str">
        <x:v>6a5d0b5a8f21b9e230f30b5715ecb0e38e873d19e5b645b0a78534c90a3cb235</x:v>
      </x:c>
    </x:row>
    <x:row r="629">
      <x:c r="A629" t="str">
        <x:v>2620bff305e0</x:v>
      </x:c>
      <x:c r="B629" t="str">
        <x:v>EnvironmentStation</x:v>
      </x:c>
      <x:c r="C629" t="str">
        <x:v>Geometry</x:v>
      </x:c>
      <x:c r="D629" t="str">
        <x:v>Meshy/env_goblin_mine_watchtower_001_geometry.txt</x:v>
      </x:c>
      <x:c r="E629" t="n">
        <x:v>2572</x:v>
      </x:c>
      <x:c r="F629" t="n">
        <x:v>344</x:v>
      </x:c>
      <x:c r="G629" t="str">
        <x:v>4b9bbe83c467a2e2179bff56f18062c8e59e33893c90dbfab8ebe8388cbaf08f</x:v>
      </x:c>
    </x:row>
    <x:row r="630">
      <x:c r="A630" t="str">
        <x:v>32148cc1d587</x:v>
      </x:c>
      <x:c r="B630" t="str">
        <x:v>EnvironmentStation</x:v>
      </x:c>
      <x:c r="C630" t="str">
        <x:v>Geometry</x:v>
      </x:c>
      <x:c r="D630" t="str">
        <x:v>Meshy/env_goblin_mine_wood_cage_001_geometry.txt</x:v>
      </x:c>
      <x:c r="E630" t="n">
        <x:v>2562</x:v>
      </x:c>
      <x:c r="F630" t="n">
        <x:v>344</x:v>
      </x:c>
      <x:c r="G630" t="str">
        <x:v>4076d872dfe1f5acf0a37cffaabdc3792822e41c622445596b96c3c711d917a7</x:v>
      </x:c>
    </x:row>
    <x:row r="631">
      <x:c r="A631" t="str">
        <x:v>3e14328dd6b6</x:v>
      </x:c>
      <x:c r="B631" t="str">
        <x:v>EnvironmentStation</x:v>
      </x:c>
      <x:c r="C631" t="str">
        <x:v>Geometry</x:v>
      </x:c>
      <x:c r="D631" t="str">
        <x:v>Meshy/env_goblin_mine_wood_support_beam_001_geometry.txt</x:v>
      </x:c>
      <x:c r="E631" t="n">
        <x:v>2593</x:v>
      </x:c>
      <x:c r="F631" t="n">
        <x:v>351</x:v>
      </x:c>
      <x:c r="G631" t="str">
        <x:v>3e8800ef949fa0676774f9e87e03e330bf3d5a60054a26fbb3f210a486be7e90</x:v>
      </x:c>
    </x:row>
    <x:row r="632">
      <x:c r="A632" t="str">
        <x:v>2f620e329ad6</x:v>
      </x:c>
      <x:c r="B632" t="str">
        <x:v>EnvironmentStation</x:v>
      </x:c>
      <x:c r="C632" t="str">
        <x:v>Geometry</x:v>
      </x:c>
      <x:c r="D632" t="str">
        <x:v>Meshy/env_infernal_fortress_basalt_floor_tile_001_geometry.txt</x:v>
      </x:c>
      <x:c r="E632" t="n">
        <x:v>2669</x:v>
      </x:c>
      <x:c r="F632" t="n">
        <x:v>357</x:v>
      </x:c>
      <x:c r="G632" t="str">
        <x:v>40cb3e407083c38d7c44451c62d492b8ecd7d56edac47e2789cb798d64ffab9b</x:v>
      </x:c>
    </x:row>
    <x:row r="633">
      <x:c r="A633" t="str">
        <x:v>4fa8f5097e39</x:v>
      </x:c>
      <x:c r="B633" t="str">
        <x:v>EnvironmentStation</x:v>
      </x:c>
      <x:c r="C633" t="str">
        <x:v>Geometry</x:v>
      </x:c>
      <x:c r="D633" t="str">
        <x:v>Meshy/env_infernal_fortress_demon_lord_throne_001_geometry.txt</x:v>
      </x:c>
      <x:c r="E633" t="n">
        <x:v>2679</x:v>
      </x:c>
      <x:c r="F633" t="n">
        <x:v>356</x:v>
      </x:c>
      <x:c r="G633" t="str">
        <x:v>e1fd3e3dd4ea3b4ea15204d4798d3b8ca455501d826b86b447dc09dc0435a1e3</x:v>
      </x:c>
    </x:row>
    <x:row r="634">
      <x:c r="A634" t="str">
        <x:v>fefcd9992a54</x:v>
      </x:c>
      <x:c r="B634" t="str">
        <x:v>EnvironmentStation</x:v>
      </x:c>
      <x:c r="C634" t="str">
        <x:v>Geometry</x:v>
      </x:c>
      <x:c r="D634" t="str">
        <x:v>Meshy/env_infernal_fortress_demon_weapon_rack_001_geometry.txt</x:v>
      </x:c>
      <x:c r="E634" t="n">
        <x:v>2640</x:v>
      </x:c>
      <x:c r="F634" t="n">
        <x:v>350</x:v>
      </x:c>
      <x:c r="G634" t="str">
        <x:v>02a26a1cf5c4ac6b908bd14113be409811cc728018ef7834b8c7d2030743598b</x:v>
      </x:c>
    </x:row>
    <x:row r="635">
      <x:c r="A635" t="str">
        <x:v>c8f7271f00b3</x:v>
      </x:c>
      <x:c r="B635" t="str">
        <x:v>EnvironmentStation</x:v>
      </x:c>
      <x:c r="C635" t="str">
        <x:v>Geometry</x:v>
      </x:c>
      <x:c r="D635" t="str">
        <x:v>Meshy/env_infernal_fortress_demonic_pillar_001_geometry.txt</x:v>
      </x:c>
      <x:c r="E635" t="n">
        <x:v>2649</x:v>
      </x:c>
      <x:c r="F635" t="n">
        <x:v>350</x:v>
      </x:c>
      <x:c r="G635" t="str">
        <x:v>8ae7871e83bf914a13c07f2d2c81d274a23f2c4be35f5f9f2d597896db0282cd</x:v>
      </x:c>
    </x:row>
    <x:row r="636">
      <x:c r="A636" t="str">
        <x:v>732f971e5aac</x:v>
      </x:c>
      <x:c r="B636" t="str">
        <x:v>EnvironmentStation</x:v>
      </x:c>
      <x:c r="C636" t="str">
        <x:v>Geometry</x:v>
      </x:c>
      <x:c r="D636" t="str">
        <x:v>Meshy/env_infernal_fortress_infernal_arch_001_geometry.txt</x:v>
      </x:c>
      <x:c r="E636" t="n">
        <x:v>2643</x:v>
      </x:c>
      <x:c r="F636" t="n">
        <x:v>351</x:v>
      </x:c>
      <x:c r="G636" t="str">
        <x:v>bf602b3950f636bc2beff9fa6bd8cd6db173eccf4eab9d6da93c5b8a7e802492</x:v>
      </x:c>
    </x:row>
    <x:row r="637">
      <x:c r="A637" t="str">
        <x:v>48e7b3ca87e3</x:v>
      </x:c>
      <x:c r="B637" t="str">
        <x:v>EnvironmentStation</x:v>
      </x:c>
      <x:c r="C637" t="str">
        <x:v>Geometry</x:v>
      </x:c>
      <x:c r="D637" t="str">
        <x:v>Meshy/env_infernal_fortress_infernal_arena_ring_001_geometry.txt</x:v>
      </x:c>
      <x:c r="E637" t="n">
        <x:v>2691</x:v>
      </x:c>
      <x:c r="F637" t="n">
        <x:v>357</x:v>
      </x:c>
      <x:c r="G637" t="str">
        <x:v>0154873e7852549a038df6c80aa775cd1dbf9ba72e1809c6edf61d4c5d76cf5e</x:v>
      </x:c>
    </x:row>
    <x:row r="638">
      <x:c r="A638" t="str">
        <x:v>79c2ddc38930</x:v>
      </x:c>
      <x:c r="B638" t="str">
        <x:v>EnvironmentStation</x:v>
      </x:c>
      <x:c r="C638" t="str">
        <x:v>Geometry</x:v>
      </x:c>
      <x:c r="D638" t="str">
        <x:v>Meshy/env_infernal_fortress_infernal_brazier_001_geometry.txt</x:v>
      </x:c>
      <x:c r="E638" t="n">
        <x:v>2604</x:v>
      </x:c>
      <x:c r="F638" t="n">
        <x:v>344</x:v>
      </x:c>
      <x:c r="G638" t="str">
        <x:v>f5a8212b25d663faa9c481733150ce2547a1c9da27081fbd744d327ddbdc8f1a</x:v>
      </x:c>
    </x:row>
    <x:row r="639">
      <x:c r="A639" t="str">
        <x:v>9f0d670c35a5</x:v>
      </x:c>
      <x:c r="B639" t="str">
        <x:v>EnvironmentStation</x:v>
      </x:c>
      <x:c r="C639" t="str">
        <x:v>Geometry</x:v>
      </x:c>
      <x:c r="D639" t="str">
        <x:v>Meshy/env_infernal_fortress_infernal_bridge_001_geometry.txt</x:v>
      </x:c>
      <x:c r="E639" t="n">
        <x:v>2660</x:v>
      </x:c>
      <x:c r="F639" t="n">
        <x:v>351</x:v>
      </x:c>
      <x:c r="G639" t="str">
        <x:v>bc4fe7514bbe9f9552c4350f9eca46da43534b9600455d3d91302b2022effbdc</x:v>
      </x:c>
    </x:row>
    <x:row r="640">
      <x:c r="A640" t="str">
        <x:v>2f7de7b5cd81</x:v>
      </x:c>
      <x:c r="B640" t="str">
        <x:v>EnvironmentStation</x:v>
      </x:c>
      <x:c r="C640" t="str">
        <x:v>Geometry</x:v>
      </x:c>
      <x:c r="D640" t="str">
        <x:v>Meshy/env_infernal_fortress_infernal_cage_001_geometry.txt</x:v>
      </x:c>
      <x:c r="E640" t="n">
        <x:v>2616</x:v>
      </x:c>
      <x:c r="F640" t="n">
        <x:v>346</x:v>
      </x:c>
      <x:c r="G640" t="str">
        <x:v>5d7f77ec38d73cdd4cecb4cda51b23d2d1011e8a0b9e1ca9caffacb72a998008</x:v>
      </x:c>
    </x:row>
    <x:row r="641">
      <x:c r="A641" t="str">
        <x:v>6aee29d01e5c</x:v>
      </x:c>
      <x:c r="B641" t="str">
        <x:v>EnvironmentStation</x:v>
      </x:c>
      <x:c r="C641" t="str">
        <x:v>Geometry</x:v>
      </x:c>
      <x:c r="D641" t="str">
        <x:v>Meshy/env_infernal_fortress_infernal_chain_001_geometry.txt</x:v>
      </x:c>
      <x:c r="E641" t="n">
        <x:v>2631</x:v>
      </x:c>
      <x:c r="F641" t="n">
        <x:v>348</x:v>
      </x:c>
      <x:c r="G641" t="str">
        <x:v>4fdc41677eac01c5947d077f22fb9ee77aab5a12c6f891f0179ccb7577679f5b</x:v>
      </x:c>
    </x:row>
    <x:row r="642">
      <x:c r="A642" t="str">
        <x:v>2e9a46790fd9</x:v>
      </x:c>
      <x:c r="B642" t="str">
        <x:v>EnvironmentStation</x:v>
      </x:c>
      <x:c r="C642" t="str">
        <x:v>Geometry</x:v>
      </x:c>
      <x:c r="D642" t="str">
        <x:v>Meshy/env_infernal_fortress_infernal_crystal_001_geometry.txt</x:v>
      </x:c>
      <x:c r="E642" t="n">
        <x:v>2624</x:v>
      </x:c>
      <x:c r="F642" t="n">
        <x:v>347</x:v>
      </x:c>
      <x:c r="G642" t="str">
        <x:v>ca14ef3c01ea2358ec9e18d01b0bf680823f6284e2e936e9fd0d9821d9e8d35d</x:v>
      </x:c>
    </x:row>
    <x:row r="643">
      <x:c r="A643" t="str">
        <x:v>de10598c2d9c</x:v>
      </x:c>
      <x:c r="B643" t="str">
        <x:v>EnvironmentStation</x:v>
      </x:c>
      <x:c r="C643" t="str">
        <x:v>Geometry</x:v>
      </x:c>
      <x:c r="D643" t="str">
        <x:v>Meshy/env_infernal_fortress_infernal_gate_001_geometry.txt</x:v>
      </x:c>
      <x:c r="E643" t="n">
        <x:v>2692</x:v>
      </x:c>
      <x:c r="F643" t="n">
        <x:v>358</x:v>
      </x:c>
      <x:c r="G643" t="str">
        <x:v>536e39b56e2747c4197681b620939aecf23b1cd2da34107f668d42c76ed96e97</x:v>
      </x:c>
    </x:row>
    <x:row r="644">
      <x:c r="A644" t="str">
        <x:v>cd588cff19ed</x:v>
      </x:c>
      <x:c r="B644" t="str">
        <x:v>EnvironmentStation</x:v>
      </x:c>
      <x:c r="C644" t="str">
        <x:v>Geometry</x:v>
      </x:c>
      <x:c r="D644" t="str">
        <x:v>Meshy/env_infernal_fortress_infernal_platform_001_geometry.txt</x:v>
      </x:c>
      <x:c r="E644" t="n">
        <x:v>2673</x:v>
      </x:c>
      <x:c r="F644" t="n">
        <x:v>352</x:v>
      </x:c>
      <x:c r="G644" t="str">
        <x:v>fa1028bdd370d90e4877b7fb9df7a34f8119e3af338d80fb2ac815bf3eee1d79</x:v>
      </x:c>
    </x:row>
    <x:row r="645">
      <x:c r="A645" t="str">
        <x:v>06a7fcde7757</x:v>
      </x:c>
      <x:c r="B645" t="str">
        <x:v>EnvironmentStation</x:v>
      </x:c>
      <x:c r="C645" t="str">
        <x:v>Geometry</x:v>
      </x:c>
      <x:c r="D645" t="str">
        <x:v>Meshy/env_infernal_fortress_infernal_portal_001_geometry.txt</x:v>
      </x:c>
      <x:c r="E645" t="n">
        <x:v>2675</x:v>
      </x:c>
      <x:c r="F645" t="n">
        <x:v>351</x:v>
      </x:c>
      <x:c r="G645" t="str">
        <x:v>94f1241170e4e5c3a05eda40e42583b8f6900ce57afc8952259e82b06ec46929</x:v>
      </x:c>
    </x:row>
    <x:row r="646">
      <x:c r="A646" t="str">
        <x:v>9a9f89dbbfb7</x:v>
      </x:c>
      <x:c r="B646" t="str">
        <x:v>EnvironmentStation</x:v>
      </x:c>
      <x:c r="C646" t="str">
        <x:v>Geometry</x:v>
      </x:c>
      <x:c r="D646" t="str">
        <x:v>Meshy/env_infernal_fortress_infernal_wall_corner_001_geometry.txt</x:v>
      </x:c>
      <x:c r="E646" t="n">
        <x:v>2658</x:v>
      </x:c>
      <x:c r="F646" t="n">
        <x:v>354</x:v>
      </x:c>
      <x:c r="G646" t="str">
        <x:v>d8bc8610c131bf89e731c6bf2920bed187bd8ea1fb076df4c4774e5e6a447294</x:v>
      </x:c>
    </x:row>
    <x:row r="647">
      <x:c r="A647" t="str">
        <x:v>87d4d7f095dd</x:v>
      </x:c>
      <x:c r="B647" t="str">
        <x:v>EnvironmentStation</x:v>
      </x:c>
      <x:c r="C647" t="str">
        <x:v>Geometry</x:v>
      </x:c>
      <x:c r="D647" t="str">
        <x:v>Meshy/env_infernal_fortress_infernal_wall_straight_001_geometry.txt</x:v>
      </x:c>
      <x:c r="E647" t="n">
        <x:v>2653</x:v>
      </x:c>
      <x:c r="F647" t="n">
        <x:v>351</x:v>
      </x:c>
      <x:c r="G647" t="str">
        <x:v>7020032495ba3d7920d154fd9c38890268435f5fc665b8cb2ec73cc6f3dbf534</x:v>
      </x:c>
    </x:row>
    <x:row r="648">
      <x:c r="A648" t="str">
        <x:v>196e9f5128ec</x:v>
      </x:c>
      <x:c r="B648" t="str">
        <x:v>EnvironmentStation</x:v>
      </x:c>
      <x:c r="C648" t="str">
        <x:v>Geometry</x:v>
      </x:c>
      <x:c r="D648" t="str">
        <x:v>Meshy/env_infernal_fortress_lava_channel_bend_001_geometry.txt</x:v>
      </x:c>
      <x:c r="E648" t="n">
        <x:v>2672</x:v>
      </x:c>
      <x:c r="F648" t="n">
        <x:v>357</x:v>
      </x:c>
      <x:c r="G648" t="str">
        <x:v>6574ea572ce0bc28b81433db040aec66e0c49092712bb9f27afad0398e159d10</x:v>
      </x:c>
    </x:row>
    <x:row r="649">
      <x:c r="A649" t="str">
        <x:v>a1336fb1c6cd</x:v>
      </x:c>
      <x:c r="B649" t="str">
        <x:v>EnvironmentStation</x:v>
      </x:c>
      <x:c r="C649" t="str">
        <x:v>Geometry</x:v>
      </x:c>
      <x:c r="D649" t="str">
        <x:v>Meshy/env_infernal_fortress_lava_channel_straight_001_geometry.txt</x:v>
      </x:c>
      <x:c r="E649" t="n">
        <x:v>2679</x:v>
      </x:c>
      <x:c r="F649" t="n">
        <x:v>357</x:v>
      </x:c>
      <x:c r="G649" t="str">
        <x:v>d10bf917cd76376b52de6c0e67d38ed498591c77ca7ed0d4c62fbf868ff79953</x:v>
      </x:c>
    </x:row>
    <x:row r="650">
      <x:c r="A650" t="str">
        <x:v>5caeb31f7360</x:v>
      </x:c>
      <x:c r="B650" t="str">
        <x:v>EnvironmentStation</x:v>
      </x:c>
      <x:c r="C650" t="str">
        <x:v>Geometry</x:v>
      </x:c>
      <x:c r="D650" t="str">
        <x:v>Meshy/env_infernal_fortress_lava_fall_001_geometry.txt</x:v>
      </x:c>
      <x:c r="E650" t="n">
        <x:v>2655</x:v>
      </x:c>
      <x:c r="F650" t="n">
        <x:v>357</x:v>
      </x:c>
      <x:c r="G650" t="str">
        <x:v>cb7d30ffceea60401d7703f2a9784fed8e346dda64991a533be4355ee0b1ec28</x:v>
      </x:c>
    </x:row>
    <x:row r="651">
      <x:c r="A651" t="str">
        <x:v>8126f1246250</x:v>
      </x:c>
      <x:c r="B651" t="str">
        <x:v>EnvironmentStation</x:v>
      </x:c>
      <x:c r="C651" t="str">
        <x:v>Geometry</x:v>
      </x:c>
      <x:c r="D651" t="str">
        <x:v>Meshy/env_infernal_fortress_spike_barricade_001_geometry.txt</x:v>
      </x:c>
      <x:c r="E651" t="n">
        <x:v>2634</x:v>
      </x:c>
      <x:c r="F651" t="n">
        <x:v>347</x:v>
      </x:c>
      <x:c r="G651" t="str">
        <x:v>c5eb31e98124ee3b6bdc703c5959755bea1dd289475eb2136ef360b85023ad46</x:v>
      </x:c>
    </x:row>
    <x:row r="652">
      <x:c r="A652" t="str">
        <x:v>ae2f7e620df7</x:v>
      </x:c>
      <x:c r="B652" t="str">
        <x:v>EnvironmentStation</x:v>
      </x:c>
      <x:c r="C652" t="str">
        <x:v>Geometry</x:v>
      </x:c>
      <x:c r="D652" t="str">
        <x:v>Meshy/env_undead_crypt_bone_pile_001_geometry.txt</x:v>
      </x:c>
      <x:c r="E652" t="n">
        <x:v>2624</x:v>
      </x:c>
      <x:c r="F652" t="n">
        <x:v>354</x:v>
      </x:c>
      <x:c r="G652" t="str">
        <x:v>825b57cfbcf2353de0c021dad5f0209f2e3a23e2cbcbc26d5224c3d9637c3571</x:v>
      </x:c>
    </x:row>
    <x:row r="653">
      <x:c r="A653" t="str">
        <x:v>7b0d94ee4631</x:v>
      </x:c>
      <x:c r="B653" t="str">
        <x:v>EnvironmentStation</x:v>
      </x:c>
      <x:c r="C653" t="str">
        <x:v>Geometry</x:v>
      </x:c>
      <x:c r="D653" t="str">
        <x:v>Meshy/env_undead_crypt_broken_statue_001_geometry.txt</x:v>
      </x:c>
      <x:c r="E653" t="n">
        <x:v>2617</x:v>
      </x:c>
      <x:c r="F653" t="n">
        <x:v>351</x:v>
      </x:c>
      <x:c r="G653" t="str">
        <x:v>0bf8246a374befd42b6d47151d100433b5d634290f4aa5be4ee9894c5586e8cf</x:v>
      </x:c>
    </x:row>
    <x:row r="654">
      <x:c r="A654" t="str">
        <x:v>9e777fb329d7</x:v>
      </x:c>
      <x:c r="B654" t="str">
        <x:v>EnvironmentStation</x:v>
      </x:c>
      <x:c r="C654" t="str">
        <x:v>Geometry</x:v>
      </x:c>
      <x:c r="D654" t="str">
        <x:v>Meshy/env_undead_crypt_coffin_001_geometry.txt</x:v>
      </x:c>
      <x:c r="E654" t="n">
        <x:v>2589</x:v>
      </x:c>
      <x:c r="F654" t="n">
        <x:v>348</x:v>
      </x:c>
      <x:c r="G654" t="str">
        <x:v>01da214013e5cf0041eb9fc94b16c3fd9d7a621c67d02253e84f8401026d0f28</x:v>
      </x:c>
    </x:row>
    <x:row r="655">
      <x:c r="A655" t="str">
        <x:v>1a1f2ef4447b</x:v>
      </x:c>
      <x:c r="B655" t="str">
        <x:v>EnvironmentStation</x:v>
      </x:c>
      <x:c r="C655" t="str">
        <x:v>Geometry</x:v>
      </x:c>
      <x:c r="D655" t="str">
        <x:v>Meshy/env_undead_crypt_crypt_arch_001_geometry.txt</x:v>
      </x:c>
      <x:c r="E655" t="n">
        <x:v>2617</x:v>
      </x:c>
      <x:c r="F655" t="n">
        <x:v>353</x:v>
      </x:c>
      <x:c r="G655" t="str">
        <x:v>6419e73d415e2af8b365b0973523016372c0e9ab2638c06c77a8f6b033258d9d</x:v>
      </x:c>
    </x:row>
    <x:row r="656">
      <x:c r="A656" t="str">
        <x:v>cca755650ad8</x:v>
      </x:c>
      <x:c r="B656" t="str">
        <x:v>EnvironmentStation</x:v>
      </x:c>
      <x:c r="C656" t="str">
        <x:v>Geometry</x:v>
      </x:c>
      <x:c r="D656" t="str">
        <x:v>Meshy/env_undead_crypt_crypt_column_001_geometry.txt</x:v>
      </x:c>
      <x:c r="E656" t="n">
        <x:v>2611</x:v>
      </x:c>
      <x:c r="F656" t="n">
        <x:v>351</x:v>
      </x:c>
      <x:c r="G656" t="str">
        <x:v>06c525298bc109ce216f24fb627c7e311adc52912e29c8c595fb23c10e69523e</x:v>
      </x:c>
    </x:row>
    <x:row r="657">
      <x:c r="A657" t="str">
        <x:v>61079a14f39c</x:v>
      </x:c>
      <x:c r="B657" t="str">
        <x:v>EnvironmentStation</x:v>
      </x:c>
      <x:c r="C657" t="str">
        <x:v>Geometry</x:v>
      </x:c>
      <x:c r="D657" t="str">
        <x:v>Meshy/env_undead_crypt_crypt_door_001_geometry.txt</x:v>
      </x:c>
      <x:c r="E657" t="n">
        <x:v>2635</x:v>
      </x:c>
      <x:c r="F657" t="n">
        <x:v>353</x:v>
      </x:c>
      <x:c r="G657" t="str">
        <x:v>54e76d267d34d58bf107e68b2918a72751dba20b07877902e4564badcbaf53d9</x:v>
      </x:c>
    </x:row>
    <x:row r="658">
      <x:c r="A658" t="str">
        <x:v>14e6992c82a3</x:v>
      </x:c>
      <x:c r="B658" t="str">
        <x:v>EnvironmentStation</x:v>
      </x:c>
      <x:c r="C658" t="str">
        <x:v>Geometry</x:v>
      </x:c>
      <x:c r="D658" t="str">
        <x:v>Meshy/env_undead_crypt_crypt_floor_tile_001_geometry.txt</x:v>
      </x:c>
      <x:c r="E658" t="n">
        <x:v>2635</x:v>
      </x:c>
      <x:c r="F658" t="n">
        <x:v>358</x:v>
      </x:c>
      <x:c r="G658" t="str">
        <x:v>5de55dc5f7fcd372e568d323733407e75849eecb4dcb803b4758cef8d8b87b5e</x:v>
      </x:c>
    </x:row>
    <x:row r="659">
      <x:c r="A659" t="str">
        <x:v>2481427d230a</x:v>
      </x:c>
      <x:c r="B659" t="str">
        <x:v>EnvironmentStation</x:v>
      </x:c>
      <x:c r="C659" t="str">
        <x:v>Geometry</x:v>
      </x:c>
      <x:c r="D659" t="str">
        <x:v>Meshy/env_undead_crypt_crypt_iron_gate_001_geometry.txt</x:v>
      </x:c>
      <x:c r="E659" t="n">
        <x:v>2631</x:v>
      </x:c>
      <x:c r="F659" t="n">
        <x:v>354</x:v>
      </x:c>
      <x:c r="G659" t="str">
        <x:v>5cc90be18d5cb6bd2cdea518adc1556d19b5349cbf6576c0bd5737ee86aeef8a</x:v>
      </x:c>
    </x:row>
    <x:row r="660">
      <x:c r="A660" t="str">
        <x:v>4ba3edb0a670</x:v>
      </x:c>
      <x:c r="B660" t="str">
        <x:v>EnvironmentStation</x:v>
      </x:c>
      <x:c r="C660" t="str">
        <x:v>Geometry</x:v>
      </x:c>
      <x:c r="D660" t="str">
        <x:v>Meshy/env_undead_crypt_crypt_wall_corner_001_geometry.txt</x:v>
      </x:c>
      <x:c r="E660" t="n">
        <x:v>2624</x:v>
      </x:c>
      <x:c r="F660" t="n">
        <x:v>354</x:v>
      </x:c>
      <x:c r="G660" t="str">
        <x:v>cb0e463cd6f07a202e40edc6fbb81ee5b2cd09b59b68c197ca6dc46a7bed27a2</x:v>
      </x:c>
    </x:row>
    <x:row r="661">
      <x:c r="A661" t="str">
        <x:v>08b0328946c2</x:v>
      </x:c>
      <x:c r="B661" t="str">
        <x:v>EnvironmentStation</x:v>
      </x:c>
      <x:c r="C661" t="str">
        <x:v>Geometry</x:v>
      </x:c>
      <x:c r="D661" t="str">
        <x:v>Meshy/env_undead_crypt_crypt_wall_straight_001_geometry.txt</x:v>
      </x:c>
      <x:c r="E661" t="n">
        <x:v>2616</x:v>
      </x:c>
      <x:c r="F661" t="n">
        <x:v>352</x:v>
      </x:c>
      <x:c r="G661" t="str">
        <x:v>aff4e9557395bc440e494cc6a77735f1356e61db47e35d5f12298f3c6c6e7e61</x:v>
      </x:c>
    </x:row>
    <x:row r="662">
      <x:c r="A662" t="str">
        <x:v>84e6e1bee53a</x:v>
      </x:c>
      <x:c r="B662" t="str">
        <x:v>EnvironmentStation</x:v>
      </x:c>
      <x:c r="C662" t="str">
        <x:v>Geometry</x:v>
      </x:c>
      <x:c r="D662" t="str">
        <x:v>Meshy/env_undead_crypt_grave_marker_001_geometry.txt</x:v>
      </x:c>
      <x:c r="E662" t="n">
        <x:v>2610</x:v>
      </x:c>
      <x:c r="F662" t="n">
        <x:v>351</x:v>
      </x:c>
      <x:c r="G662" t="str">
        <x:v>c9c33ac0fbee937a1b492d6f933e9b71e94070ae6d82c04c66074783b6041826</x:v>
      </x:c>
    </x:row>
    <x:row r="663">
      <x:c r="A663" t="str">
        <x:v>44990321e3be</x:v>
      </x:c>
      <x:c r="B663" t="str">
        <x:v>EnvironmentStation</x:v>
      </x:c>
      <x:c r="C663" t="str">
        <x:v>Geometry</x:v>
      </x:c>
      <x:c r="D663" t="str">
        <x:v>Meshy/env_undead_crypt_hanging_chain_001_geometry.txt</x:v>
      </x:c>
      <x:c r="E663" t="n">
        <x:v>2619</x:v>
      </x:c>
      <x:c r="F663" t="n">
        <x:v>354</x:v>
      </x:c>
      <x:c r="G663" t="str">
        <x:v>af7d33caf1be8ae83e329b219348a6d61c42a2f1f08e08afe4bbaad02e5b4221</x:v>
      </x:c>
    </x:row>
    <x:row r="664">
      <x:c r="A664" t="str">
        <x:v>f578b914982e</x:v>
      </x:c>
      <x:c r="B664" t="str">
        <x:v>EnvironmentStation</x:v>
      </x:c>
      <x:c r="C664" t="str">
        <x:v>Geometry</x:v>
      </x:c>
      <x:c r="D664" t="str">
        <x:v>Meshy/env_undead_crypt_lich_throne_001_geometry.txt</x:v>
      </x:c>
      <x:c r="E664" t="n">
        <x:v>2642</x:v>
      </x:c>
      <x:c r="F664" t="n">
        <x:v>355</x:v>
      </x:c>
      <x:c r="G664" t="str">
        <x:v>ef8aa4b6669e0abd99ee1e74fe1b3373674d07f39db87ade47c7e11f076729e8</x:v>
      </x:c>
    </x:row>
    <x:row r="665">
      <x:c r="A665" t="str">
        <x:v>1d07c8ea0b03</x:v>
      </x:c>
      <x:c r="B665" t="str">
        <x:v>EnvironmentStation</x:v>
      </x:c>
      <x:c r="C665" t="str">
        <x:v>Geometry</x:v>
      </x:c>
      <x:c r="D665" t="str">
        <x:v>Meshy/env_undead_crypt_necromantic_crystal_001_geometry.txt</x:v>
      </x:c>
      <x:c r="E665" t="n">
        <x:v>2621</x:v>
      </x:c>
      <x:c r="F665" t="n">
        <x:v>349</x:v>
      </x:c>
      <x:c r="G665" t="str">
        <x:v>399f83794d8c90e25a8dcda998736e24ce9354ee5a3e29317279b4aa513db556</x:v>
      </x:c>
    </x:row>
    <x:row r="666">
      <x:c r="A666" t="str">
        <x:v>54baafec08d6</x:v>
      </x:c>
      <x:c r="B666" t="str">
        <x:v>EnvironmentStation</x:v>
      </x:c>
      <x:c r="C666" t="str">
        <x:v>Geometry</x:v>
      </x:c>
      <x:c r="D666" t="str">
        <x:v>Meshy/env_undead_crypt_necromantic_portal_001_geometry.txt</x:v>
      </x:c>
      <x:c r="E666" t="n">
        <x:v>2660</x:v>
      </x:c>
      <x:c r="F666" t="n">
        <x:v>356</x:v>
      </x:c>
      <x:c r="G666" t="str">
        <x:v>169fca9a1d49abe31dcdd95c8e41707a0e1460eb46054ecaf7de765f0e42c595</x:v>
      </x:c>
    </x:row>
    <x:row r="667">
      <x:c r="A667" t="str">
        <x:v>9ece7a16f94c</x:v>
      </x:c>
      <x:c r="B667" t="str">
        <x:v>EnvironmentStation</x:v>
      </x:c>
      <x:c r="C667" t="str">
        <x:v>Geometry</x:v>
      </x:c>
      <x:c r="D667" t="str">
        <x:v>Meshy/env_undead_crypt_ossuary_001_geometry.txt</x:v>
      </x:c>
      <x:c r="E667" t="n">
        <x:v>2616</x:v>
      </x:c>
      <x:c r="F667" t="n">
        <x:v>348</x:v>
      </x:c>
      <x:c r="G667" t="str">
        <x:v>8597a16bef5adef44a635f1443ece50ab31f8fc32444c4b96acb1271ff95c74d</x:v>
      </x:c>
    </x:row>
    <x:row r="668">
      <x:c r="A668" t="str">
        <x:v>56193c029324</x:v>
      </x:c>
      <x:c r="B668" t="str">
        <x:v>EnvironmentStation</x:v>
      </x:c>
      <x:c r="C668" t="str">
        <x:v>Geometry</x:v>
      </x:c>
      <x:c r="D668" t="str">
        <x:v>Meshy/env_undead_crypt_ritual_altar_001_geometry.txt</x:v>
      </x:c>
      <x:c r="E668" t="n">
        <x:v>2637</x:v>
      </x:c>
      <x:c r="F668" t="n">
        <x:v>353</x:v>
      </x:c>
      <x:c r="G668" t="str">
        <x:v>4870008bcaded1b0f0a6c746bb460c85ece839b6451df1f7d30c992333823938</x:v>
      </x:c>
    </x:row>
    <x:row r="669">
      <x:c r="A669" t="str">
        <x:v>1246d3549fd6</x:v>
      </x:c>
      <x:c r="B669" t="str">
        <x:v>EnvironmentStation</x:v>
      </x:c>
      <x:c r="C669" t="str">
        <x:v>Geometry</x:v>
      </x:c>
      <x:c r="D669" t="str">
        <x:v>Meshy/env_undead_crypt_sarcophagus_001_geometry.txt</x:v>
      </x:c>
      <x:c r="E669" t="n">
        <x:v>2614</x:v>
      </x:c>
      <x:c r="F669" t="n">
        <x:v>350</x:v>
      </x:c>
      <x:c r="G669" t="str">
        <x:v>5008dd28cdcb68b50dc0762e3f8bf2c0f6ce659709f8cc9baa42c2d3de07484e</x:v>
      </x:c>
    </x:row>
    <x:row r="670">
      <x:c r="A670" t="str">
        <x:v>e68601a1e563</x:v>
      </x:c>
      <x:c r="B670" t="str">
        <x:v>EnvironmentStation</x:v>
      </x:c>
      <x:c r="C670" t="str">
        <x:v>Geometry</x:v>
      </x:c>
      <x:c r="D670" t="str">
        <x:v>Meshy/env_undead_crypt_spectral_brazier_001_geometry.txt</x:v>
      </x:c>
      <x:c r="E670" t="n">
        <x:v>2617</x:v>
      </x:c>
      <x:c r="F670" t="n">
        <x:v>352</x:v>
      </x:c>
      <x:c r="G670" t="str">
        <x:v>65c7fd99f20900053c5f6648172f9de86fd4959be051cd877551b72548ea78ae</x:v>
      </x:c>
    </x:row>
    <x:row r="671">
      <x:c r="A671" t="str">
        <x:v>ddab64cc329b</x:v>
      </x:c>
      <x:c r="B671" t="str">
        <x:v>EnvironmentStation</x:v>
      </x:c>
      <x:c r="C671" t="str">
        <x:v>Geometry</x:v>
      </x:c>
      <x:c r="D671" t="str">
        <x:v>Meshy/env_undead_crypt_spectral_candle_001_geometry.txt</x:v>
      </x:c>
      <x:c r="E671" t="n">
        <x:v>2603</x:v>
      </x:c>
      <x:c r="F671" t="n">
        <x:v>351</x:v>
      </x:c>
      <x:c r="G671" t="str">
        <x:v>6646a0428b4e96b19fe5f9a50ae6d8b2671320ca699f3668a0f6884270fce307</x:v>
      </x:c>
    </x:row>
    <x:row r="672">
      <x:c r="A672" t="str">
        <x:v>522ab0b5384c</x:v>
      </x:c>
      <x:c r="B672" t="str">
        <x:v>EnvironmentStation</x:v>
      </x:c>
      <x:c r="C672" t="str">
        <x:v>Geometry</x:v>
      </x:c>
      <x:c r="D672" t="str">
        <x:v>Meshy/station_alchemist_t01_001_geometry.txt</x:v>
      </x:c>
      <x:c r="E672" t="n">
        <x:v>2632</x:v>
      </x:c>
      <x:c r="F672" t="n">
        <x:v>358</x:v>
      </x:c>
      <x:c r="G672" t="str">
        <x:v>5a28389fbac71ccdff96add6a9ba4749050b7f05f7603c66ffc1fdbc9f40288c</x:v>
      </x:c>
    </x:row>
    <x:row r="673">
      <x:c r="A673" t="str">
        <x:v>74da9e11b0c6</x:v>
      </x:c>
      <x:c r="B673" t="str">
        <x:v>EnvironmentStation</x:v>
      </x:c>
      <x:c r="C673" t="str">
        <x:v>Geometry</x:v>
      </x:c>
      <x:c r="D673" t="str">
        <x:v>Meshy/station_alchemist_t03_001_geometry.txt</x:v>
      </x:c>
      <x:c r="E673" t="n">
        <x:v>2714</x:v>
      </x:c>
      <x:c r="F673" t="n">
        <x:v>364</x:v>
      </x:c>
      <x:c r="G673" t="str">
        <x:v>68568b52430d5243c3bac19cdd42be7e09b94e5047fbedc8f6aad596dc23f255</x:v>
      </x:c>
    </x:row>
    <x:row r="674">
      <x:c r="A674" t="str">
        <x:v>80674b5d2c97</x:v>
      </x:c>
      <x:c r="B674" t="str">
        <x:v>EnvironmentStation</x:v>
      </x:c>
      <x:c r="C674" t="str">
        <x:v>Geometry</x:v>
      </x:c>
      <x:c r="D674" t="str">
        <x:v>Meshy/station_alchemist_t05_001_geometry.txt</x:v>
      </x:c>
      <x:c r="E674" t="n">
        <x:v>2716</x:v>
      </x:c>
      <x:c r="F674" t="n">
        <x:v>363</x:v>
      </x:c>
      <x:c r="G674" t="str">
        <x:v>b7b95e14f184c94d30c956a8ce9417514d9e5b3ed8f264dbc9eaf5d4081d4a49</x:v>
      </x:c>
    </x:row>
    <x:row r="675">
      <x:c r="A675" t="str">
        <x:v>d19157ad88af</x:v>
      </x:c>
      <x:c r="B675" t="str">
        <x:v>EnvironmentStation</x:v>
      </x:c>
      <x:c r="C675" t="str">
        <x:v>Geometry</x:v>
      </x:c>
      <x:c r="D675" t="str">
        <x:v>Meshy/station_alchemist_t07_001_geometry.txt</x:v>
      </x:c>
      <x:c r="E675" t="n">
        <x:v>2736</x:v>
      </x:c>
      <x:c r="F675" t="n">
        <x:v>361</x:v>
      </x:c>
      <x:c r="G675" t="str">
        <x:v>ab9b08e9dd9ca18afc99b0f11fca3fe60c281b5223336bc471a01a5e0e7a3b3c</x:v>
      </x:c>
    </x:row>
    <x:row r="676">
      <x:c r="A676" t="str">
        <x:v>13614ae5b036</x:v>
      </x:c>
      <x:c r="B676" t="str">
        <x:v>EnvironmentStation</x:v>
      </x:c>
      <x:c r="C676" t="str">
        <x:v>Geometry</x:v>
      </x:c>
      <x:c r="D676" t="str">
        <x:v>Meshy/station_alchemist_t09_001_geometry.txt</x:v>
      </x:c>
      <x:c r="E676" t="n">
        <x:v>2750</x:v>
      </x:c>
      <x:c r="F676" t="n">
        <x:v>366</x:v>
      </x:c>
      <x:c r="G676" t="str">
        <x:v>25b6bbbf759fa6c39dfc794faefd1ef8612401f3f4d034584ee5b9fa2607b1ac</x:v>
      </x:c>
    </x:row>
    <x:row r="677">
      <x:c r="A677" t="str">
        <x:v>00ee500a179e</x:v>
      </x:c>
      <x:c r="B677" t="str">
        <x:v>EnvironmentStation</x:v>
      </x:c>
      <x:c r="C677" t="str">
        <x:v>Geometry</x:v>
      </x:c>
      <x:c r="D677" t="str">
        <x:v>Meshy/station_blacksmith_t01_001_geometry.txt</x:v>
      </x:c>
      <x:c r="E677" t="n">
        <x:v>2609</x:v>
      </x:c>
      <x:c r="F677" t="n">
        <x:v>359</x:v>
      </x:c>
      <x:c r="G677" t="str">
        <x:v>5f6c120ce64b97de895e0122d788c6a90f3b704c123ce3b7486ebff17728a146</x:v>
      </x:c>
    </x:row>
    <x:row r="678">
      <x:c r="A678" t="str">
        <x:v>b173e7d5623f</x:v>
      </x:c>
      <x:c r="B678" t="str">
        <x:v>EnvironmentStation</x:v>
      </x:c>
      <x:c r="C678" t="str">
        <x:v>Geometry</x:v>
      </x:c>
      <x:c r="D678" t="str">
        <x:v>Meshy/station_blacksmith_t03_001_geometry.txt</x:v>
      </x:c>
      <x:c r="E678" t="n">
        <x:v>2691</x:v>
      </x:c>
      <x:c r="F678" t="n">
        <x:v>365</x:v>
      </x:c>
      <x:c r="G678" t="str">
        <x:v>b15126357e03123885d0f028b2b01a26e87384da615ba36aaf8077e892ad02cd</x:v>
      </x:c>
    </x:row>
    <x:row r="679">
      <x:c r="A679" t="str">
        <x:v>43e4588d6ce9</x:v>
      </x:c>
      <x:c r="B679" t="str">
        <x:v>EnvironmentStation</x:v>
      </x:c>
      <x:c r="C679" t="str">
        <x:v>Geometry</x:v>
      </x:c>
      <x:c r="D679" t="str">
        <x:v>Meshy/station_blacksmith_t05_001_geometry.txt</x:v>
      </x:c>
      <x:c r="E679" t="n">
        <x:v>2693</x:v>
      </x:c>
      <x:c r="F679" t="n">
        <x:v>364</x:v>
      </x:c>
      <x:c r="G679" t="str">
        <x:v>189d89c236a526a3a488df92cb330666163fd9e0934d9d797be3e8988a8d30f0</x:v>
      </x:c>
    </x:row>
    <x:row r="680">
      <x:c r="A680" t="str">
        <x:v>cb8dc2d18c5f</x:v>
      </x:c>
      <x:c r="B680" t="str">
        <x:v>EnvironmentStation</x:v>
      </x:c>
      <x:c r="C680" t="str">
        <x:v>Geometry</x:v>
      </x:c>
      <x:c r="D680" t="str">
        <x:v>Meshy/station_blacksmith_t07_001_geometry.txt</x:v>
      </x:c>
      <x:c r="E680" t="n">
        <x:v>2713</x:v>
      </x:c>
      <x:c r="F680" t="n">
        <x:v>362</x:v>
      </x:c>
      <x:c r="G680" t="str">
        <x:v>79e0eb23e14d674517afbcc0c3809ec89ab7bf65da824f1aa063934a7e8b7944</x:v>
      </x:c>
    </x:row>
    <x:row r="681">
      <x:c r="A681" t="str">
        <x:v>4d859532e5ca</x:v>
      </x:c>
      <x:c r="B681" t="str">
        <x:v>EnvironmentStation</x:v>
      </x:c>
      <x:c r="C681" t="str">
        <x:v>Geometry</x:v>
      </x:c>
      <x:c r="D681" t="str">
        <x:v>Meshy/station_blacksmith_t09_001_geometry.txt</x:v>
      </x:c>
      <x:c r="E681" t="n">
        <x:v>2727</x:v>
      </x:c>
      <x:c r="F681" t="n">
        <x:v>367</x:v>
      </x:c>
      <x:c r="G681" t="str">
        <x:v>290a6fe7377d011f37b9dd979eee55728f7161c8d46f26c82b89264955888177</x:v>
      </x:c>
    </x:row>
    <x:row r="682">
      <x:c r="A682" t="str">
        <x:v>90e8237f4745</x:v>
      </x:c>
      <x:c r="B682" t="str">
        <x:v>EnvironmentStation</x:v>
      </x:c>
      <x:c r="C682" t="str">
        <x:v>Geometry</x:v>
      </x:c>
      <x:c r="D682" t="str">
        <x:v>Meshy/station_enchanter_t01_001_geometry.txt</x:v>
      </x:c>
      <x:c r="E682" t="n">
        <x:v>2666</x:v>
      </x:c>
      <x:c r="F682" t="n">
        <x:v>361</x:v>
      </x:c>
      <x:c r="G682" t="str">
        <x:v>3f1b351da78f351ed7525cc14a6470b2eaf1aae2b40b76b6ca134f9afa383a55</x:v>
      </x:c>
    </x:row>
    <x:row r="683">
      <x:c r="A683" t="str">
        <x:v>baf06fad66d3</x:v>
      </x:c>
      <x:c r="B683" t="str">
        <x:v>EnvironmentStation</x:v>
      </x:c>
      <x:c r="C683" t="str">
        <x:v>Geometry</x:v>
      </x:c>
      <x:c r="D683" t="str">
        <x:v>Meshy/station_enchanter_t03_001_geometry.txt</x:v>
      </x:c>
      <x:c r="E683" t="n">
        <x:v>2748</x:v>
      </x:c>
      <x:c r="F683" t="n">
        <x:v>367</x:v>
      </x:c>
      <x:c r="G683" t="str">
        <x:v>1b184e52713dba1379e3fee47c457bf6645cc6223cdfcd0b8442cc0169ca761b</x:v>
      </x:c>
    </x:row>
    <x:row r="684">
      <x:c r="A684" t="str">
        <x:v>8529e8476476</x:v>
      </x:c>
      <x:c r="B684" t="str">
        <x:v>EnvironmentStation</x:v>
      </x:c>
      <x:c r="C684" t="str">
        <x:v>Geometry</x:v>
      </x:c>
      <x:c r="D684" t="str">
        <x:v>Meshy/station_enchanter_t05_001_geometry.txt</x:v>
      </x:c>
      <x:c r="E684" t="n">
        <x:v>2750</x:v>
      </x:c>
      <x:c r="F684" t="n">
        <x:v>366</x:v>
      </x:c>
      <x:c r="G684" t="str">
        <x:v>816ad927ecb43d8b15fed5ad505575a6b586ec465bb96c05228c86bd622c4cbc</x:v>
      </x:c>
    </x:row>
    <x:row r="685">
      <x:c r="A685" t="str">
        <x:v>42452f9d9a0f</x:v>
      </x:c>
      <x:c r="B685" t="str">
        <x:v>EnvironmentStation</x:v>
      </x:c>
      <x:c r="C685" t="str">
        <x:v>Geometry</x:v>
      </x:c>
      <x:c r="D685" t="str">
        <x:v>Meshy/station_enchanter_t07_001_geometry.txt</x:v>
      </x:c>
      <x:c r="E685" t="n">
        <x:v>2770</x:v>
      </x:c>
      <x:c r="F685" t="n">
        <x:v>364</x:v>
      </x:c>
      <x:c r="G685" t="str">
        <x:v>1efe7a690847320a864b8b4daa74ebf6e7bc93e177e3775f4e284b644a8813a6</x:v>
      </x:c>
    </x:row>
    <x:row r="686">
      <x:c r="A686" t="str">
        <x:v>45e0f629a276</x:v>
      </x:c>
      <x:c r="B686" t="str">
        <x:v>EnvironmentStation</x:v>
      </x:c>
      <x:c r="C686" t="str">
        <x:v>Geometry</x:v>
      </x:c>
      <x:c r="D686" t="str">
        <x:v>Meshy/station_enchanter_t09_001_geometry.txt</x:v>
      </x:c>
      <x:c r="E686" t="n">
        <x:v>2784</x:v>
      </x:c>
      <x:c r="F686" t="n">
        <x:v>369</x:v>
      </x:c>
      <x:c r="G686" t="str">
        <x:v>e54be0b539d70bfa45985da35a03a7232c38fecee80bd11ebfb1a2164bed978b</x:v>
      </x:c>
    </x:row>
    <x:row r="687">
      <x:c r="A687" t="str">
        <x:v>e4dba3e61f2d</x:v>
      </x:c>
      <x:c r="B687" t="str">
        <x:v>EnvironmentStation</x:v>
      </x:c>
      <x:c r="C687" t="str">
        <x:v>Geometry</x:v>
      </x:c>
      <x:c r="D687" t="str">
        <x:v>Meshy/station_gatherer_t01_001_geometry.txt</x:v>
      </x:c>
      <x:c r="E687" t="n">
        <x:v>2635</x:v>
      </x:c>
      <x:c r="F687" t="n">
        <x:v>359</x:v>
      </x:c>
      <x:c r="G687" t="str">
        <x:v>5f73314813e43adbf02b8ec958f2b73d1b4133862709d36874f7206f4ec75afe</x:v>
      </x:c>
    </x:row>
    <x:row r="688">
      <x:c r="A688" t="str">
        <x:v>27e4c9f84e0d</x:v>
      </x:c>
      <x:c r="B688" t="str">
        <x:v>EnvironmentStation</x:v>
      </x:c>
      <x:c r="C688" t="str">
        <x:v>Geometry</x:v>
      </x:c>
      <x:c r="D688" t="str">
        <x:v>Meshy/station_gatherer_t03_001_geometry.txt</x:v>
      </x:c>
      <x:c r="E688" t="n">
        <x:v>2717</x:v>
      </x:c>
      <x:c r="F688" t="n">
        <x:v>365</x:v>
      </x:c>
      <x:c r="G688" t="str">
        <x:v>a91e8972c4f13b69efbb1818b30d871bb0960c27e5c187198457d8728de65209</x:v>
      </x:c>
    </x:row>
    <x:row r="689">
      <x:c r="A689" t="str">
        <x:v>54f94d58d4fb</x:v>
      </x:c>
      <x:c r="B689" t="str">
        <x:v>EnvironmentStation</x:v>
      </x:c>
      <x:c r="C689" t="str">
        <x:v>Geometry</x:v>
      </x:c>
      <x:c r="D689" t="str">
        <x:v>Meshy/station_gatherer_t05_001_geometry.txt</x:v>
      </x:c>
      <x:c r="E689" t="n">
        <x:v>2719</x:v>
      </x:c>
      <x:c r="F689" t="n">
        <x:v>364</x:v>
      </x:c>
      <x:c r="G689" t="str">
        <x:v>9a6702361869c863a3a37a1d66cd86ee45e743a5f495e57424ef6f943c02ad7f</x:v>
      </x:c>
    </x:row>
    <x:row r="690">
      <x:c r="A690" t="str">
        <x:v>3d607e87dd58</x:v>
      </x:c>
      <x:c r="B690" t="str">
        <x:v>EnvironmentStation</x:v>
      </x:c>
      <x:c r="C690" t="str">
        <x:v>Geometry</x:v>
      </x:c>
      <x:c r="D690" t="str">
        <x:v>Meshy/station_gatherer_t07_001_geometry.txt</x:v>
      </x:c>
      <x:c r="E690" t="n">
        <x:v>2739</x:v>
      </x:c>
      <x:c r="F690" t="n">
        <x:v>362</x:v>
      </x:c>
      <x:c r="G690" t="str">
        <x:v>68a4ecbe3dd9fc389ae876198d05e091f3aa2ad9ad3d01efb5edaccc6395c9e6</x:v>
      </x:c>
    </x:row>
    <x:row r="691">
      <x:c r="A691" t="str">
        <x:v>dc9a3f8ed9da</x:v>
      </x:c>
      <x:c r="B691" t="str">
        <x:v>EnvironmentStation</x:v>
      </x:c>
      <x:c r="C691" t="str">
        <x:v>Geometry</x:v>
      </x:c>
      <x:c r="D691" t="str">
        <x:v>Meshy/station_gatherer_t09_001_geometry.txt</x:v>
      </x:c>
      <x:c r="E691" t="n">
        <x:v>2753</x:v>
      </x:c>
      <x:c r="F691" t="n">
        <x:v>367</x:v>
      </x:c>
      <x:c r="G691" t="str">
        <x:v>d8b76d2a20b72b9474b909e27163743416b43b7e6aa3533239d092787482f3ad</x:v>
      </x:c>
    </x:row>
    <x:row r="692">
      <x:c r="A692" t="str">
        <x:v>14e4789fa28b</x:v>
      </x:c>
      <x:c r="B692" t="str">
        <x:v>EnvironmentStation</x:v>
      </x:c>
      <x:c r="C692" t="str">
        <x:v>Geometry</x:v>
      </x:c>
      <x:c r="D692" t="str">
        <x:v>Meshy/station_tailor_t01_001_geometry.txt</x:v>
      </x:c>
      <x:c r="E692" t="n">
        <x:v>2651</x:v>
      </x:c>
      <x:c r="F692" t="n">
        <x:v>361</x:v>
      </x:c>
      <x:c r="G692" t="str">
        <x:v>f32184eeae311c4b13eed7c6b6f41e5ef905f5d4543b47782a9b4bca48d9f2b2</x:v>
      </x:c>
    </x:row>
    <x:row r="693">
      <x:c r="A693" t="str">
        <x:v>ef4c6cd70ec1</x:v>
      </x:c>
      <x:c r="B693" t="str">
        <x:v>EnvironmentStation</x:v>
      </x:c>
      <x:c r="C693" t="str">
        <x:v>Geometry</x:v>
      </x:c>
      <x:c r="D693" t="str">
        <x:v>Meshy/station_tailor_t03_001_geometry.txt</x:v>
      </x:c>
      <x:c r="E693" t="n">
        <x:v>2733</x:v>
      </x:c>
      <x:c r="F693" t="n">
        <x:v>367</x:v>
      </x:c>
      <x:c r="G693" t="str">
        <x:v>15cb3080b3f0bbf0159136c37745b6ef6ac34a9eae2b9e47a7bcd15a8961045f</x:v>
      </x:c>
    </x:row>
    <x:row r="694">
      <x:c r="A694" t="str">
        <x:v>9bc41e3d151d</x:v>
      </x:c>
      <x:c r="B694" t="str">
        <x:v>EnvironmentStation</x:v>
      </x:c>
      <x:c r="C694" t="str">
        <x:v>Geometry</x:v>
      </x:c>
      <x:c r="D694" t="str">
        <x:v>Meshy/station_tailor_t05_001_geometry.txt</x:v>
      </x:c>
      <x:c r="E694" t="n">
        <x:v>2735</x:v>
      </x:c>
      <x:c r="F694" t="n">
        <x:v>366</x:v>
      </x:c>
      <x:c r="G694" t="str">
        <x:v>e8d736018616ae12952a3adf575fd459abfce5e6057d2e3c36ebbc30c7d9ae99</x:v>
      </x:c>
    </x:row>
    <x:row r="695">
      <x:c r="A695" t="str">
        <x:v>c9a74ff11be0</x:v>
      </x:c>
      <x:c r="B695" t="str">
        <x:v>EnvironmentStation</x:v>
      </x:c>
      <x:c r="C695" t="str">
        <x:v>Geometry</x:v>
      </x:c>
      <x:c r="D695" t="str">
        <x:v>Meshy/station_tailor_t07_001_geometry.txt</x:v>
      </x:c>
      <x:c r="E695" t="n">
        <x:v>2755</x:v>
      </x:c>
      <x:c r="F695" t="n">
        <x:v>364</x:v>
      </x:c>
      <x:c r="G695" t="str">
        <x:v>9d534cc19e4a251ea77fa1b407f1e456deb9e12eda1c299fab821879b96f94da</x:v>
      </x:c>
    </x:row>
    <x:row r="696">
      <x:c r="A696" t="str">
        <x:v>24d4c9937b90</x:v>
      </x:c>
      <x:c r="B696" t="str">
        <x:v>EnvironmentStation</x:v>
      </x:c>
      <x:c r="C696" t="str">
        <x:v>Geometry</x:v>
      </x:c>
      <x:c r="D696" t="str">
        <x:v>Meshy/station_tailor_t09_001_geometry.txt</x:v>
      </x:c>
      <x:c r="E696" t="n">
        <x:v>2769</x:v>
      </x:c>
      <x:c r="F696" t="n">
        <x:v>369</x:v>
      </x:c>
      <x:c r="G696" t="str">
        <x:v>ecb73d6317523a7292aabe4e6ebd43236e9f7f2ebe9e14d9355bbe288c6615f1</x:v>
      </x:c>
    </x:row>
    <x:row r="697">
      <x:c r="A697" t="str">
        <x:v>dc8372c05611</x:v>
      </x:c>
      <x:c r="B697" t="str">
        <x:v>EnvironmentStation</x:v>
      </x:c>
      <x:c r="C697" t="str">
        <x:v>Geometry</x:v>
      </x:c>
      <x:c r="D697" t="str">
        <x:v>StationEvolution/station_alchemist_t01_t09_evolution.txt</x:v>
      </x:c>
      <x:c r="E697" t="n">
        <x:v>2781</x:v>
      </x:c>
      <x:c r="F697" t="n">
        <x:v>357</x:v>
      </x:c>
      <x:c r="G697" t="str">
        <x:v>ca8213f27e8d3cb3bdb7900d890fd936ca275d21a85142e865d33ab6a83bb1cb</x:v>
      </x:c>
    </x:row>
    <x:row r="698">
      <x:c r="A698" t="str">
        <x:v>404ba1aaaac0</x:v>
      </x:c>
      <x:c r="B698" t="str">
        <x:v>EnvironmentStation</x:v>
      </x:c>
      <x:c r="C698" t="str">
        <x:v>Geometry</x:v>
      </x:c>
      <x:c r="D698" t="str">
        <x:v>StationEvolution/station_blacksmith_t01_t09_evolution.txt</x:v>
      </x:c>
      <x:c r="E698" t="n">
        <x:v>2760</x:v>
      </x:c>
      <x:c r="F698" t="n">
        <x:v>358</x:v>
      </x:c>
      <x:c r="G698" t="str">
        <x:v>1383465c1a2faebd9dd68d7cf4384a49fb30871dc15738e8368216c229d0d9f3</x:v>
      </x:c>
    </x:row>
    <x:row r="699">
      <x:c r="A699" t="str">
        <x:v>969f5cca3277</x:v>
      </x:c>
      <x:c r="B699" t="str">
        <x:v>EnvironmentStation</x:v>
      </x:c>
      <x:c r="C699" t="str">
        <x:v>Geometry</x:v>
      </x:c>
      <x:c r="D699" t="str">
        <x:v>StationEvolution/station_enchanter_t01_t09_evolution.txt</x:v>
      </x:c>
      <x:c r="E699" t="n">
        <x:v>2813</x:v>
      </x:c>
      <x:c r="F699" t="n">
        <x:v>360</x:v>
      </x:c>
      <x:c r="G699" t="str">
        <x:v>eee004b5b8b3b941548886221f4e0223b7eb1e6770a2ae842ac8421ef31664c6</x:v>
      </x:c>
    </x:row>
    <x:row r="700">
      <x:c r="A700" t="str">
        <x:v>cbef0e481c54</x:v>
      </x:c>
      <x:c r="B700" t="str">
        <x:v>EnvironmentStation</x:v>
      </x:c>
      <x:c r="C700" t="str">
        <x:v>Geometry</x:v>
      </x:c>
      <x:c r="D700" t="str">
        <x:v>StationEvolution/station_gatherer_t01_t09_evolution.txt</x:v>
      </x:c>
      <x:c r="E700" t="n">
        <x:v>2784</x:v>
      </x:c>
      <x:c r="F700" t="n">
        <x:v>358</x:v>
      </x:c>
      <x:c r="G700" t="str">
        <x:v>b02417c3fc2addd79e33f30bc7aa3645e59d614a9cf31ecfe78ee712dae266cf</x:v>
      </x:c>
    </x:row>
    <x:row r="701">
      <x:c r="A701" t="str">
        <x:v>5d0507ce2b4f</x:v>
      </x:c>
      <x:c r="B701" t="str">
        <x:v>EnvironmentStation</x:v>
      </x:c>
      <x:c r="C701" t="str">
        <x:v>Geometry</x:v>
      </x:c>
      <x:c r="D701" t="str">
        <x:v>StationEvolution/station_tailor_t01_t09_evolution.txt</x:v>
      </x:c>
      <x:c r="E701" t="n">
        <x:v>2806</x:v>
      </x:c>
      <x:c r="F701" t="n">
        <x:v>360</x:v>
      </x:c>
      <x:c r="G701" t="str">
        <x:v>c317aef3c34bfae3bb98c2181f8492df1a138d9d46869d3b0a1d57b607d77350</x:v>
      </x:c>
    </x:row>
    <x:row r="702">
      <x:c r="A702" t="str">
        <x:v>37dbae620f63</x:v>
      </x:c>
      <x:c r="B702" t="str">
        <x:v>EnvironmentStation</x:v>
      </x:c>
      <x:c r="C702" t="str">
        <x:v>Texture</x:v>
      </x:c>
      <x:c r="D702" t="str">
        <x:v>Texture/env_goblin_mine_camp_gate_001_texture.txt</x:v>
      </x:c>
      <x:c r="E702" t="n">
        <x:v>1713</x:v>
      </x:c>
      <x:c r="F702" t="n">
        <x:v>230</x:v>
      </x:c>
      <x:c r="G702" t="str">
        <x:v>bc244da8e3c903870bc4396e5afd13fd9a5d4667d31c4fd924a6652ce483358e</x:v>
      </x:c>
    </x:row>
    <x:row r="703">
      <x:c r="A703" t="str">
        <x:v>16ee42fb0267</x:v>
      </x:c>
      <x:c r="B703" t="str">
        <x:v>EnvironmentStation</x:v>
      </x:c>
      <x:c r="C703" t="str">
        <x:v>Texture</x:v>
      </x:c>
      <x:c r="D703" t="str">
        <x:v>Texture/env_goblin_mine_goblin_barrel_001_texture.txt</x:v>
      </x:c>
      <x:c r="E703" t="n">
        <x:v>1721</x:v>
      </x:c>
      <x:c r="F703" t="n">
        <x:v>230</x:v>
      </x:c>
      <x:c r="G703" t="str">
        <x:v>3b2413ac7808c629e51efb97b628c9f624077f61ab88d117faa2323a2501d597</x:v>
      </x:c>
    </x:row>
    <x:row r="704">
      <x:c r="A704" t="str">
        <x:v>7e2972d009c9</x:v>
      </x:c>
      <x:c r="B704" t="str">
        <x:v>EnvironmentStation</x:v>
      </x:c>
      <x:c r="C704" t="str">
        <x:v>Texture</x:v>
      </x:c>
      <x:c r="D704" t="str">
        <x:v>Texture/env_goblin_mine_goblin_crate_001_texture.txt</x:v>
      </x:c>
      <x:c r="E704" t="n">
        <x:v>1719</x:v>
      </x:c>
      <x:c r="F704" t="n">
        <x:v>230</x:v>
      </x:c>
      <x:c r="G704" t="str">
        <x:v>a696ac5da45fc002c46f3496982d091bc12f69006e40dc00172affac1facbe88</x:v>
      </x:c>
    </x:row>
    <x:row r="705">
      <x:c r="A705" t="str">
        <x:v>92a77cdb721b</x:v>
      </x:c>
      <x:c r="B705" t="str">
        <x:v>EnvironmentStation</x:v>
      </x:c>
      <x:c r="C705" t="str">
        <x:v>Texture</x:v>
      </x:c>
      <x:c r="D705" t="str">
        <x:v>Texture/env_goblin_mine_goblin_king_throne_001_texture.txt</x:v>
      </x:c>
      <x:c r="E705" t="n">
        <x:v>1731</x:v>
      </x:c>
      <x:c r="F705" t="n">
        <x:v>231</x:v>
      </x:c>
      <x:c r="G705" t="str">
        <x:v>57964361694c1b72445c67e3288d2893d7472f9f501ce78c8a4e275c575fe1ca</x:v>
      </x:c>
    </x:row>
    <x:row r="706">
      <x:c r="A706" t="str">
        <x:v>c128881ecd57</x:v>
      </x:c>
      <x:c r="B706" t="str">
        <x:v>EnvironmentStation</x:v>
      </x:c>
      <x:c r="C706" t="str">
        <x:v>Texture</x:v>
      </x:c>
      <x:c r="D706" t="str">
        <x:v>Texture/env_goblin_mine_goblin_tent_001_texture.txt</x:v>
      </x:c>
      <x:c r="E706" t="n">
        <x:v>1717</x:v>
      </x:c>
      <x:c r="F706" t="n">
        <x:v>230</x:v>
      </x:c>
      <x:c r="G706" t="str">
        <x:v>8038eec9e011d8168cef8d0222c9906c4b4e3fab182804affc5d3f9a1b88fe7a</x:v>
      </x:c>
    </x:row>
    <x:row r="707">
      <x:c r="A707" t="str">
        <x:v>92dbb32cca57</x:v>
      </x:c>
      <x:c r="B707" t="str">
        <x:v>EnvironmentStation</x:v>
      </x:c>
      <x:c r="C707" t="str">
        <x:v>Texture</x:v>
      </x:c>
      <x:c r="D707" t="str">
        <x:v>Texture/env_goblin_mine_ground_dirt_tile_001_texture.txt</x:v>
      </x:c>
      <x:c r="E707" t="n">
        <x:v>1727</x:v>
      </x:c>
      <x:c r="F707" t="n">
        <x:v>231</x:v>
      </x:c>
      <x:c r="G707" t="str">
        <x:v>3be43381c6cbd80f44d5c1c858eedb9fa602567d3b7913bbddae96c9f58e40be</x:v>
      </x:c>
    </x:row>
    <x:row r="708">
      <x:c r="A708" t="str">
        <x:v>a265b871ae84</x:v>
      </x:c>
      <x:c r="B708" t="str">
        <x:v>EnvironmentStation</x:v>
      </x:c>
      <x:c r="C708" t="str">
        <x:v>Texture</x:v>
      </x:c>
      <x:c r="D708" t="str">
        <x:v>Texture/env_goblin_mine_ground_stone_tile_001_texture.txt</x:v>
      </x:c>
      <x:c r="E708" t="n">
        <x:v>1729</x:v>
      </x:c>
      <x:c r="F708" t="n">
        <x:v>231</x:v>
      </x:c>
      <x:c r="G708" t="str">
        <x:v>73d8e7664d03e6155226fbd96eda788bd0f823744c12dd3ccb95f08e4ffa86d7</x:v>
      </x:c>
    </x:row>
    <x:row r="709">
      <x:c r="A709" t="str">
        <x:v>474da906a06d</x:v>
      </x:c>
      <x:c r="B709" t="str">
        <x:v>EnvironmentStation</x:v>
      </x:c>
      <x:c r="C709" t="str">
        <x:v>Texture</x:v>
      </x:c>
      <x:c r="D709" t="str">
        <x:v>Texture/env_goblin_mine_mine_arch_001_texture.txt</x:v>
      </x:c>
      <x:c r="E709" t="n">
        <x:v>1713</x:v>
      </x:c>
      <x:c r="F709" t="n">
        <x:v>230</x:v>
      </x:c>
      <x:c r="G709" t="str">
        <x:v>516885a59d8e09eddff9b880bddea0218e589a956da5af6545607993e4a155e9</x:v>
      </x:c>
    </x:row>
    <x:row r="710">
      <x:c r="A710" t="str">
        <x:v>a13dca13323d</x:v>
      </x:c>
      <x:c r="B710" t="str">
        <x:v>EnvironmentStation</x:v>
      </x:c>
      <x:c r="C710" t="str">
        <x:v>Texture</x:v>
      </x:c>
      <x:c r="D710" t="str">
        <x:v>Texture/env_goblin_mine_mine_cart_001_texture.txt</x:v>
      </x:c>
      <x:c r="E710" t="n">
        <x:v>1713</x:v>
      </x:c>
      <x:c r="F710" t="n">
        <x:v>230</x:v>
      </x:c>
      <x:c r="G710" t="str">
        <x:v>6f0d5792cc1074d5decc20043bfe65a9da086b34d887c5c131ba62bd1060a20e</x:v>
      </x:c>
    </x:row>
    <x:row r="711">
      <x:c r="A711" t="str">
        <x:v>00c508a0fd40</x:v>
      </x:c>
      <x:c r="B711" t="str">
        <x:v>EnvironmentStation</x:v>
      </x:c>
      <x:c r="C711" t="str">
        <x:v>Texture</x:v>
      </x:c>
      <x:c r="D711" t="str">
        <x:v>Texture/env_goblin_mine_mine_track_curve_001_texture.txt</x:v>
      </x:c>
      <x:c r="E711" t="n">
        <x:v>1728</x:v>
      </x:c>
      <x:c r="F711" t="n">
        <x:v>231</x:v>
      </x:c>
      <x:c r="G711" t="str">
        <x:v>a42f18fe5dc55e8d5edc0b016acb255e718ac37e0c689d8831cb4b423fcf8349</x:v>
      </x:c>
    </x:row>
    <x:row r="712">
      <x:c r="A712" t="str">
        <x:v>c93041b4811c</x:v>
      </x:c>
      <x:c r="B712" t="str">
        <x:v>EnvironmentStation</x:v>
      </x:c>
      <x:c r="C712" t="str">
        <x:v>Texture</x:v>
      </x:c>
      <x:c r="D712" t="str">
        <x:v>Texture/env_goblin_mine_mine_track_straight_001_texture.txt</x:v>
      </x:c>
      <x:c r="E712" t="n">
        <x:v>1733</x:v>
      </x:c>
      <x:c r="F712" t="n">
        <x:v>231</x:v>
      </x:c>
      <x:c r="G712" t="str">
        <x:v>7e48c4b8ae1e69a6bfca7d5c5180a7dfd898af9f213ae86cfcc491362b9ed6fe</x:v>
      </x:c>
    </x:row>
    <x:row r="713">
      <x:c r="A713" t="str">
        <x:v>755753127409</x:v>
      </x:c>
      <x:c r="B713" t="str">
        <x:v>EnvironmentStation</x:v>
      </x:c>
      <x:c r="C713" t="str">
        <x:v>Texture</x:v>
      </x:c>
      <x:c r="D713" t="str">
        <x:v>Texture/env_goblin_mine_mine_wall_corner_001_texture.txt</x:v>
      </x:c>
      <x:c r="E713" t="n">
        <x:v>1727</x:v>
      </x:c>
      <x:c r="F713" t="n">
        <x:v>231</x:v>
      </x:c>
      <x:c r="G713" t="str">
        <x:v>9784304ac1928bcc05260292323bc8ea3cdc9ae6bcf98e8fdc4bf3483eebb39d</x:v>
      </x:c>
    </x:row>
    <x:row r="714">
      <x:c r="A714" t="str">
        <x:v>0bc868176e3f</x:v>
      </x:c>
      <x:c r="B714" t="str">
        <x:v>EnvironmentStation</x:v>
      </x:c>
      <x:c r="C714" t="str">
        <x:v>Texture</x:v>
      </x:c>
      <x:c r="D714" t="str">
        <x:v>Texture/env_goblin_mine_mine_wall_straight_001_texture.txt</x:v>
      </x:c>
      <x:c r="E714" t="n">
        <x:v>1731</x:v>
      </x:c>
      <x:c r="F714" t="n">
        <x:v>231</x:v>
      </x:c>
      <x:c r="G714" t="str">
        <x:v>b8570c785672b3937bf7769752cc0a8adb9a9d5ab001ac545b22416f41420eca</x:v>
      </x:c>
    </x:row>
    <x:row r="715">
      <x:c r="A715" t="str">
        <x:v>a432a9b4a3e0</x:v>
      </x:c>
      <x:c r="B715" t="str">
        <x:v>EnvironmentStation</x:v>
      </x:c>
      <x:c r="C715" t="str">
        <x:v>Texture</x:v>
      </x:c>
      <x:c r="D715" t="str">
        <x:v>Texture/env_goblin_mine_ore_pile_001_texture.txt</x:v>
      </x:c>
      <x:c r="E715" t="n">
        <x:v>1711</x:v>
      </x:c>
      <x:c r="F715" t="n">
        <x:v>230</x:v>
      </x:c>
      <x:c r="G715" t="str">
        <x:v>f7ebad5031f6b825bb0152841240851e40a69a658fa1fedd10b8d4b96d1e1d69</x:v>
      </x:c>
    </x:row>
    <x:row r="716">
      <x:c r="A716" t="str">
        <x:v>b65082e75531</x:v>
      </x:c>
      <x:c r="B716" t="str">
        <x:v>EnvironmentStation</x:v>
      </x:c>
      <x:c r="C716" t="str">
        <x:v>Texture</x:v>
      </x:c>
      <x:c r="D716" t="str">
        <x:v>Texture/env_goblin_mine_rope_bridge_001_texture.txt</x:v>
      </x:c>
      <x:c r="E716" t="n">
        <x:v>1717</x:v>
      </x:c>
      <x:c r="F716" t="n">
        <x:v>230</x:v>
      </x:c>
      <x:c r="G716" t="str">
        <x:v>0ed6283997f8f9b781033a4b681d5c22776b1f06160443d7d4378c6ef07715cb</x:v>
      </x:c>
    </x:row>
    <x:row r="717">
      <x:c r="A717" t="str">
        <x:v>80cf37296137</x:v>
      </x:c>
      <x:c r="B717" t="str">
        <x:v>EnvironmentStation</x:v>
      </x:c>
      <x:c r="C717" t="str">
        <x:v>Texture</x:v>
      </x:c>
      <x:c r="D717" t="str">
        <x:v>Texture/env_goblin_mine_scrap_barricade_001_texture.txt</x:v>
      </x:c>
      <x:c r="E717" t="n">
        <x:v>1725</x:v>
      </x:c>
      <x:c r="F717" t="n">
        <x:v>230</x:v>
      </x:c>
      <x:c r="G717" t="str">
        <x:v>265e752f10724f3358d65488bce8bb064cccec96e4a524813240626318b5a721</x:v>
      </x:c>
    </x:row>
    <x:row r="718">
      <x:c r="A718" t="str">
        <x:v>057c3d4a04e8</x:v>
      </x:c>
      <x:c r="B718" t="str">
        <x:v>EnvironmentStation</x:v>
      </x:c>
      <x:c r="C718" t="str">
        <x:v>Texture</x:v>
      </x:c>
      <x:c r="D718" t="str">
        <x:v>Texture/env_goblin_mine_wall_torch_001_texture.txt</x:v>
      </x:c>
      <x:c r="E718" t="n">
        <x:v>1715</x:v>
      </x:c>
      <x:c r="F718" t="n">
        <x:v>230</x:v>
      </x:c>
      <x:c r="G718" t="str">
        <x:v>df040344c7d90244fc841fceba85bc99a05d3257cd9ae3cb49aa7b4f71f19474</x:v>
      </x:c>
    </x:row>
    <x:row r="719">
      <x:c r="A719" t="str">
        <x:v>d3d6441b8f92</x:v>
      </x:c>
      <x:c r="B719" t="str">
        <x:v>EnvironmentStation</x:v>
      </x:c>
      <x:c r="C719" t="str">
        <x:v>Texture</x:v>
      </x:c>
      <x:c r="D719" t="str">
        <x:v>Texture/env_goblin_mine_watchtower_001_texture.txt</x:v>
      </x:c>
      <x:c r="E719" t="n">
        <x:v>1722</x:v>
      </x:c>
      <x:c r="F719" t="n">
        <x:v>230</x:v>
      </x:c>
      <x:c r="G719" t="str">
        <x:v>c18373803f4bf25385f45628bedd749b123c12f5b52673824550ff0ae67cc71e</x:v>
      </x:c>
    </x:row>
    <x:row r="720">
      <x:c r="A720" t="str">
        <x:v>cd81d0248e20</x:v>
      </x:c>
      <x:c r="B720" t="str">
        <x:v>EnvironmentStation</x:v>
      </x:c>
      <x:c r="C720" t="str">
        <x:v>Texture</x:v>
      </x:c>
      <x:c r="D720" t="str">
        <x:v>Texture/env_goblin_mine_wood_cage_001_texture.txt</x:v>
      </x:c>
      <x:c r="E720" t="n">
        <x:v>1715</x:v>
      </x:c>
      <x:c r="F720" t="n">
        <x:v>230</x:v>
      </x:c>
      <x:c r="G720" t="str">
        <x:v>cfb3ff21b70d63bd93622e6e7397757ce926f8a432b351e42033e12a8f45ce9b</x:v>
      </x:c>
    </x:row>
    <x:row r="721">
      <x:c r="A721" t="str">
        <x:v>6422316a9db8</x:v>
      </x:c>
      <x:c r="B721" t="str">
        <x:v>EnvironmentStation</x:v>
      </x:c>
      <x:c r="C721" t="str">
        <x:v>Texture</x:v>
      </x:c>
      <x:c r="D721" t="str">
        <x:v>Texture/env_goblin_mine_wood_support_beam_001_texture.txt</x:v>
      </x:c>
      <x:c r="E721" t="n">
        <x:v>1729</x:v>
      </x:c>
      <x:c r="F721" t="n">
        <x:v>231</x:v>
      </x:c>
      <x:c r="G721" t="str">
        <x:v>7cbf71d8a6b37dda0f5f7271aea49738da454a5495ac53a80105240ce92f5574</x:v>
      </x:c>
    </x:row>
    <x:row r="722">
      <x:c r="A722" t="str">
        <x:v>b28675059c4f</x:v>
      </x:c>
      <x:c r="B722" t="str">
        <x:v>EnvironmentStation</x:v>
      </x:c>
      <x:c r="C722" t="str">
        <x:v>Texture</x:v>
      </x:c>
      <x:c r="D722" t="str">
        <x:v>Texture/env_infernal_fortress_basalt_floor_tile_001_texture.txt</x:v>
      </x:c>
      <x:c r="E722" t="n">
        <x:v>1750</x:v>
      </x:c>
      <x:c r="F722" t="n">
        <x:v>227</x:v>
      </x:c>
      <x:c r="G722" t="str">
        <x:v>409a5a52f4dfbd10239e049915f42ca36439668a96753e9cd6d3de6d473e71d6</x:v>
      </x:c>
    </x:row>
    <x:row r="723">
      <x:c r="A723" t="str">
        <x:v>0f4ec2c14847</x:v>
      </x:c>
      <x:c r="B723" t="str">
        <x:v>EnvironmentStation</x:v>
      </x:c>
      <x:c r="C723" t="str">
        <x:v>Texture</x:v>
      </x:c>
      <x:c r="D723" t="str">
        <x:v>Texture/env_infernal_fortress_demon_lord_throne_001_texture.txt</x:v>
      </x:c>
      <x:c r="E723" t="n">
        <x:v>1750</x:v>
      </x:c>
      <x:c r="F723" t="n">
        <x:v>227</x:v>
      </x:c>
      <x:c r="G723" t="str">
        <x:v>f9c3c4c575d5f42d93fc1fd086bb371a8cc5ba44a5ec1b9b69d38af03fd02022</x:v>
      </x:c>
    </x:row>
    <x:row r="724">
      <x:c r="A724" t="str">
        <x:v>30ee049c6a26</x:v>
      </x:c>
      <x:c r="B724" t="str">
        <x:v>EnvironmentStation</x:v>
      </x:c>
      <x:c r="C724" t="str">
        <x:v>Texture</x:v>
      </x:c>
      <x:c r="D724" t="str">
        <x:v>Texture/env_infernal_fortress_demon_weapon_rack_001_texture.txt</x:v>
      </x:c>
      <x:c r="E724" t="n">
        <x:v>1750</x:v>
      </x:c>
      <x:c r="F724" t="n">
        <x:v>227</x:v>
      </x:c>
      <x:c r="G724" t="str">
        <x:v>eed3bb85650d01d7034eccabad775aff115b17dbbc2ce149d1de1f652e65e335</x:v>
      </x:c>
    </x:row>
    <x:row r="725">
      <x:c r="A725" t="str">
        <x:v>f84bd1ea1d01</x:v>
      </x:c>
      <x:c r="B725" t="str">
        <x:v>EnvironmentStation</x:v>
      </x:c>
      <x:c r="C725" t="str">
        <x:v>Texture</x:v>
      </x:c>
      <x:c r="D725" t="str">
        <x:v>Texture/env_infernal_fortress_demonic_pillar_001_texture.txt</x:v>
      </x:c>
      <x:c r="E725" t="n">
        <x:v>1744</x:v>
      </x:c>
      <x:c r="F725" t="n">
        <x:v>226</x:v>
      </x:c>
      <x:c r="G725" t="str">
        <x:v>3b2d2504279256238cb5626ba165bdfc981d6fa88dc460d58b403895dc5a4937</x:v>
      </x:c>
    </x:row>
    <x:row r="726">
      <x:c r="A726" t="str">
        <x:v>607a1bb6eda1</x:v>
      </x:c>
      <x:c r="B726" t="str">
        <x:v>EnvironmentStation</x:v>
      </x:c>
      <x:c r="C726" t="str">
        <x:v>Texture</x:v>
      </x:c>
      <x:c r="D726" t="str">
        <x:v>Texture/env_infernal_fortress_infernal_arch_001_texture.txt</x:v>
      </x:c>
      <x:c r="E726" t="n">
        <x:v>1742</x:v>
      </x:c>
      <x:c r="F726" t="n">
        <x:v>226</x:v>
      </x:c>
      <x:c r="G726" t="str">
        <x:v>30873e9ff934117ca4a25a5e8a0c4ae6b7530d422bb70c817d5519664d8a024a</x:v>
      </x:c>
    </x:row>
    <x:row r="727">
      <x:c r="A727" t="str">
        <x:v>2eb963480131</x:v>
      </x:c>
      <x:c r="B727" t="str">
        <x:v>EnvironmentStation</x:v>
      </x:c>
      <x:c r="C727" t="str">
        <x:v>Texture</x:v>
      </x:c>
      <x:c r="D727" t="str">
        <x:v>Texture/env_infernal_fortress_infernal_arena_ring_001_texture.txt</x:v>
      </x:c>
      <x:c r="E727" t="n">
        <x:v>1754</x:v>
      </x:c>
      <x:c r="F727" t="n">
        <x:v>227</x:v>
      </x:c>
      <x:c r="G727" t="str">
        <x:v>1bfb530e83457aa61645f4bc03f3df23b157a5ba59f16192869ca6dc9fb7c8be</x:v>
      </x:c>
    </x:row>
    <x:row r="728">
      <x:c r="A728" t="str">
        <x:v>3303741c0cb0</x:v>
      </x:c>
      <x:c r="B728" t="str">
        <x:v>EnvironmentStation</x:v>
      </x:c>
      <x:c r="C728" t="str">
        <x:v>Texture</x:v>
      </x:c>
      <x:c r="D728" t="str">
        <x:v>Texture/env_infernal_fortress_infernal_brazier_001_texture.txt</x:v>
      </x:c>
      <x:c r="E728" t="n">
        <x:v>1748</x:v>
      </x:c>
      <x:c r="F728" t="n">
        <x:v>226</x:v>
      </x:c>
      <x:c r="G728" t="str">
        <x:v>b64c7b2c4258e73dad3dd615055e079040698766430499ed00622c2fcbe60f7d</x:v>
      </x:c>
    </x:row>
    <x:row r="729">
      <x:c r="A729" t="str">
        <x:v>68d54049082f</x:v>
      </x:c>
      <x:c r="B729" t="str">
        <x:v>EnvironmentStation</x:v>
      </x:c>
      <x:c r="C729" t="str">
        <x:v>Texture</x:v>
      </x:c>
      <x:c r="D729" t="str">
        <x:v>Texture/env_infernal_fortress_infernal_bridge_001_texture.txt</x:v>
      </x:c>
      <x:c r="E729" t="n">
        <x:v>1746</x:v>
      </x:c>
      <x:c r="F729" t="n">
        <x:v>226</x:v>
      </x:c>
      <x:c r="G729" t="str">
        <x:v>4b1c730471cd0ffac44b11c4e2b71d56c1197d7b55b93d1c797f75d6af0a0248</x:v>
      </x:c>
    </x:row>
    <x:row r="730">
      <x:c r="A730" t="str">
        <x:v>cb279012e02c</x:v>
      </x:c>
      <x:c r="B730" t="str">
        <x:v>EnvironmentStation</x:v>
      </x:c>
      <x:c r="C730" t="str">
        <x:v>Texture</x:v>
      </x:c>
      <x:c r="D730" t="str">
        <x:v>Texture/env_infernal_fortress_infernal_cage_001_texture.txt</x:v>
      </x:c>
      <x:c r="E730" t="n">
        <x:v>1742</x:v>
      </x:c>
      <x:c r="F730" t="n">
        <x:v>226</x:v>
      </x:c>
      <x:c r="G730" t="str">
        <x:v>1871b8294641dcb4439239785a72025f3fb57d7ec21fc3a010c19ee3bb76a80e</x:v>
      </x:c>
    </x:row>
    <x:row r="731">
      <x:c r="A731" t="str">
        <x:v>f9ed2c98f239</x:v>
      </x:c>
      <x:c r="B731" t="str">
        <x:v>EnvironmentStation</x:v>
      </x:c>
      <x:c r="C731" t="str">
        <x:v>Texture</x:v>
      </x:c>
      <x:c r="D731" t="str">
        <x:v>Texture/env_infernal_fortress_infernal_chain_001_texture.txt</x:v>
      </x:c>
      <x:c r="E731" t="n">
        <x:v>1744</x:v>
      </x:c>
      <x:c r="F731" t="n">
        <x:v>226</x:v>
      </x:c>
      <x:c r="G731" t="str">
        <x:v>8a89c9f8b645a7717f6d191875240165394cb7d9e2795bdbd722d87e76f8fc51</x:v>
      </x:c>
    </x:row>
    <x:row r="732">
      <x:c r="A732" t="str">
        <x:v>96f62f6e3c52</x:v>
      </x:c>
      <x:c r="B732" t="str">
        <x:v>EnvironmentStation</x:v>
      </x:c>
      <x:c r="C732" t="str">
        <x:v>Texture</x:v>
      </x:c>
      <x:c r="D732" t="str">
        <x:v>Texture/env_infernal_fortress_infernal_crystal_001_texture.txt</x:v>
      </x:c>
      <x:c r="E732" t="n">
        <x:v>1748</x:v>
      </x:c>
      <x:c r="F732" t="n">
        <x:v>226</x:v>
      </x:c>
      <x:c r="G732" t="str">
        <x:v>670c27fdf1ca689b53ed2b9e7996bb65e39098278263ebab6aa7a228219ec75c</x:v>
      </x:c>
    </x:row>
    <x:row r="733">
      <x:c r="A733" t="str">
        <x:v>d846d23d9a55</x:v>
      </x:c>
      <x:c r="B733" t="str">
        <x:v>EnvironmentStation</x:v>
      </x:c>
      <x:c r="C733" t="str">
        <x:v>Texture</x:v>
      </x:c>
      <x:c r="D733" t="str">
        <x:v>Texture/env_infernal_fortress_infernal_gate_001_texture.txt</x:v>
      </x:c>
      <x:c r="E733" t="n">
        <x:v>1742</x:v>
      </x:c>
      <x:c r="F733" t="n">
        <x:v>226</x:v>
      </x:c>
      <x:c r="G733" t="str">
        <x:v>a1f76d23037e89b06917a415b1a21c29a2f0bba06d642eeeb89ffe55dd234839</x:v>
      </x:c>
    </x:row>
    <x:row r="734">
      <x:c r="A734" t="str">
        <x:v>003da0ddd684</x:v>
      </x:c>
      <x:c r="B734" t="str">
        <x:v>EnvironmentStation</x:v>
      </x:c>
      <x:c r="C734" t="str">
        <x:v>Texture</x:v>
      </x:c>
      <x:c r="D734" t="str">
        <x:v>Texture/env_infernal_fortress_infernal_platform_001_texture.txt</x:v>
      </x:c>
      <x:c r="E734" t="n">
        <x:v>1750</x:v>
      </x:c>
      <x:c r="F734" t="n">
        <x:v>226</x:v>
      </x:c>
      <x:c r="G734" t="str">
        <x:v>6f2ae8ffa96af360867a1adc17f496f0c8dfbae257f9495b558d6f030eb1e360</x:v>
      </x:c>
    </x:row>
    <x:row r="735">
      <x:c r="A735" t="str">
        <x:v>65e5a351ee39</x:v>
      </x:c>
      <x:c r="B735" t="str">
        <x:v>EnvironmentStation</x:v>
      </x:c>
      <x:c r="C735" t="str">
        <x:v>Texture</x:v>
      </x:c>
      <x:c r="D735" t="str">
        <x:v>Texture/env_infernal_fortress_infernal_portal_001_texture.txt</x:v>
      </x:c>
      <x:c r="E735" t="n">
        <x:v>1746</x:v>
      </x:c>
      <x:c r="F735" t="n">
        <x:v>226</x:v>
      </x:c>
      <x:c r="G735" t="str">
        <x:v>60a634bd8acb225a2d2bdf97553aef4417a6686f87134975f8f0215ee573fdfa</x:v>
      </x:c>
    </x:row>
    <x:row r="736">
      <x:c r="A736" t="str">
        <x:v>cd97d8d3d13f</x:v>
      </x:c>
      <x:c r="B736" t="str">
        <x:v>EnvironmentStation</x:v>
      </x:c>
      <x:c r="C736" t="str">
        <x:v>Texture</x:v>
      </x:c>
      <x:c r="D736" t="str">
        <x:v>Texture/env_infernal_fortress_infernal_wall_corner_001_texture.txt</x:v>
      </x:c>
      <x:c r="E736" t="n">
        <x:v>1756</x:v>
      </x:c>
      <x:c r="F736" t="n">
        <x:v>227</x:v>
      </x:c>
      <x:c r="G736" t="str">
        <x:v>f5dbb9fd32d5a0f0075ee611bac984d76f4b03f13fddf22763585b50e7db4408</x:v>
      </x:c>
    </x:row>
    <x:row r="737">
      <x:c r="A737" t="str">
        <x:v>39c4e30729eb</x:v>
      </x:c>
      <x:c r="B737" t="str">
        <x:v>EnvironmentStation</x:v>
      </x:c>
      <x:c r="C737" t="str">
        <x:v>Texture</x:v>
      </x:c>
      <x:c r="D737" t="str">
        <x:v>Texture/env_infernal_fortress_infernal_wall_straight_001_texture.txt</x:v>
      </x:c>
      <x:c r="E737" t="n">
        <x:v>1751</x:v>
      </x:c>
      <x:c r="F737" t="n">
        <x:v>226</x:v>
      </x:c>
      <x:c r="G737" t="str">
        <x:v>01e1d8ee87b6cf6e6ae81d59c13e7759ee9ce556b9e4e97234ca18c61d450d34</x:v>
      </x:c>
    </x:row>
    <x:row r="738">
      <x:c r="A738" t="str">
        <x:v>b1f693fc128b</x:v>
      </x:c>
      <x:c r="B738" t="str">
        <x:v>EnvironmentStation</x:v>
      </x:c>
      <x:c r="C738" t="str">
        <x:v>Texture</x:v>
      </x:c>
      <x:c r="D738" t="str">
        <x:v>Texture/env_infernal_fortress_lava_channel_bend_001_texture.txt</x:v>
      </x:c>
      <x:c r="E738" t="n">
        <x:v>1750</x:v>
      </x:c>
      <x:c r="F738" t="n">
        <x:v>227</x:v>
      </x:c>
      <x:c r="G738" t="str">
        <x:v>6d27912ece43c3b6a2dba6455668c14310831aed14232c79c84fe45e868bd73f</x:v>
      </x:c>
    </x:row>
    <x:row r="739">
      <x:c r="A739" t="str">
        <x:v>fc2dd2e48af6</x:v>
      </x:c>
      <x:c r="B739" t="str">
        <x:v>EnvironmentStation</x:v>
      </x:c>
      <x:c r="C739" t="str">
        <x:v>Texture</x:v>
      </x:c>
      <x:c r="D739" t="str">
        <x:v>Texture/env_infernal_fortress_lava_channel_straight_001_texture.txt</x:v>
      </x:c>
      <x:c r="E739" t="n">
        <x:v>1758</x:v>
      </x:c>
      <x:c r="F739" t="n">
        <x:v>227</x:v>
      </x:c>
      <x:c r="G739" t="str">
        <x:v>6a0b2a092ed86db36e9c7700fee1c66f5fc743fb52002ba0083de93b567a3529</x:v>
      </x:c>
    </x:row>
    <x:row r="740">
      <x:c r="A740" t="str">
        <x:v>78554aeb2d4c</x:v>
      </x:c>
      <x:c r="B740" t="str">
        <x:v>EnvironmentStation</x:v>
      </x:c>
      <x:c r="C740" t="str">
        <x:v>Texture</x:v>
      </x:c>
      <x:c r="D740" t="str">
        <x:v>Texture/env_infernal_fortress_lava_fall_001_texture.txt</x:v>
      </x:c>
      <x:c r="E740" t="n">
        <x:v>1734</x:v>
      </x:c>
      <x:c r="F740" t="n">
        <x:v>226</x:v>
      </x:c>
      <x:c r="G740" t="str">
        <x:v>c01e8ce491b0c1cd5f3dd7c53fba8492193de37a55d1448220e16b5001deaf55</x:v>
      </x:c>
    </x:row>
    <x:row r="741">
      <x:c r="A741" t="str">
        <x:v>bea0eada3cd8</x:v>
      </x:c>
      <x:c r="B741" t="str">
        <x:v>EnvironmentStation</x:v>
      </x:c>
      <x:c r="C741" t="str">
        <x:v>Texture</x:v>
      </x:c>
      <x:c r="D741" t="str">
        <x:v>Texture/env_infernal_fortress_spike_barricade_001_texture.txt</x:v>
      </x:c>
      <x:c r="E741" t="n">
        <x:v>1746</x:v>
      </x:c>
      <x:c r="F741" t="n">
        <x:v>226</x:v>
      </x:c>
      <x:c r="G741" t="str">
        <x:v>e139f6420f8dd9ebc84ab11d5239f17d3f7740e233c5923ca668a7bba26e6656</x:v>
      </x:c>
    </x:row>
    <x:row r="742">
      <x:c r="A742" t="str">
        <x:v>19a2f4f61458</x:v>
      </x:c>
      <x:c r="B742" t="str">
        <x:v>EnvironmentStation</x:v>
      </x:c>
      <x:c r="C742" t="str">
        <x:v>Texture</x:v>
      </x:c>
      <x:c r="D742" t="str">
        <x:v>Texture/env_undead_crypt_bone_pile_001_texture.txt</x:v>
      </x:c>
      <x:c r="E742" t="n">
        <x:v>1735</x:v>
      </x:c>
      <x:c r="F742" t="n">
        <x:v>232</x:v>
      </x:c>
      <x:c r="G742" t="str">
        <x:v>88a2fda60081c1a0957bb6c136bfcda2b0e2dd4acaad87d9f10c3566ed496951</x:v>
      </x:c>
    </x:row>
    <x:row r="743">
      <x:c r="A743" t="str">
        <x:v>d09b7cc37bd4</x:v>
      </x:c>
      <x:c r="B743" t="str">
        <x:v>EnvironmentStation</x:v>
      </x:c>
      <x:c r="C743" t="str">
        <x:v>Texture</x:v>
      </x:c>
      <x:c r="D743" t="str">
        <x:v>Texture/env_undead_crypt_broken_statue_001_texture.txt</x:v>
      </x:c>
      <x:c r="E743" t="n">
        <x:v>1743</x:v>
      </x:c>
      <x:c r="F743" t="n">
        <x:v>232</x:v>
      </x:c>
      <x:c r="G743" t="str">
        <x:v>8ce58d9fa255f0390c0693bfe98c309e471a6e53112e5d464cfba5e4db29ead6</x:v>
      </x:c>
    </x:row>
    <x:row r="744">
      <x:c r="A744" t="str">
        <x:v>1fb0cc2dcc9f</x:v>
      </x:c>
      <x:c r="B744" t="str">
        <x:v>EnvironmentStation</x:v>
      </x:c>
      <x:c r="C744" t="str">
        <x:v>Texture</x:v>
      </x:c>
      <x:c r="D744" t="str">
        <x:v>Texture/env_undead_crypt_coffin_001_texture.txt</x:v>
      </x:c>
      <x:c r="E744" t="n">
        <x:v>1729</x:v>
      </x:c>
      <x:c r="F744" t="n">
        <x:v>231</x:v>
      </x:c>
      <x:c r="G744" t="str">
        <x:v>50a395f9d01373f3c78210a52693789eb6c453b0dfd27c29690d9bb07d0be30d</x:v>
      </x:c>
    </x:row>
    <x:row r="745">
      <x:c r="A745" t="str">
        <x:v>052d22a0ddfc</x:v>
      </x:c>
      <x:c r="B745" t="str">
        <x:v>EnvironmentStation</x:v>
      </x:c>
      <x:c r="C745" t="str">
        <x:v>Texture</x:v>
      </x:c>
      <x:c r="D745" t="str">
        <x:v>Texture/env_undead_crypt_crypt_arch_001_texture.txt</x:v>
      </x:c>
      <x:c r="E745" t="n">
        <x:v>1740</x:v>
      </x:c>
      <x:c r="F745" t="n">
        <x:v>232</x:v>
      </x:c>
      <x:c r="G745" t="str">
        <x:v>d3d5ddc0ef8d921cba62f404af346b9187e64590d8ed4a8ccff78529180180e2</x:v>
      </x:c>
    </x:row>
    <x:row r="746">
      <x:c r="A746" t="str">
        <x:v>a51360c1f2fb</x:v>
      </x:c>
      <x:c r="B746" t="str">
        <x:v>EnvironmentStation</x:v>
      </x:c>
      <x:c r="C746" t="str">
        <x:v>Texture</x:v>
      </x:c>
      <x:c r="D746" t="str">
        <x:v>Texture/env_undead_crypt_crypt_column_001_texture.txt</x:v>
      </x:c>
      <x:c r="E746" t="n">
        <x:v>1741</x:v>
      </x:c>
      <x:c r="F746" t="n">
        <x:v>232</x:v>
      </x:c>
      <x:c r="G746" t="str">
        <x:v>87c50d826ce61d5f9a5e12190d52e60e8f9ca6d8c03f41456987f03753ea37c3</x:v>
      </x:c>
    </x:row>
    <x:row r="747">
      <x:c r="A747" t="str">
        <x:v>33d3b3704d15</x:v>
      </x:c>
      <x:c r="B747" t="str">
        <x:v>EnvironmentStation</x:v>
      </x:c>
      <x:c r="C747" t="str">
        <x:v>Texture</x:v>
      </x:c>
      <x:c r="D747" t="str">
        <x:v>Texture/env_undead_crypt_crypt_door_001_texture.txt</x:v>
      </x:c>
      <x:c r="E747" t="n">
        <x:v>1737</x:v>
      </x:c>
      <x:c r="F747" t="n">
        <x:v>232</x:v>
      </x:c>
      <x:c r="G747" t="str">
        <x:v>6e9d9d93d32608e495f8334a123d1c3c07f54dfa36745593b71eb3f4ecd241fc</x:v>
      </x:c>
    </x:row>
    <x:row r="748">
      <x:c r="A748" t="str">
        <x:v>2c2b79b890bb</x:v>
      </x:c>
      <x:c r="B748" t="str">
        <x:v>EnvironmentStation</x:v>
      </x:c>
      <x:c r="C748" t="str">
        <x:v>Texture</x:v>
      </x:c>
      <x:c r="D748" t="str">
        <x:v>Texture/env_undead_crypt_crypt_floor_tile_001_texture.txt</x:v>
      </x:c>
      <x:c r="E748" t="n">
        <x:v>1749</x:v>
      </x:c>
      <x:c r="F748" t="n">
        <x:v>233</x:v>
      </x:c>
      <x:c r="G748" t="str">
        <x:v>90bfb27e301bd2ec40dc60735e622b04ed90d0341bffd2939a3d0267c9b61109</x:v>
      </x:c>
    </x:row>
    <x:row r="749">
      <x:c r="A749" t="str">
        <x:v>b0054ec34ed6</x:v>
      </x:c>
      <x:c r="B749" t="str">
        <x:v>EnvironmentStation</x:v>
      </x:c>
      <x:c r="C749" t="str">
        <x:v>Texture</x:v>
      </x:c>
      <x:c r="D749" t="str">
        <x:v>Texture/env_undead_crypt_crypt_iron_gate_001_texture.txt</x:v>
      </x:c>
      <x:c r="E749" t="n">
        <x:v>1747</x:v>
      </x:c>
      <x:c r="F749" t="n">
        <x:v>233</x:v>
      </x:c>
      <x:c r="G749" t="str">
        <x:v>5a3c9e3fa51ae20e767cee872f6098a6f6c7b5b84fb7a9cd9b85bd3e7053214b</x:v>
      </x:c>
    </x:row>
    <x:row r="750">
      <x:c r="A750" t="str">
        <x:v>98ee19e419ac</x:v>
      </x:c>
      <x:c r="B750" t="str">
        <x:v>EnvironmentStation</x:v>
      </x:c>
      <x:c r="C750" t="str">
        <x:v>Texture</x:v>
      </x:c>
      <x:c r="D750" t="str">
        <x:v>Texture/env_undead_crypt_crypt_wall_corner_001_texture.txt</x:v>
      </x:c>
      <x:c r="E750" t="n">
        <x:v>1751</x:v>
      </x:c>
      <x:c r="F750" t="n">
        <x:v>233</x:v>
      </x:c>
      <x:c r="G750" t="str">
        <x:v>ba1d4f81a29c98ecd1d12ff49e15672c4062fa89eb8364076c6bfbe775ae2bd7</x:v>
      </x:c>
    </x:row>
    <x:row r="751">
      <x:c r="A751" t="str">
        <x:v>0169202aae45</x:v>
      </x:c>
      <x:c r="B751" t="str">
        <x:v>EnvironmentStation</x:v>
      </x:c>
      <x:c r="C751" t="str">
        <x:v>Texture</x:v>
      </x:c>
      <x:c r="D751" t="str">
        <x:v>Texture/env_undead_crypt_crypt_wall_straight_001_texture.txt</x:v>
      </x:c>
      <x:c r="E751" t="n">
        <x:v>1746</x:v>
      </x:c>
      <x:c r="F751" t="n">
        <x:v>232</x:v>
      </x:c>
      <x:c r="G751" t="str">
        <x:v>f0febb9c4ded03c2ee63d540ffa2802c73ffa936c99e6b351fa9dc3d6b697389</x:v>
      </x:c>
    </x:row>
    <x:row r="752">
      <x:c r="A752" t="str">
        <x:v>ddc5d14ab83b</x:v>
      </x:c>
      <x:c r="B752" t="str">
        <x:v>EnvironmentStation</x:v>
      </x:c>
      <x:c r="C752" t="str">
        <x:v>Texture</x:v>
      </x:c>
      <x:c r="D752" t="str">
        <x:v>Texture/env_undead_crypt_grave_marker_001_texture.txt</x:v>
      </x:c>
      <x:c r="E752" t="n">
        <x:v>1741</x:v>
      </x:c>
      <x:c r="F752" t="n">
        <x:v>232</x:v>
      </x:c>
      <x:c r="G752" t="str">
        <x:v>4cb3a8fdf2e509498279c90eca35432c71ee250d9e2be7634f49bb605520ae32</x:v>
      </x:c>
    </x:row>
    <x:row r="753">
      <x:c r="A753" t="str">
        <x:v>a66d9228f852</x:v>
      </x:c>
      <x:c r="B753" t="str">
        <x:v>EnvironmentStation</x:v>
      </x:c>
      <x:c r="C753" t="str">
        <x:v>Texture</x:v>
      </x:c>
      <x:c r="D753" t="str">
        <x:v>Texture/env_undead_crypt_hanging_chain_001_texture.txt</x:v>
      </x:c>
      <x:c r="E753" t="n">
        <x:v>1743</x:v>
      </x:c>
      <x:c r="F753" t="n">
        <x:v>232</x:v>
      </x:c>
      <x:c r="G753" t="str">
        <x:v>1cf2f99ab038e094e8f0f7edb98455332aec6b32c343690cc4c4ebd06ef987c5</x:v>
      </x:c>
    </x:row>
    <x:row r="754">
      <x:c r="A754" t="str">
        <x:v>8778de8db4f1</x:v>
      </x:c>
      <x:c r="B754" t="str">
        <x:v>EnvironmentStation</x:v>
      </x:c>
      <x:c r="C754" t="str">
        <x:v>Texture</x:v>
      </x:c>
      <x:c r="D754" t="str">
        <x:v>Texture/env_undead_crypt_lich_throne_001_texture.txt</x:v>
      </x:c>
      <x:c r="E754" t="n">
        <x:v>1739</x:v>
      </x:c>
      <x:c r="F754" t="n">
        <x:v>232</x:v>
      </x:c>
      <x:c r="G754" t="str">
        <x:v>4df709916b2620b20afd6913fd66face43c7edcf143903e4bf0ca2daf72d4287</x:v>
      </x:c>
    </x:row>
    <x:row r="755">
      <x:c r="A755" t="str">
        <x:v>70e263f0f981</x:v>
      </x:c>
      <x:c r="B755" t="str">
        <x:v>EnvironmentStation</x:v>
      </x:c>
      <x:c r="C755" t="str">
        <x:v>Texture</x:v>
      </x:c>
      <x:c r="D755" t="str">
        <x:v>Texture/env_undead_crypt_necromantic_crystal_001_texture.txt</x:v>
      </x:c>
      <x:c r="E755" t="n">
        <x:v>1755</x:v>
      </x:c>
      <x:c r="F755" t="n">
        <x:v>232</x:v>
      </x:c>
      <x:c r="G755" t="str">
        <x:v>5a80d624d2215567e2617accf808f964c9d808641ead51b3c67413d214dccace</x:v>
      </x:c>
    </x:row>
    <x:row r="756">
      <x:c r="A756" t="str">
        <x:v>f970a3f621f1</x:v>
      </x:c>
      <x:c r="B756" t="str">
        <x:v>EnvironmentStation</x:v>
      </x:c>
      <x:c r="C756" t="str">
        <x:v>Texture</x:v>
      </x:c>
      <x:c r="D756" t="str">
        <x:v>Texture/env_undead_crypt_necromantic_portal_001_texture.txt</x:v>
      </x:c>
      <x:c r="E756" t="n">
        <x:v>1753</x:v>
      </x:c>
      <x:c r="F756" t="n">
        <x:v>232</x:v>
      </x:c>
      <x:c r="G756" t="str">
        <x:v>20d9265923d22f0beddc88f646c5d407a55d34519eb8c76ae0b1ff5bf588f949</x:v>
      </x:c>
    </x:row>
    <x:row r="757">
      <x:c r="A757" t="str">
        <x:v>0745d22a7423</x:v>
      </x:c>
      <x:c r="B757" t="str">
        <x:v>EnvironmentStation</x:v>
      </x:c>
      <x:c r="C757" t="str">
        <x:v>Texture</x:v>
      </x:c>
      <x:c r="D757" t="str">
        <x:v>Texture/env_undead_crypt_ossuary_001_texture.txt</x:v>
      </x:c>
      <x:c r="E757" t="n">
        <x:v>1731</x:v>
      </x:c>
      <x:c r="F757" t="n">
        <x:v>231</x:v>
      </x:c>
      <x:c r="G757" t="str">
        <x:v>02d2232c00d3ffe9b07c025adf3432de60532b9b1e12c10a46e731b23bcd0536</x:v>
      </x:c>
    </x:row>
    <x:row r="758">
      <x:c r="A758" t="str">
        <x:v>9eeddbb7de74</x:v>
      </x:c>
      <x:c r="B758" t="str">
        <x:v>EnvironmentStation</x:v>
      </x:c>
      <x:c r="C758" t="str">
        <x:v>Texture</x:v>
      </x:c>
      <x:c r="D758" t="str">
        <x:v>Texture/env_undead_crypt_ritual_altar_001_texture.txt</x:v>
      </x:c>
      <x:c r="E758" t="n">
        <x:v>1741</x:v>
      </x:c>
      <x:c r="F758" t="n">
        <x:v>232</x:v>
      </x:c>
      <x:c r="G758" t="str">
        <x:v>262504bf201c0969c9069882fffd9ca278c4d4408c19ba16308a505da0b488a7</x:v>
      </x:c>
    </x:row>
    <x:row r="759">
      <x:c r="A759" t="str">
        <x:v>66b86579eb12</x:v>
      </x:c>
      <x:c r="B759" t="str">
        <x:v>EnvironmentStation</x:v>
      </x:c>
      <x:c r="C759" t="str">
        <x:v>Texture</x:v>
      </x:c>
      <x:c r="D759" t="str">
        <x:v>Texture/env_undead_crypt_sarcophagus_001_texture.txt</x:v>
      </x:c>
      <x:c r="E759" t="n">
        <x:v>1739</x:v>
      </x:c>
      <x:c r="F759" t="n">
        <x:v>231</x:v>
      </x:c>
      <x:c r="G759" t="str">
        <x:v>06d2520211f4509d19b4702d5630799c8cdf4b17122b54f8f1a59826878d58bc</x:v>
      </x:c>
    </x:row>
    <x:row r="760">
      <x:c r="A760" t="str">
        <x:v>37010566b46f</x:v>
      </x:c>
      <x:c r="B760" t="str">
        <x:v>EnvironmentStation</x:v>
      </x:c>
      <x:c r="C760" t="str">
        <x:v>Texture</x:v>
      </x:c>
      <x:c r="D760" t="str">
        <x:v>Texture/env_undead_crypt_spectral_brazier_001_texture.txt</x:v>
      </x:c>
      <x:c r="E760" t="n">
        <x:v>1749</x:v>
      </x:c>
      <x:c r="F760" t="n">
        <x:v>232</x:v>
      </x:c>
      <x:c r="G760" t="str">
        <x:v>7bb28099f7f1eb0e93dc5b803729b9ae2aff96928e8fabb56eea7ab18e4f5f92</x:v>
      </x:c>
    </x:row>
    <x:row r="761">
      <x:c r="A761" t="str">
        <x:v>0266f4e0b15f</x:v>
      </x:c>
      <x:c r="B761" t="str">
        <x:v>EnvironmentStation</x:v>
      </x:c>
      <x:c r="C761" t="str">
        <x:v>Texture</x:v>
      </x:c>
      <x:c r="D761" t="str">
        <x:v>Texture/env_undead_crypt_spectral_candle_001_texture.txt</x:v>
      </x:c>
      <x:c r="E761" t="n">
        <x:v>1747</x:v>
      </x:c>
      <x:c r="F761" t="n">
        <x:v>232</x:v>
      </x:c>
      <x:c r="G761" t="str">
        <x:v>f8d98b5ec39fe61cfa3993e9a919261ec0e07fccd9191140406c2f2236c2e657</x:v>
      </x:c>
    </x:row>
    <x:row r="762">
      <x:c r="A762" t="str">
        <x:v>f77a7fa4343f</x:v>
      </x:c>
      <x:c r="B762" t="str">
        <x:v>EnvironmentStation</x:v>
      </x:c>
      <x:c r="C762" t="str">
        <x:v>Texture</x:v>
      </x:c>
      <x:c r="D762" t="str">
        <x:v>Texture/station_alchemist_t01_001_texture.txt</x:v>
      </x:c>
      <x:c r="E762" t="n">
        <x:v>1471</x:v>
      </x:c>
      <x:c r="F762" t="n">
        <x:v>203</x:v>
      </x:c>
      <x:c r="G762" t="str">
        <x:v>ee5144586404d71309ea9020685a25c77d91bea3989dba53531a14b7a2ed6263</x:v>
      </x:c>
    </x:row>
    <x:row r="763">
      <x:c r="A763" t="str">
        <x:v>dcd679d9ff82</x:v>
      </x:c>
      <x:c r="B763" t="str">
        <x:v>EnvironmentStation</x:v>
      </x:c>
      <x:c r="C763" t="str">
        <x:v>Texture</x:v>
      </x:c>
      <x:c r="D763" t="str">
        <x:v>Texture/station_alchemist_t03_001_texture.txt</x:v>
      </x:c>
      <x:c r="E763" t="n">
        <x:v>1495</x:v>
      </x:c>
      <x:c r="F763" t="n">
        <x:v>201</x:v>
      </x:c>
      <x:c r="G763" t="str">
        <x:v>e8bd37cfbe364e2be792954429d37f926f0067d2bc7624ee6479ad7d3f065e98</x:v>
      </x:c>
    </x:row>
    <x:row r="764">
      <x:c r="A764" t="str">
        <x:v>d2b87ac81c5b</x:v>
      </x:c>
      <x:c r="B764" t="str">
        <x:v>EnvironmentStation</x:v>
      </x:c>
      <x:c r="C764" t="str">
        <x:v>Texture</x:v>
      </x:c>
      <x:c r="D764" t="str">
        <x:v>Texture/station_alchemist_t05_001_texture.txt</x:v>
      </x:c>
      <x:c r="E764" t="n">
        <x:v>1464</x:v>
      </x:c>
      <x:c r="F764" t="n">
        <x:v>198</x:v>
      </x:c>
      <x:c r="G764" t="str">
        <x:v>5aeae183a2a56ab4434b23294ee673d7665cf7dc54e99384e98a2cf1b30f455c</x:v>
      </x:c>
    </x:row>
    <x:row r="765">
      <x:c r="A765" t="str">
        <x:v>971a59d4ea52</x:v>
      </x:c>
      <x:c r="B765" t="str">
        <x:v>EnvironmentStation</x:v>
      </x:c>
      <x:c r="C765" t="str">
        <x:v>Texture</x:v>
      </x:c>
      <x:c r="D765" t="str">
        <x:v>Texture/station_alchemist_t07_001_texture.txt</x:v>
      </x:c>
      <x:c r="E765" t="n">
        <x:v>1506</x:v>
      </x:c>
      <x:c r="F765" t="n">
        <x:v>195</x:v>
      </x:c>
      <x:c r="G765" t="str">
        <x:v>a12222992d18b8dd6d73ec8b6b7600761fc2b4b345f93417265251729e958914</x:v>
      </x:c>
    </x:row>
    <x:row r="766">
      <x:c r="A766" t="str">
        <x:v>a88a8851357c</x:v>
      </x:c>
      <x:c r="B766" t="str">
        <x:v>EnvironmentStation</x:v>
      </x:c>
      <x:c r="C766" t="str">
        <x:v>Texture</x:v>
      </x:c>
      <x:c r="D766" t="str">
        <x:v>Texture/station_alchemist_t09_001_texture.txt</x:v>
      </x:c>
      <x:c r="E766" t="n">
        <x:v>1515</x:v>
      </x:c>
      <x:c r="F766" t="n">
        <x:v>200</x:v>
      </x:c>
      <x:c r="G766" t="str">
        <x:v>f3f5c64f248b224be5f78539d28eb2e91df6a4467fdaa7d910d3a9fe25af2ca2</x:v>
      </x:c>
    </x:row>
    <x:row r="767">
      <x:c r="A767" t="str">
        <x:v>a592f7ffe8ae</x:v>
      </x:c>
      <x:c r="B767" t="str">
        <x:v>EnvironmentStation</x:v>
      </x:c>
      <x:c r="C767" t="str">
        <x:v>Texture</x:v>
      </x:c>
      <x:c r="D767" t="str">
        <x:v>Texture/station_blacksmith_t01_001_texture.txt</x:v>
      </x:c>
      <x:c r="E767" t="n">
        <x:v>1451</x:v>
      </x:c>
      <x:c r="F767" t="n">
        <x:v>201</x:v>
      </x:c>
      <x:c r="G767" t="str">
        <x:v>03e3ab6fedfe5eff0fe701c2d5a80ee1e234be4decd3491150026f5f20417e07</x:v>
      </x:c>
    </x:row>
    <x:row r="768">
      <x:c r="A768" t="str">
        <x:v>dc53ecb0b1b7</x:v>
      </x:c>
      <x:c r="B768" t="str">
        <x:v>EnvironmentStation</x:v>
      </x:c>
      <x:c r="C768" t="str">
        <x:v>Texture</x:v>
      </x:c>
      <x:c r="D768" t="str">
        <x:v>Texture/station_blacksmith_t03_001_texture.txt</x:v>
      </x:c>
      <x:c r="E768" t="n">
        <x:v>1475</x:v>
      </x:c>
      <x:c r="F768" t="n">
        <x:v>199</x:v>
      </x:c>
      <x:c r="G768" t="str">
        <x:v>53e1d62ee33741f21cba0d1542198a531960eb4048fdeab7ab693334086c6470</x:v>
      </x:c>
    </x:row>
    <x:row r="769">
      <x:c r="A769" t="str">
        <x:v>b8b9d2ac3297</x:v>
      </x:c>
      <x:c r="B769" t="str">
        <x:v>EnvironmentStation</x:v>
      </x:c>
      <x:c r="C769" t="str">
        <x:v>Texture</x:v>
      </x:c>
      <x:c r="D769" t="str">
        <x:v>Texture/station_blacksmith_t05_001_texture.txt</x:v>
      </x:c>
      <x:c r="E769" t="n">
        <x:v>1444</x:v>
      </x:c>
      <x:c r="F769" t="n">
        <x:v>196</x:v>
      </x:c>
      <x:c r="G769" t="str">
        <x:v>7d4d3ebdaf407c3a132405457b263d4a900429906d129c60a2175289f48003f5</x:v>
      </x:c>
    </x:row>
    <x:row r="770">
      <x:c r="A770" t="str">
        <x:v>ee2934370d0d</x:v>
      </x:c>
      <x:c r="B770" t="str">
        <x:v>EnvironmentStation</x:v>
      </x:c>
      <x:c r="C770" t="str">
        <x:v>Texture</x:v>
      </x:c>
      <x:c r="D770" t="str">
        <x:v>Texture/station_blacksmith_t07_001_texture.txt</x:v>
      </x:c>
      <x:c r="E770" t="n">
        <x:v>1486</x:v>
      </x:c>
      <x:c r="F770" t="n">
        <x:v>193</x:v>
      </x:c>
      <x:c r="G770" t="str">
        <x:v>fbe832503452ee707ca70db152a5d0aa3bbbcf5ea0ada92bc9a6724ca14d76a8</x:v>
      </x:c>
    </x:row>
    <x:row r="771">
      <x:c r="A771" t="str">
        <x:v>e471e9779c2b</x:v>
      </x:c>
      <x:c r="B771" t="str">
        <x:v>EnvironmentStation</x:v>
      </x:c>
      <x:c r="C771" t="str">
        <x:v>Texture</x:v>
      </x:c>
      <x:c r="D771" t="str">
        <x:v>Texture/station_blacksmith_t09_001_texture.txt</x:v>
      </x:c>
      <x:c r="E771" t="n">
        <x:v>1495</x:v>
      </x:c>
      <x:c r="F771" t="n">
        <x:v>198</x:v>
      </x:c>
      <x:c r="G771" t="str">
        <x:v>cbc5ad5aec5b8c24e72b03e6d8b864afc9c7db6578de2e2282c185d99bdd3d68</x:v>
      </x:c>
    </x:row>
    <x:row r="772">
      <x:c r="A772" t="str">
        <x:v>db24ab3d49f1</x:v>
      </x:c>
      <x:c r="B772" t="str">
        <x:v>EnvironmentStation</x:v>
      </x:c>
      <x:c r="C772" t="str">
        <x:v>Texture</x:v>
      </x:c>
      <x:c r="D772" t="str">
        <x:v>Texture/station_enchanter_t01_001_texture.txt</x:v>
      </x:c>
      <x:c r="E772" t="n">
        <x:v>1473</x:v>
      </x:c>
      <x:c r="F772" t="n">
        <x:v>203</x:v>
      </x:c>
      <x:c r="G772" t="str">
        <x:v>52ac1d7df003c0c4c3d0c510b5837c389a0e03c4fb79776b4e715e7b720310c2</x:v>
      </x:c>
    </x:row>
    <x:row r="773">
      <x:c r="A773" t="str">
        <x:v>94e7d28b1db1</x:v>
      </x:c>
      <x:c r="B773" t="str">
        <x:v>EnvironmentStation</x:v>
      </x:c>
      <x:c r="C773" t="str">
        <x:v>Texture</x:v>
      </x:c>
      <x:c r="D773" t="str">
        <x:v>Texture/station_enchanter_t03_001_texture.txt</x:v>
      </x:c>
      <x:c r="E773" t="n">
        <x:v>1497</x:v>
      </x:c>
      <x:c r="F773" t="n">
        <x:v>201</x:v>
      </x:c>
      <x:c r="G773" t="str">
        <x:v>849ffe4960b9b3e7f387b06711f25f41b1d26e6b3ff9213791b00d7bd226f2ee</x:v>
      </x:c>
    </x:row>
    <x:row r="774">
      <x:c r="A774" t="str">
        <x:v>e7e8f37bb9f2</x:v>
      </x:c>
      <x:c r="B774" t="str">
        <x:v>EnvironmentStation</x:v>
      </x:c>
      <x:c r="C774" t="str">
        <x:v>Texture</x:v>
      </x:c>
      <x:c r="D774" t="str">
        <x:v>Texture/station_enchanter_t05_001_texture.txt</x:v>
      </x:c>
      <x:c r="E774" t="n">
        <x:v>1466</x:v>
      </x:c>
      <x:c r="F774" t="n">
        <x:v>198</x:v>
      </x:c>
      <x:c r="G774" t="str">
        <x:v>87589b9428cfad3e20f57615668331bd39c6a33f7b23c9966119a149407e77c5</x:v>
      </x:c>
    </x:row>
    <x:row r="775">
      <x:c r="A775" t="str">
        <x:v>c3febb222bfd</x:v>
      </x:c>
      <x:c r="B775" t="str">
        <x:v>EnvironmentStation</x:v>
      </x:c>
      <x:c r="C775" t="str">
        <x:v>Texture</x:v>
      </x:c>
      <x:c r="D775" t="str">
        <x:v>Texture/station_enchanter_t07_001_texture.txt</x:v>
      </x:c>
      <x:c r="E775" t="n">
        <x:v>1508</x:v>
      </x:c>
      <x:c r="F775" t="n">
        <x:v>195</x:v>
      </x:c>
      <x:c r="G775" t="str">
        <x:v>b061cde91165d04f38affbf66bb3f4eece0e4503f6de9e942de5e431f829b699</x:v>
      </x:c>
    </x:row>
    <x:row r="776">
      <x:c r="A776" t="str">
        <x:v>807f36746a70</x:v>
      </x:c>
      <x:c r="B776" t="str">
        <x:v>EnvironmentStation</x:v>
      </x:c>
      <x:c r="C776" t="str">
        <x:v>Texture</x:v>
      </x:c>
      <x:c r="D776" t="str">
        <x:v>Texture/station_enchanter_t09_001_texture.txt</x:v>
      </x:c>
      <x:c r="E776" t="n">
        <x:v>1517</x:v>
      </x:c>
      <x:c r="F776" t="n">
        <x:v>200</x:v>
      </x:c>
      <x:c r="G776" t="str">
        <x:v>43bbce9752159a6042553188a77a5fd6daa425d1713a1761c7223e57a7ee30a6</x:v>
      </x:c>
    </x:row>
    <x:row r="777">
      <x:c r="A777" t="str">
        <x:v>d7cbca35a905</x:v>
      </x:c>
      <x:c r="B777" t="str">
        <x:v>EnvironmentStation</x:v>
      </x:c>
      <x:c r="C777" t="str">
        <x:v>Texture</x:v>
      </x:c>
      <x:c r="D777" t="str">
        <x:v>Texture/station_gatherer_t01_001_texture.txt</x:v>
      </x:c>
      <x:c r="E777" t="n">
        <x:v>1453</x:v>
      </x:c>
      <x:c r="F777" t="n">
        <x:v>201</x:v>
      </x:c>
      <x:c r="G777" t="str">
        <x:v>7b7696b797b2e0c4567293fe784bed8ce48bba002de019e62d648bfeffbc4673</x:v>
      </x:c>
    </x:row>
    <x:row r="778">
      <x:c r="A778" t="str">
        <x:v>b208f82c330f</x:v>
      </x:c>
      <x:c r="B778" t="str">
        <x:v>EnvironmentStation</x:v>
      </x:c>
      <x:c r="C778" t="str">
        <x:v>Texture</x:v>
      </x:c>
      <x:c r="D778" t="str">
        <x:v>Texture/station_gatherer_t03_001_texture.txt</x:v>
      </x:c>
      <x:c r="E778" t="n">
        <x:v>1477</x:v>
      </x:c>
      <x:c r="F778" t="n">
        <x:v>199</x:v>
      </x:c>
      <x:c r="G778" t="str">
        <x:v>abbb0170b0dd13657b6ed69e606a993b8fa7872643f7f48d11c8a1157c3cddcf</x:v>
      </x:c>
    </x:row>
    <x:row r="779">
      <x:c r="A779" t="str">
        <x:v>28deaef59eed</x:v>
      </x:c>
      <x:c r="B779" t="str">
        <x:v>EnvironmentStation</x:v>
      </x:c>
      <x:c r="C779" t="str">
        <x:v>Texture</x:v>
      </x:c>
      <x:c r="D779" t="str">
        <x:v>Texture/station_gatherer_t05_001_texture.txt</x:v>
      </x:c>
      <x:c r="E779" t="n">
        <x:v>1446</x:v>
      </x:c>
      <x:c r="F779" t="n">
        <x:v>196</x:v>
      </x:c>
      <x:c r="G779" t="str">
        <x:v>01bf82fdf2da15163b5e6d78cd7aa70da3f66bc2f0c99dffe7f648fff737484f</x:v>
      </x:c>
    </x:row>
    <x:row r="780">
      <x:c r="A780" t="str">
        <x:v>9433f9da1eb8</x:v>
      </x:c>
      <x:c r="B780" t="str">
        <x:v>EnvironmentStation</x:v>
      </x:c>
      <x:c r="C780" t="str">
        <x:v>Texture</x:v>
      </x:c>
      <x:c r="D780" t="str">
        <x:v>Texture/station_gatherer_t07_001_texture.txt</x:v>
      </x:c>
      <x:c r="E780" t="n">
        <x:v>1488</x:v>
      </x:c>
      <x:c r="F780" t="n">
        <x:v>193</x:v>
      </x:c>
      <x:c r="G780" t="str">
        <x:v>2a6481bf2b065d2c5e6bb425e727c98599690dc81e34afd3af8c8896bb55504e</x:v>
      </x:c>
    </x:row>
    <x:row r="781">
      <x:c r="A781" t="str">
        <x:v>987f3bd45d0c</x:v>
      </x:c>
      <x:c r="B781" t="str">
        <x:v>EnvironmentStation</x:v>
      </x:c>
      <x:c r="C781" t="str">
        <x:v>Texture</x:v>
      </x:c>
      <x:c r="D781" t="str">
        <x:v>Texture/station_gatherer_t09_001_texture.txt</x:v>
      </x:c>
      <x:c r="E781" t="n">
        <x:v>1497</x:v>
      </x:c>
      <x:c r="F781" t="n">
        <x:v>198</x:v>
      </x:c>
      <x:c r="G781" t="str">
        <x:v>11ce9aef395907dca9c2522a69cb92bf1016060474a5aeeddc94b65882ba8b90</x:v>
      </x:c>
    </x:row>
    <x:row r="782">
      <x:c r="A782" t="str">
        <x:v>2329304c5463</x:v>
      </x:c>
      <x:c r="B782" t="str">
        <x:v>EnvironmentStation</x:v>
      </x:c>
      <x:c r="C782" t="str">
        <x:v>Texture</x:v>
      </x:c>
      <x:c r="D782" t="str">
        <x:v>Texture/station_tailor_t01_001_texture.txt</x:v>
      </x:c>
      <x:c r="E782" t="n">
        <x:v>1462</x:v>
      </x:c>
      <x:c r="F782" t="n">
        <x:v>202</x:v>
      </x:c>
      <x:c r="G782" t="str">
        <x:v>6b4b6fd2dc31e9db12a46c6efd239a77f80eafcc6dafa6dcc446d700538d76e0</x:v>
      </x:c>
    </x:row>
    <x:row r="783">
      <x:c r="A783" t="str">
        <x:v>98085725723b</x:v>
      </x:c>
      <x:c r="B783" t="str">
        <x:v>EnvironmentStation</x:v>
      </x:c>
      <x:c r="C783" t="str">
        <x:v>Texture</x:v>
      </x:c>
      <x:c r="D783" t="str">
        <x:v>Texture/station_tailor_t03_001_texture.txt</x:v>
      </x:c>
      <x:c r="E783" t="n">
        <x:v>1486</x:v>
      </x:c>
      <x:c r="F783" t="n">
        <x:v>200</x:v>
      </x:c>
      <x:c r="G783" t="str">
        <x:v>f473a0fbe8622fd65c04359645b9fb1ba862d54b2c095d262a3129c462c51df4</x:v>
      </x:c>
    </x:row>
    <x:row r="784">
      <x:c r="A784" t="str">
        <x:v>3ed753beddd5</x:v>
      </x:c>
      <x:c r="B784" t="str">
        <x:v>EnvironmentStation</x:v>
      </x:c>
      <x:c r="C784" t="str">
        <x:v>Texture</x:v>
      </x:c>
      <x:c r="D784" t="str">
        <x:v>Texture/station_tailor_t05_001_texture.txt</x:v>
      </x:c>
      <x:c r="E784" t="n">
        <x:v>1455</x:v>
      </x:c>
      <x:c r="F784" t="n">
        <x:v>197</x:v>
      </x:c>
      <x:c r="G784" t="str">
        <x:v>3aeb84c694b343f83a059db2adf598e971d48e37f645784f8e30cbcbf9b12693</x:v>
      </x:c>
    </x:row>
    <x:row r="785">
      <x:c r="A785" t="str">
        <x:v>2d39bcdce45b</x:v>
      </x:c>
      <x:c r="B785" t="str">
        <x:v>EnvironmentStation</x:v>
      </x:c>
      <x:c r="C785" t="str">
        <x:v>Texture</x:v>
      </x:c>
      <x:c r="D785" t="str">
        <x:v>Texture/station_tailor_t07_001_texture.txt</x:v>
      </x:c>
      <x:c r="E785" t="n">
        <x:v>1497</x:v>
      </x:c>
      <x:c r="F785" t="n">
        <x:v>194</x:v>
      </x:c>
      <x:c r="G785" t="str">
        <x:v>f9fd60bd7412563d3315fabfa41b861f5b560d9638e767148ee30921bae86613</x:v>
      </x:c>
    </x:row>
    <x:row r="786">
      <x:c r="A786" t="str">
        <x:v>82ceee63cdfd</x:v>
      </x:c>
      <x:c r="B786" t="str">
        <x:v>EnvironmentStation</x:v>
      </x:c>
      <x:c r="C786" t="str">
        <x:v>Texture</x:v>
      </x:c>
      <x:c r="D786" t="str">
        <x:v>Texture/station_tailor_t09_001_texture.txt</x:v>
      </x:c>
      <x:c r="E786" t="n">
        <x:v>1506</x:v>
      </x:c>
      <x:c r="F786" t="n">
        <x:v>199</x:v>
      </x:c>
      <x:c r="G786" t="str">
        <x:v>42ae58555c3d094e1f65665c307fae51c1b2aead659df0bf1233a8ed2f2ee0a6</x:v>
      </x:c>
    </x:row>
  </x:sheetData>
  <x:pageMargins left="0.7" right="0.7" top="0.75" bottom="0.75" header="0.3" footer="0.3"/>
  <x:tableParts count="1">
    <x:tablePart xmlns:r="http://schemas.openxmlformats.org/officeDocument/2006/relationships" r:id="R0c755074377d416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95" hidden="0" customWidth="1"/>
    <x:col min="4" max="4" width="16" hidden="0" customWidth="1"/>
  </x:cols>
  <x:sheetData>
    <x:row r="1">
      <x:c r="A1" s="6" t="str">
        <x:v>applies_to</x:v>
      </x:c>
      <x:c r="B1" s="6" t="str">
        <x:v>area</x:v>
      </x:c>
      <x:c r="C1" s="6" t="str">
        <x:v>check</x:v>
      </x:c>
      <x:c r="D1" s="6" t="str">
        <x:v>severity</x:v>
      </x:c>
    </x:row>
    <x:row r="2">
      <x:c r="A2" t="str">
        <x:v>All</x:v>
      </x:c>
      <x:c r="B2" t="str">
        <x:v>Identity</x:v>
      </x:c>
      <x:c r="C2" t="str">
        <x:v>Asset ID and filename match manifest</x:v>
      </x:c>
      <x:c r="D2" t="str">
        <x:v>Critical</x:v>
      </x:c>
    </x:row>
    <x:row r="3">
      <x:c r="A3" t="str">
        <x:v>All</x:v>
      </x:c>
      <x:c r="B3" t="str">
        <x:v>Style</x:v>
      </x:c>
      <x:c r="C3" t="str">
        <x:v>Matches approved Stylized Heroic Fantasy</x:v>
      </x:c>
      <x:c r="D3" t="str">
        <x:v>Critical</x:v>
      </x:c>
    </x:row>
    <x:row r="4">
      <x:c r="A4" t="str">
        <x:v>All</x:v>
      </x:c>
      <x:c r="B4" t="str">
        <x:v>Silhouette</x:v>
      </x:c>
      <x:c r="C4" t="str">
        <x:v>Readable at mobile gameplay distance</x:v>
      </x:c>
      <x:c r="D4" t="str">
        <x:v>Critical</x:v>
      </x:c>
    </x:row>
    <x:row r="5">
      <x:c r="A5" t="str">
        <x:v>All</x:v>
      </x:c>
      <x:c r="B5" t="str">
        <x:v>Scale/Pivot</x:v>
      </x:c>
      <x:c r="C5" t="str">
        <x:v>Correct scale, +Z front, Y-up and pivot</x:v>
      </x:c>
      <x:c r="D5" t="str">
        <x:v>Critical</x:v>
      </x:c>
    </x:row>
    <x:row r="6">
      <x:c r="A6" t="str">
        <x:v>All</x:v>
      </x:c>
      <x:c r="B6" t="str">
        <x:v>Geometry</x:v>
      </x:c>
      <x:c r="C6" t="str">
        <x:v>No accidental fusion, fragments or hidden shells</x:v>
      </x:c>
      <x:c r="D6" t="str">
        <x:v>Critical</x:v>
      </x:c>
    </x:row>
    <x:row r="7">
      <x:c r="A7" t="str">
        <x:v>All</x:v>
      </x:c>
      <x:c r="B7" t="str">
        <x:v>Topology</x:v>
      </x:c>
      <x:c r="C7" t="str">
        <x:v>Target polycount and usable topology</x:v>
      </x:c>
      <x:c r="D7" t="str">
        <x:v>Critical</x:v>
      </x:c>
    </x:row>
    <x:row r="8">
      <x:c r="A8" t="str">
        <x:v>All</x:v>
      </x:c>
      <x:c r="B8" t="str">
        <x:v>Texture</x:v>
      </x:c>
      <x:c r="C8" t="str">
        <x:v>No severe seams, text or baked background</x:v>
      </x:c>
      <x:c r="D8" t="str">
        <x:v>Critical</x:v>
      </x:c>
    </x:row>
    <x:row r="9">
      <x:c r="A9" t="str">
        <x:v>Character</x:v>
      </x:c>
      <x:c r="B9" t="str">
        <x:v>Rig</x:v>
      </x:c>
      <x:c r="C9" t="str">
        <x:v>Rig and sockets validate</x:v>
      </x:c>
      <x:c r="D9" t="str">
        <x:v>Critical</x:v>
      </x:c>
    </x:row>
    <x:row r="10">
      <x:c r="A10" t="str">
        <x:v>Environment</x:v>
      </x:c>
      <x:c r="B10" t="str">
        <x:v>Grid</x:v>
      </x:c>
      <x:c r="C10" t="str">
        <x:v>Structural module snaps to 4 m grid</x:v>
      </x:c>
      <x:c r="D10" t="str">
        <x:v>Critical</x:v>
      </x:c>
    </x:row>
    <x:row r="11">
      <x:c r="A11" t="str">
        <x:v>All</x:v>
      </x:c>
      <x:c r="B11" t="str">
        <x:v>Unity</x:v>
      </x:c>
      <x:c r="C11" t="str">
        <x:v>Prefab, collider and LOD tested in scene</x:v>
      </x:c>
      <x:c r="D11" t="str">
        <x:v>Critical</x:v>
      </x:c>
    </x:row>
  </x:sheetData>
  <x:pageMargins left="0.7" right="0.7" top="0.75" bottom="0.75" header="0.3" footer="0.3"/>
  <x:tableParts count="1">
    <x:tablePart xmlns:r="http://schemas.openxmlformats.org/officeDocument/2006/relationships" r:id="R0f23c10475f94811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95" hidden="0" customWidth="1"/>
  </x:cols>
  <x:sheetData>
    <x:row r="1">
      <x:c r="A1" s="6" t="str">
        <x:v>reason_code</x:v>
      </x:c>
      <x:c r="B1" s="6" t="str">
        <x:v>description</x:v>
      </x:c>
    </x:row>
    <x:row r="2">
      <x:c r="A2" t="str">
        <x:v>STYLE_DRIFT</x:v>
      </x:c>
      <x:c r="B2" t="str">
        <x:v>Style or faction mismatch</x:v>
      </x:c>
    </x:row>
    <x:row r="3">
      <x:c r="A3" t="str">
        <x:v>SILHOUETTE_WEAK</x:v>
      </x:c>
      <x:c r="B3" t="str">
        <x:v>Unreadable silhouette</x:v>
      </x:c>
    </x:row>
    <x:row r="4">
      <x:c r="A4" t="str">
        <x:v>ANATOMY_ERROR</x:v>
      </x:c>
      <x:c r="B4" t="str">
        <x:v>Anatomy or limb error</x:v>
      </x:c>
    </x:row>
    <x:row r="5">
      <x:c r="A5" t="str">
        <x:v>PROP_FUSED</x:v>
      </x:c>
      <x:c r="B5" t="str">
        <x:v>Separate prop fused to body</x:v>
      </x:c>
    </x:row>
    <x:row r="6">
      <x:c r="A6" t="str">
        <x:v>POLYCOUNT_HIGH</x:v>
      </x:c>
      <x:c r="B6" t="str">
        <x:v>Exceeds budget</x:v>
      </x:c>
    </x:row>
    <x:row r="7">
      <x:c r="A7" t="str">
        <x:v>TOPOLOGY_BAD</x:v>
      </x:c>
      <x:c r="B7" t="str">
        <x:v>Unsuitable topology</x:v>
      </x:c>
    </x:row>
    <x:row r="8">
      <x:c r="A8" t="str">
        <x:v>UV_TEXTURE_ERROR</x:v>
      </x:c>
      <x:c r="B8" t="str">
        <x:v>UV or texture artifact</x:v>
      </x:c>
    </x:row>
    <x:row r="9">
      <x:c r="A9" t="str">
        <x:v>SCALE_PIVOT_ERROR</x:v>
      </x:c>
      <x:c r="B9" t="str">
        <x:v>Scale, orientation or pivot error</x:v>
      </x:c>
    </x:row>
    <x:row r="10">
      <x:c r="A10" t="str">
        <x:v>GRID_SNAP_ERROR</x:v>
      </x:c>
      <x:c r="B10" t="str">
        <x:v>Modular grid failure</x:v>
      </x:c>
    </x:row>
    <x:row r="11">
      <x:c r="A11" t="str">
        <x:v>BAKED_VFX</x:v>
      </x:c>
      <x:c r="B11" t="str">
        <x:v>VFX baked into model</x:v>
      </x:c>
    </x:row>
    <x:row r="12">
      <x:c r="A12" t="str">
        <x:v>RIG_FAIL</x:v>
      </x:c>
      <x:c r="B12" t="str">
        <x:v>Rig validation failed</x:v>
      </x:c>
    </x:row>
    <x:row r="13">
      <x:c r="A13" t="str">
        <x:v>MOBILE_READ_FAIL</x:v>
      </x:c>
      <x:c r="B13" t="str">
        <x:v>Fails mobile camera read</x:v>
      </x:c>
    </x:row>
    <x:row r="14">
      <x:c r="A14" t="str">
        <x:v>OTHER</x:v>
      </x:c>
      <x:c r="B14" t="str">
        <x:v>Describe in notes</x:v>
      </x:c>
    </x:row>
  </x:sheetData>
  <x:pageMargins left="0.7" right="0.7" top="0.75" bottom="0.75" header="0.3" footer="0.3"/>
  <x:tableParts count="1">
    <x:tablePart xmlns:r="http://schemas.openxmlformats.org/officeDocument/2006/relationships" r:id="Rdcd1306710a6465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4" max="4" width="22" hidden="0" customWidth="1"/>
    <x:col min="5" max="5" width="14" hidden="0" customWidth="1"/>
  </x:cols>
  <x:sheetData>
    <x:row r="1">
      <x:c r="A1" s="13" t="str">
        <x:v>IDLE MEDIEVAL LEGENDS — MESHY OPERATIONS DASHBOARD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</x:row>
    <x:row r="2">
      <x:c r="A2" s="13"/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>
      <x:c r="A4" s="6" t="str">
        <x:v>KPI</x:v>
      </x:c>
      <x:c r="B4" s="6" t="str">
        <x:v>Valor</x:v>
      </x:c>
      <x:c r="D4" s="6" t="str">
        <x:v>Status</x:v>
      </x:c>
      <x:c r="E4" s="6" t="str">
        <x:v>Assets</x:v>
      </x:c>
    </x:row>
    <x:row r="5">
      <x:c r="A5" s="23" t="str">
        <x:v>Assets</x:v>
      </x:c>
      <x:c r="B5" s="27" t="n">
        <x:f>COUNTA('Asset Queue'!A2:A260)</x:f>
        <x:v>259</x:v>
      </x:c>
      <x:c r="D5" t="str">
        <x:v>Not Started</x:v>
      </x:c>
      <x:c r="E5" t="n">
        <x:f>COUNTIF('Asset Queue'!AA2:AA260,D5)</x:f>
        <x:v>259</x:v>
      </x:c>
    </x:row>
    <x:row r="6">
      <x:c r="A6" s="23" t="str">
        <x:v>Prompts</x:v>
      </x:c>
      <x:c r="B6" s="27" t="n">
        <x:f>COUNTA('Prompt Manifest'!A2:A786)</x:f>
        <x:v>785</x:v>
      </x:c>
      <x:c r="D6" t="str">
        <x:v>Concept</x:v>
      </x:c>
      <x:c r="E6" t="n">
        <x:f>COUNTIF('Asset Queue'!AA2:AA260,D6)</x:f>
        <x:v>0</x:v>
      </x:c>
    </x:row>
    <x:row r="7">
      <x:c r="A7" s="23" t="str">
        <x:v>Créditos planejados</x:v>
      </x:c>
      <x:c r="B7" s="27" t="n">
        <x:f>SUM('Asset Queue'!AC2:AC260)</x:f>
        <x:v>14945</x:v>
      </x:c>
      <x:c r="D7" t="str">
        <x:v>Generating</x:v>
      </x:c>
      <x:c r="E7" t="n">
        <x:f>COUNTIF('Asset Queue'!AA2:AA260,D7)</x:f>
        <x:v>0</x:v>
      </x:c>
    </x:row>
    <x:row r="8">
      <x:c r="A8" s="23" t="str">
        <x:v>Créditos consumidos</x:v>
      </x:c>
      <x:c r="B8" s="27" t="n">
        <x:f>SUM('Asset Queue'!AD2:AD260)</x:f>
        <x:v>0</x:v>
      </x:c>
      <x:c r="D8" t="str">
        <x:v>Post-processing</x:v>
      </x:c>
      <x:c r="E8" t="n">
        <x:f>COUNTIF('Asset Queue'!AA2:AA260,D8)</x:f>
        <x:v>0</x:v>
      </x:c>
    </x:row>
    <x:row r="9">
      <x:c r="A9" s="23" t="str">
        <x:v>Assets aprovados</x:v>
      </x:c>
      <x:c r="B9" s="27" t="n">
        <x:f>COUNTIF('Asset Queue'!AB2:AB260,"Approved")</x:f>
        <x:v>0</x:v>
      </x:c>
      <x:c r="D9" t="str">
        <x:v>Unity QA</x:v>
      </x:c>
      <x:c r="E9" t="n">
        <x:f>COUNTIF('Asset Queue'!AA2:AA260,D9)</x:f>
        <x:v>0</x:v>
      </x:c>
    </x:row>
    <x:row r="10">
      <x:c r="A10" s="23" t="str">
        <x:v>Taxa de aprovação</x:v>
      </x:c>
      <x:c r="B10" s="30" t="n">
        <x:f>IFERROR(B9/B5,0)</x:f>
        <x:v>0</x:v>
      </x:c>
      <x:c r="D10" t="str">
        <x:v>Approved</x:v>
      </x:c>
      <x:c r="E10" t="n">
        <x:f>COUNTIF('Asset Queue'!AA2:AA260,D10)</x:f>
        <x:v>0</x:v>
      </x:c>
    </x:row>
    <x:row r="11">
      <x:c r="A11" s="23" t="str">
        <x:v>Tentativas</x:v>
      </x:c>
      <x:c r="B11" s="27" t="n">
        <x:f>COUNTA('Attempt Log'!A2:A101)</x:f>
        <x:v>0</x:v>
      </x:c>
      <x:c r="D11" t="str">
        <x:v>Blocked</x:v>
      </x:c>
      <x:c r="E11" t="n">
        <x:f>COUNTIF('Asset Queue'!AA2:AA260,D11)</x:f>
        <x:v>0</x:v>
      </x:c>
    </x:row>
    <x:row r="12">
      <x:c r="A12" s="23" t="str">
        <x:v>Créditos por aprovado</x:v>
      </x:c>
      <x:c r="B12" s="27" t="n">
        <x:f>IFERROR(B8/B9,0)</x:f>
        <x:v>0</x:v>
      </x:c>
    </x:row>
  </x:sheetData>
  <x:mergeCells>
    <x:mergeCell ref="A1:L2"/>
  </x:mergeCells>
  <x:pageMargins left="0.7" right="0.7" top="0.75" bottom="0.75" header="0.3" footer="0.3"/>
  <x:drawing xmlns:r="http://schemas.openxmlformats.org/officeDocument/2006/relationships" r:id="R440ab3630a934c5f"/>
</x:worksheet>
</file>